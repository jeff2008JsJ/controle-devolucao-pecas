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tables/table2.xml" ContentType="application/vnd.openxmlformats-officedocument.spreadsheetml.table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RPTG" sheetId="2" state="visible" r:id="rId2"/>
    <sheet name="Parametros" sheetId="3" state="visible" r:id="rId3"/>
    <sheet name="Resumo_Status_Mes" sheetId="4" state="visible" r:id="rId4"/>
    <sheet name="Resumo_Transportadora" sheetId="5" state="visible" r:id="rId5"/>
    <sheet name="Resumo_Coordenador" sheetId="6" state="visible" r:id="rId6"/>
    <sheet name="Resumo_UF" sheetId="7" state="visible" r:id="rId7"/>
    <sheet name="Top_Pecas" sheetId="8" state="visible" r:id="rId8"/>
    <sheet name="Aging_Pendentes" sheetId="9" state="visible" r:id="rId9"/>
    <sheet name="Base_Valores" sheetId="10" state="visible" r:id="rId10"/>
    <sheet name="STAs" sheetId="11" state="visible" r:id="rId11"/>
    <sheet name="Rastreio" sheetId="12" state="visible" r:id="rId12"/>
    <sheet name="Qualidade_Dados" sheetId="13" state="visible" r:id="rId13"/>
    <sheet name="SendBulkEmails" sheetId="14" state="visible" r:id="rId14"/>
  </sheets>
  <definedNames>
    <definedName name="mapGrupoStatus">Parametros!$M$4:$N$12</definedName>
    <definedName name="_xlnm.Print_Area" localSheetId="0">'Dashboard'!$A$1:$R$28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R$&quot; #,##0.00"/>
    <numFmt numFmtId="167" formatCode="0.0%"/>
  </numFmts>
  <fonts count="9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  <font>
      <b val="1"/>
    </font>
    <font>
      <i val="1"/>
      <color rgb="00666666"/>
    </font>
    <font>
      <b val="1"/>
      <color rgb="001F3A5F"/>
      <sz val="18"/>
    </font>
    <font>
      <b val="1"/>
      <color rgb="001F3A5F"/>
    </font>
    <font>
      <b val="1"/>
      <sz val="12"/>
    </font>
    <font>
      <b val="1"/>
      <color rgb="001F3A5F"/>
      <sz val="12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1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6" fillId="3" borderId="0" pivotButton="0" quotePrefix="0" xfId="0"/>
    <xf numFmtId="3" fontId="7" fillId="3" borderId="0" applyAlignment="1" pivotButton="0" quotePrefix="0" xfId="0">
      <alignment horizontal="right"/>
    </xf>
    <xf numFmtId="167" fontId="7" fillId="3" borderId="0" applyAlignment="1" pivotButton="0" quotePrefix="0" xfId="0">
      <alignment horizontal="right"/>
    </xf>
    <xf numFmtId="166" fontId="7" fillId="3" borderId="0" applyAlignment="1" pivotButton="0" quotePrefix="0" xfId="0">
      <alignment horizontal="right"/>
    </xf>
    <xf numFmtId="1" fontId="7" fillId="3" borderId="0" applyAlignment="1" pivotButton="0" quotePrefix="0" xfId="0">
      <alignment horizontal="right"/>
    </xf>
    <xf numFmtId="0" fontId="8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Itens por grupo de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'Dashboard'!G4</f>
            </strRef>
          </tx>
          <spPr>
            <a:ln>
              <a:prstDash val="solid"/>
            </a:ln>
          </spPr>
          <cat>
            <numRef>
              <f>'Dashboard'!$F$5:$F$9</f>
            </numRef>
          </cat>
          <val>
            <numRef>
              <f>'Dashboard'!$G$5:$G$9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Itens por status ao longo dos meses</a:t>
            </a:r>
          </a:p>
        </rich>
      </tx>
    </title>
    <plotArea>
      <lineChart>
        <grouping val="standard"/>
        <ser>
          <idx val="0"/>
          <order val="0"/>
          <tx>
            <strRef>
              <f>'Resumo_Status_Mes'!A4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'Resumo_Status_Mes'!$B$3:$Q$3</f>
            </numRef>
          </cat>
          <val>
            <numRef>
              <f>'Resumo_Status_Mes'!$B$4:$Q$4</f>
            </numRef>
          </val>
        </ser>
        <ser>
          <idx val="1"/>
          <order val="1"/>
          <tx>
            <strRef>
              <f>'Resumo_Status_Mes'!A5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'Resumo_Status_Mes'!$B$3:$Q$3</f>
            </numRef>
          </cat>
          <val>
            <numRef>
              <f>'Resumo_Status_Mes'!$B$5:$Q$5</f>
            </numRef>
          </val>
        </ser>
        <ser>
          <idx val="2"/>
          <order val="2"/>
          <tx>
            <strRef>
              <f>'Resumo_Status_Mes'!A6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'Resumo_Status_Mes'!$B$3:$Q$3</f>
            </numRef>
          </cat>
          <val>
            <numRef>
              <f>'Resumo_Status_Mes'!$B$6:$Q$6</f>
            </numRef>
          </val>
        </ser>
        <ser>
          <idx val="3"/>
          <order val="3"/>
          <tx>
            <strRef>
              <f>'Resumo_Status_Mes'!A7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'Resumo_Status_Mes'!$B$3:$Q$3</f>
            </numRef>
          </cat>
          <val>
            <numRef>
              <f>'Resumo_Status_Mes'!$B$7:$Q$7</f>
            </numRef>
          </val>
        </ser>
        <ser>
          <idx val="4"/>
          <order val="4"/>
          <tx>
            <strRef>
              <f>'Resumo_Status_Mes'!A8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'Resumo_Status_Mes'!$B$3:$Q$3</f>
            </numRef>
          </cat>
          <val>
            <numRef>
              <f>'Resumo_Status_Mes'!$B$8:$Q$8</f>
            </numRef>
          </val>
        </ser>
        <ser>
          <idx val="5"/>
          <order val="5"/>
          <tx>
            <strRef>
              <f>'Resumo_Status_Mes'!A9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'Resumo_Status_Mes'!$B$3:$Q$3</f>
            </numRef>
          </cat>
          <val>
            <numRef>
              <f>'Resumo_Status_Mes'!$B$9:$Q$9</f>
            </numRef>
          </val>
        </ser>
        <ser>
          <idx val="6"/>
          <order val="6"/>
          <tx>
            <strRef>
              <f>'Resumo_Status_Mes'!A10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'Resumo_Status_Mes'!$B$3:$Q$3</f>
            </numRef>
          </cat>
          <val>
            <numRef>
              <f>'Resumo_Status_Mes'!$B$10:$Q$10</f>
            </numRef>
          </val>
        </ser>
        <ser>
          <idx val="7"/>
          <order val="7"/>
          <tx>
            <strRef>
              <f>'Resumo_Status_Mes'!A11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'Resumo_Status_Mes'!$B$3:$Q$3</f>
            </numRef>
          </cat>
          <val>
            <numRef>
              <f>'Resumo_Status_Mes'!$B$11:$Q$11</f>
            </numRef>
          </val>
        </ser>
        <ser>
          <idx val="8"/>
          <order val="8"/>
          <tx>
            <strRef>
              <f>'Resumo_Status_Mes'!A12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'Resumo_Status_Mes'!$B$3:$Q$3</f>
            </numRef>
          </cat>
          <val>
            <numRef>
              <f>'Resumo_Status_Mes'!$B$12:$Q$12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Desempenho por transportadora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'Resumo_Transportadora'!B3</f>
            </strRef>
          </tx>
          <spPr>
            <a:ln>
              <a:prstDash val="solid"/>
            </a:ln>
          </spPr>
          <cat>
            <numRef>
              <f>'Resumo_Transportadora'!$A$4:$A$9</f>
            </numRef>
          </cat>
          <val>
            <numRef>
              <f>'Resumo_Transportadora'!$B$4:$B$9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Desempenho por regional / coordenador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'Resumo_Coordenador'!B3</f>
            </strRef>
          </tx>
          <spPr>
            <a:ln>
              <a:prstDash val="solid"/>
            </a:ln>
          </spPr>
          <cat>
            <numRef>
              <f>'Resumo_Coordenador'!$A$4:$A$10</f>
            </numRef>
          </cat>
          <val>
            <numRef>
              <f>'Resumo_Coordenador'!$B$4:$B$10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Volume por UF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'Resumo_UF'!B3</f>
            </strRef>
          </tx>
          <spPr>
            <a:ln>
              <a:prstDash val="solid"/>
            </a:ln>
          </spPr>
          <cat>
            <numRef>
              <f>'Resumo_UF'!$A$4:$A$30</f>
            </numRef>
          </cat>
          <val>
            <numRef>
              <f>'Resumo_UF'!$B$4:$B$30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Itens em aberto por faixa de aging</a:t>
            </a:r>
          </a:p>
        </rich>
      </tx>
    </title>
    <plotArea>
      <pieChart>
        <varyColors val="1"/>
        <ser>
          <idx val="0"/>
          <order val="0"/>
          <tx>
            <strRef>
              <f>'Aging_Pendentes'!B3</f>
            </strRef>
          </tx>
          <spPr>
            <a:ln>
              <a:prstDash val="solid"/>
            </a:ln>
          </spPr>
          <cat>
            <numRef>
              <f>'Aging_Pendentes'!$A$4:$A$7</f>
            </numRef>
          </cat>
          <val>
            <numRef>
              <f>'Aging_Pendentes'!$B$4:$B$7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0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Base" displayName="tblBase" ref="A1:Y2001" headerRowCount="1">
  <autoFilter ref="A1:Y2001"/>
  <tableColumns count="25">
    <tableColumn id="1" name="Email_STA"/>
    <tableColumn id="2" name="Chamado"/>
    <tableColumn id="3" name="MEI"/>
    <tableColumn id="4" name="UF"/>
    <tableColumn id="5" name="Coordenador"/>
    <tableColumn id="6" name="Contrato"/>
    <tableColumn id="7" name="Tipo"/>
    <tableColumn id="8" name="Valor_Debito_Unit"/>
    <tableColumn id="9" name="Valor_Total"/>
    <tableColumn id="10" name="Dta_Encerramento"/>
    <tableColumn id="11" name="Data_Validacao"/>
    <tableColumn id="12" name="Status"/>
    <tableColumn id="13" name="Grupo_Status"/>
    <tableColumn id="14" name="Faixa_Aging"/>
    <tableColumn id="15" name="Dias_Em_Aberto"/>
    <tableColumn id="16" name="Codigo_STA"/>
    <tableColumn id="17" name="STA"/>
    <tableColumn id="18" name="Codigo_Peca"/>
    <tableColumn id="19" name="Descricao"/>
    <tableColumn id="20" name="QTD"/>
    <tableColumn id="21" name="NF"/>
    <tableColumn id="22" name="Mes"/>
    <tableColumn id="23" name="Ano"/>
    <tableColumn id="24" name="Transportadora"/>
    <tableColumn id="25" name="Status_Rastreio"/>
  </tableColumns>
  <tableStyleInfo name="TableStyleMedium2" showRowStripes="1"/>
</table>
</file>

<file path=xl/tables/table2.xml><?xml version="1.0" encoding="utf-8"?>
<table xmlns="http://schemas.openxmlformats.org/spreadsheetml/2006/main" id="2" name="tblValores" displayName="tblValores" ref="A1:H49" headerRowCount="1">
  <autoFilter ref="A1:H49"/>
  <tableColumns count="8">
    <tableColumn id="1" name="Cód. Peça"/>
    <tableColumn id="2" name="Peça"/>
    <tableColumn id="3" name="Valor Unitário (Débito)"/>
    <tableColumn id="4" name="Família"/>
    <tableColumn id="5" name="Descrição da família"/>
    <tableColumn id="6" name="Cód Genérico"/>
    <tableColumn id="7" name="Valor unitário de devolução"/>
    <tableColumn id="8" name="Tipo"/>
  </tableColumns>
  <tableStyleInfo name="TableStyleMedium2" showRowStripes="1"/>
</table>
</file>

<file path=xl/tables/table3.xml><?xml version="1.0" encoding="utf-8"?>
<table xmlns="http://schemas.openxmlformats.org/spreadsheetml/2006/main" id="3" name="tblSTAs" displayName="tblSTAs" ref="A1:K61" headerRowCount="1">
  <autoFilter ref="A1:K61"/>
  <tableColumns count="11">
    <tableColumn id="1" name="UF"/>
    <tableColumn id="2" name="ESTADO COMPLETO"/>
    <tableColumn id="3" name="STA"/>
    <tableColumn id="4" name="Região"/>
    <tableColumn id="5" name="Coordenador"/>
    <tableColumn id="6" name="Cód STA"/>
    <tableColumn id="7" name="Email"/>
    <tableColumn id="8" name="Data_Cadastro"/>
    <tableColumn id="9" name="STA ativa?"/>
    <tableColumn id="10" name="MEI?"/>
    <tableColumn id="11" name="E-mail válido?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8" customWidth="1" min="3" max="3"/>
    <col width="2" customWidth="1" min="4" max="4"/>
    <col width="2" customWidth="1" min="5" max="5"/>
    <col width="16" customWidth="1" min="6" max="6"/>
    <col width="10" customWidth="1" min="7" max="7"/>
  </cols>
  <sheetData>
    <row r="2">
      <c r="B2" s="1" t="inlineStr">
        <is>
          <t>Controle de Devolução de Peças (RPTG) — Painel de Controle</t>
        </is>
      </c>
    </row>
    <row r="3">
      <c r="B3" s="2">
        <f>"Base de demonstração com "&amp;ROWS(tblBase[Chamado])&amp;" registros fictícios · atualizado em "&amp;DAY(TODAY())&amp;"/"&amp;MONTH(TODAY())&amp;"/"&amp;YEAR(TODAY())</f>
        <v/>
      </c>
    </row>
    <row r="4">
      <c r="F4" s="3" t="inlineStr">
        <is>
          <t>Grupo</t>
        </is>
      </c>
      <c r="G4" s="3" t="inlineStr">
        <is>
          <t>Itens</t>
        </is>
      </c>
    </row>
    <row r="5">
      <c r="B5" s="4" t="inlineStr">
        <is>
          <t>Itens totais</t>
        </is>
      </c>
      <c r="C5" s="5">
        <f>SUM(tblBase[QTD])</f>
        <v/>
      </c>
      <c r="F5" t="inlineStr">
        <is>
          <t>Concluído</t>
        </is>
      </c>
      <c r="G5">
        <f>SUMIFS(tblBase[QTD],tblBase[Grupo_Status],$F5)</f>
        <v/>
      </c>
    </row>
    <row r="6">
      <c r="B6" s="4" t="inlineStr">
        <is>
          <t>Itens devolvidos</t>
        </is>
      </c>
      <c r="C6" s="5">
        <f>SUMIFS(tblBase[QTD],tblBase[Grupo_Status],"Concluído")</f>
        <v/>
      </c>
      <c r="F6" t="inlineStr">
        <is>
          <t>Em andamento</t>
        </is>
      </c>
      <c r="G6">
        <f>SUMIFS(tblBase[QTD],tblBase[Grupo_Status],$F6)</f>
        <v/>
      </c>
    </row>
    <row r="7">
      <c r="B7" s="4" t="inlineStr">
        <is>
          <t>% devolvido</t>
        </is>
      </c>
      <c r="C7" s="6">
        <f>IFERROR(C6/C5,0)</f>
        <v/>
      </c>
      <c r="F7" t="inlineStr">
        <is>
          <t>Pendente</t>
        </is>
      </c>
      <c r="G7">
        <f>SUMIFS(tblBase[QTD],tblBase[Grupo_Status],$F7)</f>
        <v/>
      </c>
    </row>
    <row r="8">
      <c r="B8" s="4" t="inlineStr">
        <is>
          <t>Itens em aberto</t>
        </is>
      </c>
      <c r="C8" s="5">
        <f>SUMIFS(tblBase[QTD],tblBase[Grupo_Status],"Pendente")+SUMIFS(tblBase[QTD],tblBase[Grupo_Status],"Em andamento")</f>
        <v/>
      </c>
      <c r="F8" t="inlineStr">
        <is>
          <t>Perda / Débito</t>
        </is>
      </c>
      <c r="G8">
        <f>SUMIFS(tblBase[QTD],tblBase[Grupo_Status],$F8)</f>
        <v/>
      </c>
    </row>
    <row r="9">
      <c r="B9" s="4" t="inlineStr">
        <is>
          <t>Valor total debitável</t>
        </is>
      </c>
      <c r="C9" s="7">
        <f>SUM(tblBase[Valor_Total])</f>
        <v/>
      </c>
      <c r="F9" t="inlineStr">
        <is>
          <t>Não aplicável</t>
        </is>
      </c>
      <c r="G9">
        <f>SUMIFS(tblBase[QTD],tblBase[Grupo_Status],$F9)</f>
        <v/>
      </c>
    </row>
    <row r="10">
      <c r="B10" s="4" t="inlineStr">
        <is>
          <t>Valor em risco (em aberto)</t>
        </is>
      </c>
      <c r="C10" s="7">
        <f>SUMIFS(tblBase[Valor_Total],tblBase[Grupo_Status],"Pendente")+SUMIFS(tblBase[Valor_Total],tblBase[Grupo_Status],"Em andamento")</f>
        <v/>
      </c>
    </row>
    <row r="11">
      <c r="B11" s="4" t="inlineStr">
        <is>
          <t>Valor já debitado do STA</t>
        </is>
      </c>
      <c r="C11" s="7">
        <f>SUMIFS(tblBase[Valor_Total],tblBase[Status],"Debitar do STA")</f>
        <v/>
      </c>
    </row>
    <row r="12">
      <c r="B12" s="4" t="inlineStr">
        <is>
          <t>Aging médio dos pendentes (dias)</t>
        </is>
      </c>
      <c r="C12" s="8">
        <f>IFERROR(AVERAGE(tblBase[Dias_Em_Aberto]),0)</f>
        <v/>
      </c>
    </row>
    <row r="13">
      <c r="B13" s="4" t="inlineStr">
        <is>
          <t>STAs com itens em aberto</t>
        </is>
      </c>
      <c r="C13" s="5">
        <f>COUNTIF(SendBulkEmails!F2:F61,"&gt;0")</f>
        <v/>
      </c>
    </row>
    <row r="14">
      <c r="B14" s="4" t="inlineStr">
        <is>
          <t>Itens sem e-mail de STA</t>
        </is>
      </c>
      <c r="C14" s="5">
        <f>COUNTIF(tblBase[Email_STA],"")</f>
        <v/>
      </c>
    </row>
    <row r="17">
      <c r="B17" s="9" t="inlineStr">
        <is>
          <t>Como usar</t>
        </is>
      </c>
    </row>
    <row r="18">
      <c r="B18" t="inlineStr">
        <is>
          <t>1. Lance ou cole novos dados apenas na aba Base_RPTG (tabela tblBase). Todo o resto se atualiza sozinho.</t>
        </is>
      </c>
    </row>
    <row r="19">
      <c r="B19" t="inlineStr">
        <is>
          <t>1a. Preencha só as colunas de entrada: Email_STA, Valor_Total, Grupo_Status, Faixa_Aging, Dias_Em_Aberto, Mes, Ano e Status_Rastreio são fórmulas.</t>
        </is>
      </c>
    </row>
    <row r="20">
      <c r="B20" t="inlineStr">
        <is>
          <t>1b. Cadastre a STA na aba STAs (Cód STA + Email) — é de lá que vêm o e-mail e a lista da aba SendBulkEmails.</t>
        </is>
      </c>
    </row>
    <row r="21">
      <c r="B21" t="inlineStr">
        <is>
          <t>2. Status, Transportadora, Coordenador, Tipo e MEI têm lista suspensa (aba Parametros) — evita a mesma informação escrita de formas diferentes.</t>
        </is>
      </c>
    </row>
    <row r="22">
      <c r="B22" t="inlineStr">
        <is>
          <t>3. Grupo_Status agrupa os 9 status em Concluído / Em andamento / Pendente / Perda-Débito / Não aplicável (intervalo nomeado mapGrupoStatus).</t>
        </is>
      </c>
    </row>
    <row r="23">
      <c r="B23" t="inlineStr">
        <is>
          <t>4. Dias_Em_Aberto e Faixa_Aging medem o tempo desde o encerramento do chamado para o que ainda não voltou.</t>
        </is>
      </c>
    </row>
    <row r="24">
      <c r="B24" t="inlineStr">
        <is>
          <t>5. Abas Resumo_* e Aging_Pendentes usam SUMIFS: não precisam de 'Atualizar' como as tabelas dinâmicas.</t>
        </is>
      </c>
    </row>
    <row r="25">
      <c r="B25" t="inlineStr">
        <is>
          <t>6. Qualidade_Dados lista o que foi corrigido na base original e faz checagens ao vivo.</t>
        </is>
      </c>
    </row>
    <row r="26">
      <c r="B26" t="inlineStr">
        <is>
          <t>7. SendBulkEmails tem 1 linha por STA cadastrada, com assunto e corpo por fórmula; as macros VBA (pasta src/) fazem o envio pelo Outlook.</t>
        </is>
      </c>
    </row>
    <row r="27">
      <c r="B27" t="inlineStr">
        <is>
          <t>8. Todos os nomes, e-mails, códigos e valores desta planilha são fictícios.</t>
        </is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1" customWidth="1" min="2" max="2"/>
    <col width="6" customWidth="1" min="3" max="3"/>
    <col width="5" customWidth="1" min="4" max="4"/>
    <col width="17" customWidth="1" min="5" max="5"/>
    <col width="24" customWidth="1" min="6" max="6"/>
    <col width="15" customWidth="1" min="7" max="7"/>
    <col width="12" customWidth="1" min="8" max="8"/>
    <col width="12" customWidth="1" min="9" max="9"/>
    <col width="13" customWidth="1" min="10" max="10"/>
    <col width="13" customWidth="1" min="11" max="11"/>
    <col width="22" customWidth="1" min="12" max="12"/>
    <col width="16" customWidth="1" min="13" max="13"/>
    <col width="15" customWidth="1" min="14" max="14"/>
    <col width="13" customWidth="1" min="15" max="15"/>
    <col width="11" customWidth="1" min="16" max="16"/>
    <col width="40" customWidth="1" min="17" max="17"/>
    <col width="11" customWidth="1" min="18" max="18"/>
    <col width="30" customWidth="1" min="19" max="19"/>
    <col width="6" customWidth="1" min="20" max="20"/>
    <col width="7" customWidth="1" min="21" max="21"/>
    <col width="6" customWidth="1" min="22" max="22"/>
    <col width="7" customWidth="1" min="23" max="23"/>
    <col width="16" customWidth="1" min="24" max="24"/>
    <col width="16" customWidth="1" min="25" max="25"/>
  </cols>
  <sheetData>
    <row r="1">
      <c r="A1" s="3" t="inlineStr">
        <is>
          <t>Email_STA</t>
        </is>
      </c>
      <c r="B1" s="3" t="inlineStr">
        <is>
          <t>Chamado</t>
        </is>
      </c>
      <c r="C1" s="3" t="inlineStr">
        <is>
          <t>MEI</t>
        </is>
      </c>
      <c r="D1" s="3" t="inlineStr">
        <is>
          <t>UF</t>
        </is>
      </c>
      <c r="E1" s="3" t="inlineStr">
        <is>
          <t>Coordenador</t>
        </is>
      </c>
      <c r="F1" s="3" t="inlineStr">
        <is>
          <t>Contrato</t>
        </is>
      </c>
      <c r="G1" s="3" t="inlineStr">
        <is>
          <t>Tipo</t>
        </is>
      </c>
      <c r="H1" s="3" t="inlineStr">
        <is>
          <t>Valor_Debito_Unit</t>
        </is>
      </c>
      <c r="I1" s="3" t="inlineStr">
        <is>
          <t>Valor_Total</t>
        </is>
      </c>
      <c r="J1" s="3" t="inlineStr">
        <is>
          <t>Dta_Encerramento</t>
        </is>
      </c>
      <c r="K1" s="3" t="inlineStr">
        <is>
          <t>Data_Validacao</t>
        </is>
      </c>
      <c r="L1" s="3" t="inlineStr">
        <is>
          <t>Status</t>
        </is>
      </c>
      <c r="M1" s="3" t="inlineStr">
        <is>
          <t>Grupo_Status</t>
        </is>
      </c>
      <c r="N1" s="3" t="inlineStr">
        <is>
          <t>Faixa_Aging</t>
        </is>
      </c>
      <c r="O1" s="3" t="inlineStr">
        <is>
          <t>Dias_Em_Aberto</t>
        </is>
      </c>
      <c r="P1" s="3" t="inlineStr">
        <is>
          <t>Codigo_STA</t>
        </is>
      </c>
      <c r="Q1" s="3" t="inlineStr">
        <is>
          <t>STA</t>
        </is>
      </c>
      <c r="R1" s="3" t="inlineStr">
        <is>
          <t>Codigo_Peca</t>
        </is>
      </c>
      <c r="S1" s="3" t="inlineStr">
        <is>
          <t>Descricao</t>
        </is>
      </c>
      <c r="T1" s="3" t="inlineStr">
        <is>
          <t>QTD</t>
        </is>
      </c>
      <c r="U1" s="3" t="inlineStr">
        <is>
          <t>NF</t>
        </is>
      </c>
      <c r="V1" s="3" t="inlineStr">
        <is>
          <t>Mes</t>
        </is>
      </c>
      <c r="W1" s="3" t="inlineStr">
        <is>
          <t>Ano</t>
        </is>
      </c>
      <c r="X1" s="3" t="inlineStr">
        <is>
          <t>Transportadora</t>
        </is>
      </c>
      <c r="Y1" s="3" t="inlineStr">
        <is>
          <t>Status_Rastreio</t>
        </is>
      </c>
    </row>
    <row r="2">
      <c r="A2">
        <f>IFERROR(INDEX(STAs!$G$2:$G$61,MATCH(P2,STAs!$F$2:$F$61,0))&amp;"","")</f>
        <v/>
      </c>
      <c r="B2" t="n">
        <v>20006357</v>
      </c>
      <c r="C2" t="inlineStr">
        <is>
          <t>Não</t>
        </is>
      </c>
      <c r="D2" t="inlineStr">
        <is>
          <t>MS</t>
        </is>
      </c>
      <c r="E2" t="inlineStr">
        <is>
          <t>CENTRO OESTE</t>
        </is>
      </c>
      <c r="F2" t="inlineStr">
        <is>
          <t>Cliente C - Misturador</t>
        </is>
      </c>
      <c r="G2" t="inlineStr">
        <is>
          <t>Misturadores</t>
        </is>
      </c>
      <c r="H2" s="10" t="n">
        <v>60</v>
      </c>
      <c r="I2" s="10">
        <f>IFERROR(T2*H2,0)</f>
        <v/>
      </c>
      <c r="J2" s="11" t="n">
        <v>45901</v>
      </c>
      <c r="K2" s="11" t="n">
        <v>45910</v>
      </c>
      <c r="L2" t="inlineStr">
        <is>
          <t>Ok. Devolvida</t>
        </is>
      </c>
      <c r="M2">
        <f>IF(L2="","",IFERROR(VLOOKUP(L2,mapGrupoStatus,2,0),"Outros"))</f>
        <v/>
      </c>
      <c r="N2">
        <f>IF(O2="","",IF(O2&lt;=30,"0-30 dias",IF(O2&lt;=60,"31-60 dias",IF(O2&lt;=90,"61-90 dias","Mais de 90 dias"))))</f>
        <v/>
      </c>
      <c r="O2">
        <f>IF(OR(M2="Pendente",M2="Em andamento"),IF(J2="","",TODAY()-J2),"")</f>
        <v/>
      </c>
      <c r="P2" t="n">
        <v>10302</v>
      </c>
      <c r="Q2" t="inlineStr">
        <is>
          <t>Ice Tech Express (10302)</t>
        </is>
      </c>
      <c r="R2" t="inlineStr">
        <is>
          <t>PC-0046</t>
        </is>
      </c>
      <c r="S2" t="inlineStr">
        <is>
          <t>Sensor de nível modelo 02</t>
        </is>
      </c>
      <c r="T2" t="n">
        <v>1</v>
      </c>
      <c r="U2" t="n">
        <v>110</v>
      </c>
      <c r="V2">
        <f>IF(J2="","",MONTH(J2))</f>
        <v/>
      </c>
      <c r="W2">
        <f>IF(J2="","",YEAR(J2))</f>
        <v/>
      </c>
      <c r="X2" t="inlineStr">
        <is>
          <t>TransNorte</t>
        </is>
      </c>
      <c r="Y2">
        <f>IFERROR(INDEX(Rastreio!$H$2:$H$200,MATCH(X2&amp;"|"&amp;U2,Rastreio!$A$2:$A$200,0)),"")</f>
        <v/>
      </c>
    </row>
    <row r="3">
      <c r="A3">
        <f>IFERROR(INDEX(STAs!$G$2:$G$61,MATCH(P3,STAs!$F$2:$F$61,0))&amp;"","")</f>
        <v/>
      </c>
      <c r="B3" t="n">
        <v>20014343</v>
      </c>
      <c r="C3" t="inlineStr">
        <is>
          <t>Não</t>
        </is>
      </c>
      <c r="D3" t="inlineStr">
        <is>
          <t>RJ</t>
        </is>
      </c>
      <c r="E3" t="inlineStr">
        <is>
          <t>SUDESTE RJ e ES</t>
        </is>
      </c>
      <c r="F3" t="inlineStr">
        <is>
          <t>Cliente B - Chopeira</t>
        </is>
      </c>
      <c r="G3" t="inlineStr">
        <is>
          <t>Chopeiras</t>
        </is>
      </c>
      <c r="H3" s="10" t="n">
        <v>85</v>
      </c>
      <c r="I3" s="10">
        <f>IFERROR(T3*H3,0)</f>
        <v/>
      </c>
      <c r="J3" s="11" t="n">
        <v>45901</v>
      </c>
      <c r="K3" s="11" t="n"/>
      <c r="L3" t="inlineStr">
        <is>
          <t>Aguardando Transporte</t>
        </is>
      </c>
      <c r="M3">
        <f>IF(L3="","",IFERROR(VLOOKUP(L3,mapGrupoStatus,2,0),"Outros"))</f>
        <v/>
      </c>
      <c r="N3">
        <f>IF(O3="","",IF(O3&lt;=30,"0-30 dias",IF(O3&lt;=60,"31-60 dias",IF(O3&lt;=90,"61-90 dias","Mais de 90 dias"))))</f>
        <v/>
      </c>
      <c r="O3">
        <f>IF(OR(M3="Pendente",M3="Em andamento"),IF(J3="","",TODAY()-J3),"")</f>
        <v/>
      </c>
      <c r="P3" t="n">
        <v>12811</v>
      </c>
      <c r="Q3" t="inlineStr">
        <is>
          <t>Norte Frio Técnica (12811)</t>
        </is>
      </c>
      <c r="R3" t="inlineStr">
        <is>
          <t>PC-0036</t>
        </is>
      </c>
      <c r="S3" t="inlineStr">
        <is>
          <t>Válvula extratora modelo 02</t>
        </is>
      </c>
      <c r="T3" t="n">
        <v>2</v>
      </c>
      <c r="U3" t="n">
        <v>129</v>
      </c>
      <c r="V3">
        <f>IF(J3="","",MONTH(J3))</f>
        <v/>
      </c>
      <c r="W3">
        <f>IF(J3="","",YEAR(J3))</f>
        <v/>
      </c>
      <c r="X3" t="inlineStr">
        <is>
          <t>ViaCargo</t>
        </is>
      </c>
      <c r="Y3">
        <f>IFERROR(INDEX(Rastreio!$H$2:$H$200,MATCH(X3&amp;"|"&amp;U3,Rastreio!$A$2:$A$200,0)),"")</f>
        <v/>
      </c>
    </row>
    <row r="4">
      <c r="A4">
        <f>IFERROR(INDEX(STAs!$G$2:$G$61,MATCH(P4,STAs!$F$2:$F$61,0))&amp;"","")</f>
        <v/>
      </c>
      <c r="B4" t="n">
        <v>20000916</v>
      </c>
      <c r="C4" t="inlineStr">
        <is>
          <t>Não</t>
        </is>
      </c>
      <c r="D4" t="inlineStr">
        <is>
          <t>RJ</t>
        </is>
      </c>
      <c r="E4" t="inlineStr">
        <is>
          <t>SUDESTE RJ e ES</t>
        </is>
      </c>
      <c r="F4" t="inlineStr">
        <is>
          <t>Cliente C - Misturador</t>
        </is>
      </c>
      <c r="G4" t="inlineStr">
        <is>
          <t>Chopeiras</t>
        </is>
      </c>
      <c r="H4" s="10" t="n">
        <v>115</v>
      </c>
      <c r="I4" s="10">
        <f>IFERROR(T4*H4,0)</f>
        <v/>
      </c>
      <c r="J4" s="11" t="n">
        <v>45902</v>
      </c>
      <c r="K4" s="11" t="n">
        <v>45926</v>
      </c>
      <c r="L4" t="inlineStr">
        <is>
          <t>Ok. Devolvida</t>
        </is>
      </c>
      <c r="M4">
        <f>IF(L4="","",IFERROR(VLOOKUP(L4,mapGrupoStatus,2,0),"Outros"))</f>
        <v/>
      </c>
      <c r="N4">
        <f>IF(O4="","",IF(O4&lt;=30,"0-30 dias",IF(O4&lt;=60,"31-60 dias",IF(O4&lt;=90,"61-90 dias","Mais de 90 dias"))))</f>
        <v/>
      </c>
      <c r="O4">
        <f>IF(OR(M4="Pendente",M4="Em andamento"),IF(J4="","",TODAY()-J4),"")</f>
        <v/>
      </c>
      <c r="P4" t="n">
        <v>12336</v>
      </c>
      <c r="Q4" t="inlineStr">
        <is>
          <t>Termotec ME (12336)</t>
        </is>
      </c>
      <c r="R4" t="inlineStr">
        <is>
          <t>PC-0033</t>
        </is>
      </c>
      <c r="S4" t="inlineStr">
        <is>
          <t>Regulador de pressão modelo 02</t>
        </is>
      </c>
      <c r="T4" t="n">
        <v>1</v>
      </c>
      <c r="U4" t="n">
        <v>100</v>
      </c>
      <c r="V4">
        <f>IF(J4="","",MONTH(J4))</f>
        <v/>
      </c>
      <c r="W4">
        <f>IF(J4="","",YEAR(J4))</f>
        <v/>
      </c>
      <c r="X4" t="inlineStr">
        <is>
          <t>CargoMax</t>
        </is>
      </c>
      <c r="Y4">
        <f>IFERROR(INDEX(Rastreio!$H$2:$H$200,MATCH(X4&amp;"|"&amp;U4,Rastreio!$A$2:$A$200,0)),"")</f>
        <v/>
      </c>
    </row>
    <row r="5">
      <c r="A5">
        <f>IFERROR(INDEX(STAs!$G$2:$G$61,MATCH(P5,STAs!$F$2:$F$61,0))&amp;"","")</f>
        <v/>
      </c>
      <c r="B5" t="n">
        <v>20024969</v>
      </c>
      <c r="C5" t="inlineStr">
        <is>
          <t>Não</t>
        </is>
      </c>
      <c r="D5" t="inlineStr">
        <is>
          <t>MS</t>
        </is>
      </c>
      <c r="E5" t="inlineStr">
        <is>
          <t>CENTRO OESTE</t>
        </is>
      </c>
      <c r="F5" t="inlineStr">
        <is>
          <t>Cliente B - Chopeira</t>
        </is>
      </c>
      <c r="G5" t="inlineStr">
        <is>
          <t>Refrigeradores</t>
        </is>
      </c>
      <c r="H5" s="10" t="n">
        <v>35</v>
      </c>
      <c r="I5" s="10">
        <f>IFERROR(T5*H5,0)</f>
        <v/>
      </c>
      <c r="J5" s="11" t="n">
        <v>45902</v>
      </c>
      <c r="K5" s="11" t="n">
        <v>45961</v>
      </c>
      <c r="L5" t="inlineStr">
        <is>
          <t>Ok. Devolvida</t>
        </is>
      </c>
      <c r="M5">
        <f>IF(L5="","",IFERROR(VLOOKUP(L5,mapGrupoStatus,2,0),"Outros"))</f>
        <v/>
      </c>
      <c r="N5">
        <f>IF(O5="","",IF(O5&lt;=30,"0-30 dias",IF(O5&lt;=60,"31-60 dias",IF(O5&lt;=90,"61-90 dias","Mais de 90 dias"))))</f>
        <v/>
      </c>
      <c r="O5">
        <f>IF(OR(M5="Pendente",M5="Em andamento"),IF(J5="","",TODAY()-J5),"")</f>
        <v/>
      </c>
      <c r="P5" t="n">
        <v>10302</v>
      </c>
      <c r="Q5" t="inlineStr">
        <is>
          <t>Ice Tech Express (10302)</t>
        </is>
      </c>
      <c r="R5" t="inlineStr">
        <is>
          <t>PC-0016</t>
        </is>
      </c>
      <c r="S5" t="inlineStr">
        <is>
          <t>Filtro secador modelo 02</t>
        </is>
      </c>
      <c r="T5" t="n">
        <v>3</v>
      </c>
      <c r="U5" t="n">
        <v>146</v>
      </c>
      <c r="V5">
        <f>IF(J5="","",MONTH(J5))</f>
        <v/>
      </c>
      <c r="W5">
        <f>IF(J5="","",YEAR(J5))</f>
        <v/>
      </c>
      <c r="X5" t="inlineStr">
        <is>
          <t>LogExpress</t>
        </is>
      </c>
      <c r="Y5">
        <f>IFERROR(INDEX(Rastreio!$H$2:$H$200,MATCH(X5&amp;"|"&amp;U5,Rastreio!$A$2:$A$200,0)),"")</f>
        <v/>
      </c>
    </row>
    <row r="6">
      <c r="A6">
        <f>IFERROR(INDEX(STAs!$G$2:$G$61,MATCH(P6,STAs!$F$2:$F$61,0))&amp;"","")</f>
        <v/>
      </c>
      <c r="B6" t="n">
        <v>20038511</v>
      </c>
      <c r="C6" t="inlineStr">
        <is>
          <t>Não</t>
        </is>
      </c>
      <c r="D6" t="inlineStr">
        <is>
          <t>MG</t>
        </is>
      </c>
      <c r="E6" t="inlineStr">
        <is>
          <t>SUDESTE MG</t>
        </is>
      </c>
      <c r="F6" t="inlineStr">
        <is>
          <t>Cliente B - Chopeira</t>
        </is>
      </c>
      <c r="G6" t="inlineStr">
        <is>
          <t>Chopeiras</t>
        </is>
      </c>
      <c r="H6" s="10" t="n">
        <v>85</v>
      </c>
      <c r="I6" s="10">
        <f>IFERROR(T6*H6,0)</f>
        <v/>
      </c>
      <c r="J6" s="11" t="n">
        <v>45902</v>
      </c>
      <c r="K6" s="11" t="n">
        <v>45958</v>
      </c>
      <c r="L6" t="inlineStr">
        <is>
          <t>Ok. Devolvida</t>
        </is>
      </c>
      <c r="M6">
        <f>IF(L6="","",IFERROR(VLOOKUP(L6,mapGrupoStatus,2,0),"Outros"))</f>
        <v/>
      </c>
      <c r="N6">
        <f>IF(O6="","",IF(O6&lt;=30,"0-30 dias",IF(O6&lt;=60,"31-60 dias",IF(O6&lt;=90,"61-90 dias","Mais de 90 dias"))))</f>
        <v/>
      </c>
      <c r="O6">
        <f>IF(OR(M6="Pendente",M6="Em andamento"),IF(J6="","",TODAY()-J6),"")</f>
        <v/>
      </c>
      <c r="P6" t="n">
        <v>12470</v>
      </c>
      <c r="Q6" t="inlineStr">
        <is>
          <t>Cool Service Técnica (12470)</t>
        </is>
      </c>
      <c r="R6" t="inlineStr">
        <is>
          <t>PC-0036</t>
        </is>
      </c>
      <c r="S6" t="inlineStr">
        <is>
          <t>Válvula extratora modelo 02</t>
        </is>
      </c>
      <c r="T6" t="n">
        <v>2</v>
      </c>
      <c r="U6" t="n">
        <v>158</v>
      </c>
      <c r="V6">
        <f>IF(J6="","",MONTH(J6))</f>
        <v/>
      </c>
      <c r="W6">
        <f>IF(J6="","",YEAR(J6))</f>
        <v/>
      </c>
      <c r="X6" t="inlineStr">
        <is>
          <t>ViaCargo</t>
        </is>
      </c>
      <c r="Y6">
        <f>IFERROR(INDEX(Rastreio!$H$2:$H$200,MATCH(X6&amp;"|"&amp;U6,Rastreio!$A$2:$A$200,0)),"")</f>
        <v/>
      </c>
    </row>
    <row r="7">
      <c r="A7">
        <f>IFERROR(INDEX(STAs!$G$2:$G$61,MATCH(P7,STAs!$F$2:$F$61,0))&amp;"","")</f>
        <v/>
      </c>
      <c r="B7" t="n">
        <v>20003998</v>
      </c>
      <c r="C7" t="inlineStr">
        <is>
          <t>Não</t>
        </is>
      </c>
      <c r="D7" t="inlineStr">
        <is>
          <t>GO</t>
        </is>
      </c>
      <c r="E7" t="inlineStr">
        <is>
          <t>CENTRO OESTE</t>
        </is>
      </c>
      <c r="F7" t="inlineStr">
        <is>
          <t>Cliente A - Refrigerador</t>
        </is>
      </c>
      <c r="G7" t="inlineStr">
        <is>
          <t>Misturadores</t>
        </is>
      </c>
      <c r="H7" s="10" t="n">
        <v>50</v>
      </c>
      <c r="I7" s="10">
        <f>IFERROR(T7*H7,0)</f>
        <v/>
      </c>
      <c r="J7" s="11" t="n">
        <v>45903</v>
      </c>
      <c r="K7" s="11" t="n"/>
      <c r="L7" t="inlineStr">
        <is>
          <t>Não Devolve-Norte</t>
        </is>
      </c>
      <c r="M7">
        <f>IF(L7="","",IFERROR(VLOOKUP(L7,mapGrupoStatus,2,0),"Outros"))</f>
        <v/>
      </c>
      <c r="N7">
        <f>IF(O7="","",IF(O7&lt;=30,"0-30 dias",IF(O7&lt;=60,"31-60 dias",IF(O7&lt;=90,"61-90 dias","Mais de 90 dias"))))</f>
        <v/>
      </c>
      <c r="O7">
        <f>IF(OR(M7="Pendente",M7="Em andamento"),IF(J7="","",TODAY()-J7),"")</f>
        <v/>
      </c>
      <c r="P7" t="n">
        <v>10317</v>
      </c>
      <c r="Q7" t="inlineStr">
        <is>
          <t>Termotec Manutenção (10317)</t>
        </is>
      </c>
      <c r="R7" t="inlineStr">
        <is>
          <t>PC-0044</t>
        </is>
      </c>
      <c r="S7" t="inlineStr">
        <is>
          <t>Bico dosador modelo 03</t>
        </is>
      </c>
      <c r="T7" t="n">
        <v>1</v>
      </c>
      <c r="U7" t="inlineStr"/>
      <c r="V7">
        <f>IF(J7="","",MONTH(J7))</f>
        <v/>
      </c>
      <c r="W7">
        <f>IF(J7="","",YEAR(J7))</f>
        <v/>
      </c>
      <c r="X7" t="inlineStr"/>
      <c r="Y7">
        <f>IFERROR(INDEX(Rastreio!$H$2:$H$200,MATCH(X7&amp;"|"&amp;U7,Rastreio!$A$2:$A$200,0)),"")</f>
        <v/>
      </c>
    </row>
    <row r="8">
      <c r="A8">
        <f>IFERROR(INDEX(STAs!$G$2:$G$61,MATCH(P8,STAs!$F$2:$F$61,0))&amp;"","")</f>
        <v/>
      </c>
      <c r="B8" t="n">
        <v>20018341</v>
      </c>
      <c r="C8" t="inlineStr">
        <is>
          <t>Não</t>
        </is>
      </c>
      <c r="D8" t="inlineStr">
        <is>
          <t>AP</t>
        </is>
      </c>
      <c r="E8" t="inlineStr">
        <is>
          <t>NORTE</t>
        </is>
      </c>
      <c r="F8" t="inlineStr">
        <is>
          <t>Cliente A - Refrigerador</t>
        </is>
      </c>
      <c r="G8" t="inlineStr">
        <is>
          <t>Misturadores</t>
        </is>
      </c>
      <c r="H8" s="10" t="n">
        <v>60</v>
      </c>
      <c r="I8" s="10">
        <f>IFERROR(T8*H8,0)</f>
        <v/>
      </c>
      <c r="J8" s="11" t="n">
        <v>45903</v>
      </c>
      <c r="K8" s="11" t="n">
        <v>45927</v>
      </c>
      <c r="L8" t="inlineStr">
        <is>
          <t>Ok. Devolvida</t>
        </is>
      </c>
      <c r="M8">
        <f>IF(L8="","",IFERROR(VLOOKUP(L8,mapGrupoStatus,2,0),"Outros"))</f>
        <v/>
      </c>
      <c r="N8">
        <f>IF(O8="","",IF(O8&lt;=30,"0-30 dias",IF(O8&lt;=60,"31-60 dias",IF(O8&lt;=90,"61-90 dias","Mais de 90 dias"))))</f>
        <v/>
      </c>
      <c r="O8">
        <f>IF(OR(M8="Pendente",M8="Em andamento"),IF(J8="","",TODAY()-J8),"")</f>
        <v/>
      </c>
      <c r="P8" t="n">
        <v>11859</v>
      </c>
      <c r="Q8" t="inlineStr">
        <is>
          <t>Ice Tech Serviços (11859)</t>
        </is>
      </c>
      <c r="R8" t="inlineStr">
        <is>
          <t>PC-0046</t>
        </is>
      </c>
      <c r="S8" t="inlineStr">
        <is>
          <t>Sensor de nível modelo 02</t>
        </is>
      </c>
      <c r="T8" t="n">
        <v>3</v>
      </c>
      <c r="U8" t="n">
        <v>124</v>
      </c>
      <c r="V8">
        <f>IF(J8="","",MONTH(J8))</f>
        <v/>
      </c>
      <c r="W8">
        <f>IF(J8="","",YEAR(J8))</f>
        <v/>
      </c>
      <c r="X8" t="inlineStr">
        <is>
          <t>RotaSul</t>
        </is>
      </c>
      <c r="Y8">
        <f>IFERROR(INDEX(Rastreio!$H$2:$H$200,MATCH(X8&amp;"|"&amp;U8,Rastreio!$A$2:$A$200,0)),"")</f>
        <v/>
      </c>
    </row>
    <row r="9">
      <c r="A9">
        <f>IFERROR(INDEX(STAs!$G$2:$G$61,MATCH(P9,STAs!$F$2:$F$61,0))&amp;"","")</f>
        <v/>
      </c>
      <c r="B9" t="n">
        <v>20019775</v>
      </c>
      <c r="C9" t="inlineStr">
        <is>
          <t>Não</t>
        </is>
      </c>
      <c r="D9" t="inlineStr">
        <is>
          <t>RS</t>
        </is>
      </c>
      <c r="E9" t="inlineStr">
        <is>
          <t>SUL</t>
        </is>
      </c>
      <c r="F9" t="inlineStr">
        <is>
          <t>Cliente C - Misturador</t>
        </is>
      </c>
      <c r="G9" t="inlineStr">
        <is>
          <t>Refrigeradores</t>
        </is>
      </c>
      <c r="H9" s="10" t="n">
        <v>35</v>
      </c>
      <c r="I9" s="10">
        <f>IFERROR(T9*H9,0)</f>
        <v/>
      </c>
      <c r="J9" s="11" t="n">
        <v>45903</v>
      </c>
      <c r="K9" s="11" t="n">
        <v>45923</v>
      </c>
      <c r="L9" t="inlineStr">
        <is>
          <t>Ok. Devolvida</t>
        </is>
      </c>
      <c r="M9">
        <f>IF(L9="","",IFERROR(VLOOKUP(L9,mapGrupoStatus,2,0),"Outros"))</f>
        <v/>
      </c>
      <c r="N9">
        <f>IF(O9="","",IF(O9&lt;=30,"0-30 dias",IF(O9&lt;=60,"31-60 dias",IF(O9&lt;=90,"61-90 dias","Mais de 90 dias"))))</f>
        <v/>
      </c>
      <c r="O9">
        <f>IF(OR(M9="Pendente",M9="Em andamento"),IF(J9="","",TODAY()-J9),"")</f>
        <v/>
      </c>
      <c r="P9" t="n">
        <v>11459</v>
      </c>
      <c r="Q9" t="inlineStr">
        <is>
          <t>Frio ME (11459)</t>
        </is>
      </c>
      <c r="R9" t="inlineStr">
        <is>
          <t>PC-0020</t>
        </is>
      </c>
      <c r="S9" t="inlineStr">
        <is>
          <t>Gaxeta da porta modelo 03</t>
        </is>
      </c>
      <c r="T9" t="n">
        <v>1</v>
      </c>
      <c r="U9" t="n">
        <v>129</v>
      </c>
      <c r="V9">
        <f>IF(J9="","",MONTH(J9))</f>
        <v/>
      </c>
      <c r="W9">
        <f>IF(J9="","",YEAR(J9))</f>
        <v/>
      </c>
      <c r="X9" t="inlineStr">
        <is>
          <t>EntregaJá</t>
        </is>
      </c>
      <c r="Y9">
        <f>IFERROR(INDEX(Rastreio!$H$2:$H$200,MATCH(X9&amp;"|"&amp;U9,Rastreio!$A$2:$A$200,0)),"")</f>
        <v/>
      </c>
    </row>
    <row r="10">
      <c r="A10">
        <f>IFERROR(INDEX(STAs!$G$2:$G$61,MATCH(P10,STAs!$F$2:$F$61,0))&amp;"","")</f>
        <v/>
      </c>
      <c r="B10" t="n">
        <v>20022442</v>
      </c>
      <c r="C10" t="inlineStr">
        <is>
          <t>Não</t>
        </is>
      </c>
      <c r="D10" t="inlineStr">
        <is>
          <t>PI</t>
        </is>
      </c>
      <c r="E10" t="inlineStr">
        <is>
          <t>NORDESTE</t>
        </is>
      </c>
      <c r="F10" t="inlineStr">
        <is>
          <t>Cliente B - Chopeira</t>
        </is>
      </c>
      <c r="G10" t="inlineStr">
        <is>
          <t>Refrigeradores</t>
        </is>
      </c>
      <c r="H10" s="10" t="n">
        <v>65</v>
      </c>
      <c r="I10" s="10">
        <f>IFERROR(T10*H10,0)</f>
        <v/>
      </c>
      <c r="J10" s="11" t="n">
        <v>45903</v>
      </c>
      <c r="K10" s="11" t="n">
        <v>45940</v>
      </c>
      <c r="L10" t="inlineStr">
        <is>
          <t>Ok. Devolvida</t>
        </is>
      </c>
      <c r="M10">
        <f>IF(L10="","",IFERROR(VLOOKUP(L10,mapGrupoStatus,2,0),"Outros"))</f>
        <v/>
      </c>
      <c r="N10">
        <f>IF(O10="","",IF(O10&lt;=30,"0-30 dias",IF(O10&lt;=60,"31-60 dias",IF(O10&lt;=90,"61-90 dias","Mais de 90 dias"))))</f>
        <v/>
      </c>
      <c r="O10">
        <f>IF(OR(M10="Pendente",M10="Em andamento"),IF(J10="","",TODAY()-J10),"")</f>
        <v/>
      </c>
      <c r="P10" t="n">
        <v>10562</v>
      </c>
      <c r="Q10" t="inlineStr">
        <is>
          <t>Clima &amp; Cia (10562)</t>
        </is>
      </c>
      <c r="R10" t="inlineStr">
        <is>
          <t>PC-0010</t>
        </is>
      </c>
      <c r="S10" t="inlineStr">
        <is>
          <t>Ventilador modelo 04</t>
        </is>
      </c>
      <c r="T10" t="n">
        <v>1</v>
      </c>
      <c r="U10" t="n">
        <v>133</v>
      </c>
      <c r="V10">
        <f>IF(J10="","",MONTH(J10))</f>
        <v/>
      </c>
      <c r="W10">
        <f>IF(J10="","",YEAR(J10))</f>
        <v/>
      </c>
      <c r="X10" t="inlineStr">
        <is>
          <t>EntregaJá</t>
        </is>
      </c>
      <c r="Y10">
        <f>IFERROR(INDEX(Rastreio!$H$2:$H$200,MATCH(X10&amp;"|"&amp;U10,Rastreio!$A$2:$A$200,0)),"")</f>
        <v/>
      </c>
    </row>
    <row r="11">
      <c r="A11">
        <f>IFERROR(INDEX(STAs!$G$2:$G$61,MATCH(P11,STAs!$F$2:$F$61,0))&amp;"","")</f>
        <v/>
      </c>
      <c r="B11" t="n">
        <v>20026593</v>
      </c>
      <c r="C11" t="inlineStr">
        <is>
          <t>Não</t>
        </is>
      </c>
      <c r="D11" t="inlineStr">
        <is>
          <t>TO</t>
        </is>
      </c>
      <c r="E11" t="inlineStr">
        <is>
          <t>NORTE</t>
        </is>
      </c>
      <c r="F11" t="inlineStr">
        <is>
          <t>Cliente B - Chopeira</t>
        </is>
      </c>
      <c r="G11" t="inlineStr">
        <is>
          <t>Refrigeradores</t>
        </is>
      </c>
      <c r="H11" s="10" t="n">
        <v>315</v>
      </c>
      <c r="I11" s="10">
        <f>IFERROR(T11*H11,0)</f>
        <v/>
      </c>
      <c r="J11" s="11" t="n">
        <v>45903</v>
      </c>
      <c r="K11" s="11" t="n"/>
      <c r="L11" t="inlineStr">
        <is>
          <t>Não Devolve-Norte</t>
        </is>
      </c>
      <c r="M11">
        <f>IF(L11="","",IFERROR(VLOOKUP(L11,mapGrupoStatus,2,0),"Outros"))</f>
        <v/>
      </c>
      <c r="N11">
        <f>IF(O11="","",IF(O11&lt;=30,"0-30 dias",IF(O11&lt;=60,"31-60 dias",IF(O11&lt;=90,"61-90 dias","Mais de 90 dias"))))</f>
        <v/>
      </c>
      <c r="O11">
        <f>IF(OR(M11="Pendente",M11="Em andamento"),IF(J11="","",TODAY()-J11),"")</f>
        <v/>
      </c>
      <c r="P11" t="n">
        <v>10939</v>
      </c>
      <c r="Q11" t="inlineStr">
        <is>
          <t>Zero Grau Manutenção (10939)</t>
        </is>
      </c>
      <c r="R11" t="inlineStr">
        <is>
          <t>PC-0002</t>
        </is>
      </c>
      <c r="S11" t="inlineStr">
        <is>
          <t>Compressor modelo 02</t>
        </is>
      </c>
      <c r="T11" t="n">
        <v>1</v>
      </c>
      <c r="U11" t="inlineStr"/>
      <c r="V11">
        <f>IF(J11="","",MONTH(J11))</f>
        <v/>
      </c>
      <c r="W11">
        <f>IF(J11="","",YEAR(J11))</f>
        <v/>
      </c>
      <c r="X11" t="inlineStr"/>
      <c r="Y11">
        <f>IFERROR(INDEX(Rastreio!$H$2:$H$200,MATCH(X11&amp;"|"&amp;U11,Rastreio!$A$2:$A$200,0)),"")</f>
        <v/>
      </c>
    </row>
    <row r="12">
      <c r="A12">
        <f>IFERROR(INDEX(STAs!$G$2:$G$61,MATCH(P12,STAs!$F$2:$F$61,0))&amp;"","")</f>
        <v/>
      </c>
      <c r="B12" t="n">
        <v>20035223</v>
      </c>
      <c r="C12" t="inlineStr">
        <is>
          <t>Não</t>
        </is>
      </c>
      <c r="D12" t="inlineStr">
        <is>
          <t>PR</t>
        </is>
      </c>
      <c r="E12" t="inlineStr">
        <is>
          <t>SUL</t>
        </is>
      </c>
      <c r="F12" t="inlineStr">
        <is>
          <t>Cliente C - Misturador</t>
        </is>
      </c>
      <c r="G12" t="inlineStr">
        <is>
          <t>Refrigeradores</t>
        </is>
      </c>
      <c r="H12" s="10" t="n">
        <v>55</v>
      </c>
      <c r="I12" s="10">
        <f>IFERROR(T12*H12,0)</f>
        <v/>
      </c>
      <c r="J12" s="11" t="n">
        <v>45903</v>
      </c>
      <c r="K12" s="11" t="n"/>
      <c r="L12" t="inlineStr">
        <is>
          <t>NF Vencida</t>
        </is>
      </c>
      <c r="M12">
        <f>IF(L12="","",IFERROR(VLOOKUP(L12,mapGrupoStatus,2,0),"Outros"))</f>
        <v/>
      </c>
      <c r="N12">
        <f>IF(O12="","",IF(O12&lt;=30,"0-30 dias",IF(O12&lt;=60,"31-60 dias",IF(O12&lt;=90,"61-90 dias","Mais de 90 dias"))))</f>
        <v/>
      </c>
      <c r="O12">
        <f>IF(OR(M12="Pendente",M12="Em andamento"),IF(J12="","",TODAY()-J12),"")</f>
        <v/>
      </c>
      <c r="P12" t="n">
        <v>12089</v>
      </c>
      <c r="Q12" t="inlineStr">
        <is>
          <t>Termotec Serviços (12089)</t>
        </is>
      </c>
      <c r="R12" t="inlineStr">
        <is>
          <t>PC-0008</t>
        </is>
      </c>
      <c r="S12" t="inlineStr">
        <is>
          <t>Ventilador modelo 02</t>
        </is>
      </c>
      <c r="T12" t="n">
        <v>2</v>
      </c>
      <c r="U12" t="inlineStr"/>
      <c r="V12">
        <f>IF(J12="","",MONTH(J12))</f>
        <v/>
      </c>
      <c r="W12">
        <f>IF(J12="","",YEAR(J12))</f>
        <v/>
      </c>
      <c r="X12" t="inlineStr"/>
      <c r="Y12">
        <f>IFERROR(INDEX(Rastreio!$H$2:$H$200,MATCH(X12&amp;"|"&amp;U12,Rastreio!$A$2:$A$200,0)),"")</f>
        <v/>
      </c>
    </row>
    <row r="13">
      <c r="A13">
        <f>IFERROR(INDEX(STAs!$G$2:$G$61,MATCH(P13,STAs!$F$2:$F$61,0))&amp;"","")</f>
        <v/>
      </c>
      <c r="B13" t="n">
        <v>20001996</v>
      </c>
      <c r="C13" t="inlineStr">
        <is>
          <t>Não</t>
        </is>
      </c>
      <c r="D13" t="inlineStr">
        <is>
          <t>PE</t>
        </is>
      </c>
      <c r="E13" t="inlineStr">
        <is>
          <t>NORDESTE</t>
        </is>
      </c>
      <c r="F13" t="inlineStr">
        <is>
          <t>Cliente B - Chopeira</t>
        </is>
      </c>
      <c r="G13" t="inlineStr">
        <is>
          <t>Misturadores</t>
        </is>
      </c>
      <c r="H13" s="10" t="n">
        <v>255</v>
      </c>
      <c r="I13" s="10">
        <f>IFERROR(T13*H13,0)</f>
        <v/>
      </c>
      <c r="J13" s="11" t="n">
        <v>45904</v>
      </c>
      <c r="K13" s="11" t="n">
        <v>45922</v>
      </c>
      <c r="L13" t="inlineStr">
        <is>
          <t>Ok. Devolvida</t>
        </is>
      </c>
      <c r="M13">
        <f>IF(L13="","",IFERROR(VLOOKUP(L13,mapGrupoStatus,2,0),"Outros"))</f>
        <v/>
      </c>
      <c r="N13">
        <f>IF(O13="","",IF(O13&lt;=30,"0-30 dias",IF(O13&lt;=60,"31-60 dias",IF(O13&lt;=90,"61-90 dias","Mais de 90 dias"))))</f>
        <v/>
      </c>
      <c r="O13">
        <f>IF(OR(M13="Pendente",M13="Em andamento"),IF(J13="","",TODAY()-J13),"")</f>
        <v/>
      </c>
      <c r="P13" t="n">
        <v>11352</v>
      </c>
      <c r="Q13" t="inlineStr">
        <is>
          <t>Frio Express (11352)</t>
        </is>
      </c>
      <c r="R13" t="inlineStr">
        <is>
          <t>PC-0039</t>
        </is>
      </c>
      <c r="S13" t="inlineStr">
        <is>
          <t>Bomba de recirculação modelo 03</t>
        </is>
      </c>
      <c r="T13" t="n">
        <v>1</v>
      </c>
      <c r="U13" t="n">
        <v>101</v>
      </c>
      <c r="V13">
        <f>IF(J13="","",MONTH(J13))</f>
        <v/>
      </c>
      <c r="W13">
        <f>IF(J13="","",YEAR(J13))</f>
        <v/>
      </c>
      <c r="X13" t="inlineStr">
        <is>
          <t>TransNorte</t>
        </is>
      </c>
      <c r="Y13">
        <f>IFERROR(INDEX(Rastreio!$H$2:$H$200,MATCH(X13&amp;"|"&amp;U13,Rastreio!$A$2:$A$200,0)),"")</f>
        <v/>
      </c>
    </row>
    <row r="14">
      <c r="A14">
        <f>IFERROR(INDEX(STAs!$G$2:$G$61,MATCH(P14,STAs!$F$2:$F$61,0))&amp;"","")</f>
        <v/>
      </c>
      <c r="B14" t="n">
        <v>20009837</v>
      </c>
      <c r="C14" t="inlineStr">
        <is>
          <t>Não</t>
        </is>
      </c>
      <c r="D14" t="inlineStr">
        <is>
          <t>PR</t>
        </is>
      </c>
      <c r="E14" t="inlineStr">
        <is>
          <t>SUL</t>
        </is>
      </c>
      <c r="F14" t="inlineStr">
        <is>
          <t>Cliente A - Refrigerador</t>
        </is>
      </c>
      <c r="G14" t="inlineStr">
        <is>
          <t>Chopeiras</t>
        </is>
      </c>
      <c r="H14" s="10" t="n">
        <v>85</v>
      </c>
      <c r="I14" s="10">
        <f>IFERROR(T14*H14,0)</f>
        <v/>
      </c>
      <c r="J14" s="11" t="n">
        <v>45904</v>
      </c>
      <c r="K14" s="11" t="n"/>
      <c r="L14" t="inlineStr">
        <is>
          <t>Em transporte</t>
        </is>
      </c>
      <c r="M14">
        <f>IF(L14="","",IFERROR(VLOOKUP(L14,mapGrupoStatus,2,0),"Outros"))</f>
        <v/>
      </c>
      <c r="N14">
        <f>IF(O14="","",IF(O14&lt;=30,"0-30 dias",IF(O14&lt;=60,"31-60 dias",IF(O14&lt;=90,"61-90 dias","Mais de 90 dias"))))</f>
        <v/>
      </c>
      <c r="O14">
        <f>IF(OR(M14="Pendente",M14="Em andamento"),IF(J14="","",TODAY()-J14),"")</f>
        <v/>
      </c>
      <c r="P14" t="n">
        <v>10504</v>
      </c>
      <c r="Q14" t="inlineStr">
        <is>
          <t>Zero Grau Ltda (10504)</t>
        </is>
      </c>
      <c r="R14" t="inlineStr">
        <is>
          <t>PC-0035</t>
        </is>
      </c>
      <c r="S14" t="inlineStr">
        <is>
          <t>Válvula extratora modelo 01</t>
        </is>
      </c>
      <c r="T14" t="n">
        <v>2</v>
      </c>
      <c r="U14" t="n">
        <v>117</v>
      </c>
      <c r="V14">
        <f>IF(J14="","",MONTH(J14))</f>
        <v/>
      </c>
      <c r="W14">
        <f>IF(J14="","",YEAR(J14))</f>
        <v/>
      </c>
      <c r="X14" t="inlineStr">
        <is>
          <t>TransNorte</t>
        </is>
      </c>
      <c r="Y14">
        <f>IFERROR(INDEX(Rastreio!$H$2:$H$200,MATCH(X14&amp;"|"&amp;U14,Rastreio!$A$2:$A$200,0)),"")</f>
        <v/>
      </c>
    </row>
    <row r="15">
      <c r="A15">
        <f>IFERROR(INDEX(STAs!$G$2:$G$61,MATCH(P15,STAs!$F$2:$F$61,0))&amp;"","")</f>
        <v/>
      </c>
      <c r="B15" t="n">
        <v>20023917</v>
      </c>
      <c r="C15" t="inlineStr">
        <is>
          <t>Sim</t>
        </is>
      </c>
      <c r="D15" t="inlineStr">
        <is>
          <t>SP</t>
        </is>
      </c>
      <c r="E15" t="inlineStr">
        <is>
          <t>SUDESTE SP</t>
        </is>
      </c>
      <c r="F15" t="inlineStr">
        <is>
          <t>Cliente B - Chopeira</t>
        </is>
      </c>
      <c r="G15" t="inlineStr">
        <is>
          <t>Misturadores</t>
        </is>
      </c>
      <c r="H15" s="10" t="n">
        <v>200</v>
      </c>
      <c r="I15" s="10">
        <f>IFERROR(T15*H15,0)</f>
        <v/>
      </c>
      <c r="J15" s="11" t="n">
        <v>45904</v>
      </c>
      <c r="K15" s="11" t="n"/>
      <c r="L15" t="inlineStr">
        <is>
          <t>Aguardando Transporte</t>
        </is>
      </c>
      <c r="M15">
        <f>IF(L15="","",IFERROR(VLOOKUP(L15,mapGrupoStatus,2,0),"Outros"))</f>
        <v/>
      </c>
      <c r="N15">
        <f>IF(O15="","",IF(O15&lt;=30,"0-30 dias",IF(O15&lt;=60,"31-60 dias",IF(O15&lt;=90,"61-90 dias","Mais de 90 dias"))))</f>
        <v/>
      </c>
      <c r="O15">
        <f>IF(OR(M15="Pendente",M15="Em andamento"),IF(J15="","",TODAY()-J15),"")</f>
        <v/>
      </c>
      <c r="P15" t="n">
        <v>10010</v>
      </c>
      <c r="Q15" t="inlineStr">
        <is>
          <t>Cool Service ME (10010)</t>
        </is>
      </c>
      <c r="R15" t="inlineStr">
        <is>
          <t>PC-0040</t>
        </is>
      </c>
      <c r="S15" t="inlineStr">
        <is>
          <t>Motor agitador modelo 01</t>
        </is>
      </c>
      <c r="T15" t="n">
        <v>1</v>
      </c>
      <c r="U15" t="n">
        <v>136</v>
      </c>
      <c r="V15">
        <f>IF(J15="","",MONTH(J15))</f>
        <v/>
      </c>
      <c r="W15">
        <f>IF(J15="","",YEAR(J15))</f>
        <v/>
      </c>
      <c r="X15" t="inlineStr">
        <is>
          <t>EntregaJá</t>
        </is>
      </c>
      <c r="Y15">
        <f>IFERROR(INDEX(Rastreio!$H$2:$H$200,MATCH(X15&amp;"|"&amp;U15,Rastreio!$A$2:$A$200,0)),"")</f>
        <v/>
      </c>
    </row>
    <row r="16">
      <c r="A16">
        <f>IFERROR(INDEX(STAs!$G$2:$G$61,MATCH(P16,STAs!$F$2:$F$61,0))&amp;"","")</f>
        <v/>
      </c>
      <c r="B16" t="n">
        <v>20029380</v>
      </c>
      <c r="C16" t="inlineStr">
        <is>
          <t>Não</t>
        </is>
      </c>
      <c r="D16" t="inlineStr">
        <is>
          <t>SP</t>
        </is>
      </c>
      <c r="E16" t="inlineStr">
        <is>
          <t>SUDESTE SP</t>
        </is>
      </c>
      <c r="F16" t="inlineStr">
        <is>
          <t>Cliente B - Chopeira</t>
        </is>
      </c>
      <c r="G16" t="inlineStr">
        <is>
          <t>Chopeiras</t>
        </is>
      </c>
      <c r="H16" s="10" t="n">
        <v>85</v>
      </c>
      <c r="I16" s="10">
        <f>IFERROR(T16*H16,0)</f>
        <v/>
      </c>
      <c r="J16" s="11" t="n">
        <v>45904</v>
      </c>
      <c r="K16" s="11" t="n">
        <v>45961</v>
      </c>
      <c r="L16" t="inlineStr">
        <is>
          <t>Ok. Devolvida</t>
        </is>
      </c>
      <c r="M16">
        <f>IF(L16="","",IFERROR(VLOOKUP(L16,mapGrupoStatus,2,0),"Outros"))</f>
        <v/>
      </c>
      <c r="N16">
        <f>IF(O16="","",IF(O16&lt;=30,"0-30 dias",IF(O16&lt;=60,"31-60 dias",IF(O16&lt;=90,"61-90 dias","Mais de 90 dias"))))</f>
        <v/>
      </c>
      <c r="O16">
        <f>IF(OR(M16="Pendente",M16="Em andamento"),IF(J16="","",TODAY()-J16),"")</f>
        <v/>
      </c>
      <c r="P16" t="n">
        <v>11710</v>
      </c>
      <c r="Q16" t="inlineStr">
        <is>
          <t>Brisa &amp; Cia (11710)</t>
        </is>
      </c>
      <c r="R16" t="inlineStr">
        <is>
          <t>PC-0035</t>
        </is>
      </c>
      <c r="S16" t="inlineStr">
        <is>
          <t>Válvula extratora modelo 01</t>
        </is>
      </c>
      <c r="T16" t="n">
        <v>2</v>
      </c>
      <c r="U16" t="n">
        <v>155</v>
      </c>
      <c r="V16">
        <f>IF(J16="","",MONTH(J16))</f>
        <v/>
      </c>
      <c r="W16">
        <f>IF(J16="","",YEAR(J16))</f>
        <v/>
      </c>
      <c r="X16" t="inlineStr">
        <is>
          <t>LogExpress</t>
        </is>
      </c>
      <c r="Y16">
        <f>IFERROR(INDEX(Rastreio!$H$2:$H$200,MATCH(X16&amp;"|"&amp;U16,Rastreio!$A$2:$A$200,0)),"")</f>
        <v/>
      </c>
    </row>
    <row r="17">
      <c r="A17">
        <f>IFERROR(INDEX(STAs!$G$2:$G$61,MATCH(P17,STAs!$F$2:$F$61,0))&amp;"","")</f>
        <v/>
      </c>
      <c r="B17" t="n">
        <v>20032538</v>
      </c>
      <c r="C17" t="inlineStr">
        <is>
          <t>Não</t>
        </is>
      </c>
      <c r="D17" t="inlineStr">
        <is>
          <t>AM</t>
        </is>
      </c>
      <c r="E17" t="inlineStr">
        <is>
          <t>NORTE</t>
        </is>
      </c>
      <c r="F17" t="inlineStr">
        <is>
          <t>Cliente A - Refrigerador</t>
        </is>
      </c>
      <c r="G17" t="inlineStr">
        <is>
          <t>Refrigeradores</t>
        </is>
      </c>
      <c r="H17" s="10" t="n">
        <v>175</v>
      </c>
      <c r="I17" s="10">
        <f>IFERROR(T17*H17,0)</f>
        <v/>
      </c>
      <c r="J17" s="11" t="n">
        <v>45904</v>
      </c>
      <c r="K17" s="11" t="n">
        <v>45939</v>
      </c>
      <c r="L17" t="inlineStr">
        <is>
          <t>Ok. Devolvida</t>
        </is>
      </c>
      <c r="M17">
        <f>IF(L17="","",IFERROR(VLOOKUP(L17,mapGrupoStatus,2,0),"Outros"))</f>
        <v/>
      </c>
      <c r="N17">
        <f>IF(O17="","",IF(O17&lt;=30,"0-30 dias",IF(O17&lt;=60,"31-60 dias",IF(O17&lt;=90,"61-90 dias","Mais de 90 dias"))))</f>
        <v/>
      </c>
      <c r="O17">
        <f>IF(OR(M17="Pendente",M17="Em andamento"),IF(J17="","",TODAY()-J17),"")</f>
        <v/>
      </c>
      <c r="P17" t="n">
        <v>12269</v>
      </c>
      <c r="Q17" t="inlineStr">
        <is>
          <t>Polar Técnica (12269)</t>
        </is>
      </c>
      <c r="R17" t="inlineStr">
        <is>
          <t>PC-0012</t>
        </is>
      </c>
      <c r="S17" t="inlineStr">
        <is>
          <t>Placa eletrônica modelo 02</t>
        </is>
      </c>
      <c r="T17" t="n">
        <v>1</v>
      </c>
      <c r="U17" t="n">
        <v>157</v>
      </c>
      <c r="V17">
        <f>IF(J17="","",MONTH(J17))</f>
        <v/>
      </c>
      <c r="W17">
        <f>IF(J17="","",YEAR(J17))</f>
        <v/>
      </c>
      <c r="X17" t="inlineStr">
        <is>
          <t>RotaSul</t>
        </is>
      </c>
      <c r="Y17">
        <f>IFERROR(INDEX(Rastreio!$H$2:$H$200,MATCH(X17&amp;"|"&amp;U17,Rastreio!$A$2:$A$200,0)),"")</f>
        <v/>
      </c>
    </row>
    <row r="18">
      <c r="A18">
        <f>IFERROR(INDEX(STAs!$G$2:$G$61,MATCH(P18,STAs!$F$2:$F$61,0))&amp;"","")</f>
        <v/>
      </c>
      <c r="B18" t="n">
        <v>20035552</v>
      </c>
      <c r="C18" t="inlineStr">
        <is>
          <t>Não</t>
        </is>
      </c>
      <c r="D18" t="inlineStr">
        <is>
          <t>RR</t>
        </is>
      </c>
      <c r="E18" t="inlineStr">
        <is>
          <t>NORTE</t>
        </is>
      </c>
      <c r="F18" t="inlineStr">
        <is>
          <t>Cliente A - Refrigerador</t>
        </is>
      </c>
      <c r="G18" t="inlineStr">
        <is>
          <t>Refrigeradores</t>
        </is>
      </c>
      <c r="H18" s="10" t="n">
        <v>55</v>
      </c>
      <c r="I18" s="10">
        <f>IFERROR(T18*H18,0)</f>
        <v/>
      </c>
      <c r="J18" s="11" t="n">
        <v>45904</v>
      </c>
      <c r="K18" s="11" t="n">
        <v>45961</v>
      </c>
      <c r="L18" t="inlineStr">
        <is>
          <t>Ok. Devolvida</t>
        </is>
      </c>
      <c r="M18">
        <f>IF(L18="","",IFERROR(VLOOKUP(L18,mapGrupoStatus,2,0),"Outros"))</f>
        <v/>
      </c>
      <c r="N18">
        <f>IF(O18="","",IF(O18&lt;=30,"0-30 dias",IF(O18&lt;=60,"31-60 dias",IF(O18&lt;=90,"61-90 dias","Mais de 90 dias"))))</f>
        <v/>
      </c>
      <c r="O18">
        <f>IF(OR(M18="Pendente",M18="Em andamento"),IF(J18="","",TODAY()-J18),"")</f>
        <v/>
      </c>
      <c r="P18" t="n">
        <v>10468</v>
      </c>
      <c r="Q18" t="inlineStr">
        <is>
          <t>Clima Express (10468)</t>
        </is>
      </c>
      <c r="R18" t="inlineStr">
        <is>
          <t>PC-0007</t>
        </is>
      </c>
      <c r="S18" t="inlineStr">
        <is>
          <t>Ventilador modelo 01</t>
        </is>
      </c>
      <c r="T18" t="n">
        <v>2</v>
      </c>
      <c r="U18" t="n">
        <v>165</v>
      </c>
      <c r="V18">
        <f>IF(J18="","",MONTH(J18))</f>
        <v/>
      </c>
      <c r="W18">
        <f>IF(J18="","",YEAR(J18))</f>
        <v/>
      </c>
      <c r="X18" t="inlineStr">
        <is>
          <t>RotaSul</t>
        </is>
      </c>
      <c r="Y18">
        <f>IFERROR(INDEX(Rastreio!$H$2:$H$200,MATCH(X18&amp;"|"&amp;U18,Rastreio!$A$2:$A$200,0)),"")</f>
        <v/>
      </c>
    </row>
    <row r="19">
      <c r="A19">
        <f>IFERROR(INDEX(STAs!$G$2:$G$61,MATCH(P19,STAs!$F$2:$F$61,0))&amp;"","")</f>
        <v/>
      </c>
      <c r="B19" t="n">
        <v>20040039</v>
      </c>
      <c r="C19" t="inlineStr">
        <is>
          <t>Não</t>
        </is>
      </c>
      <c r="D19" t="inlineStr">
        <is>
          <t>SP</t>
        </is>
      </c>
      <c r="E19" t="inlineStr">
        <is>
          <t>SUDESTE SP</t>
        </is>
      </c>
      <c r="F19" t="inlineStr">
        <is>
          <t>Cliente A - Refrigerador</t>
        </is>
      </c>
      <c r="G19" t="inlineStr">
        <is>
          <t>Misturadores</t>
        </is>
      </c>
      <c r="H19" s="10" t="n">
        <v>255</v>
      </c>
      <c r="I19" s="10">
        <f>IFERROR(T19*H19,0)</f>
        <v/>
      </c>
      <c r="J19" s="11" t="n">
        <v>45904</v>
      </c>
      <c r="K19" s="11" t="n"/>
      <c r="L19" t="inlineStr">
        <is>
          <t>Aguardando devolução</t>
        </is>
      </c>
      <c r="M19">
        <f>IF(L19="","",IFERROR(VLOOKUP(L19,mapGrupoStatus,2,0),"Outros"))</f>
        <v/>
      </c>
      <c r="N19">
        <f>IF(O19="","",IF(O19&lt;=30,"0-30 dias",IF(O19&lt;=60,"31-60 dias",IF(O19&lt;=90,"61-90 dias","Mais de 90 dias"))))</f>
        <v/>
      </c>
      <c r="O19">
        <f>IF(OR(M19="Pendente",M19="Em andamento"),IF(J19="","",TODAY()-J19),"")</f>
        <v/>
      </c>
      <c r="P19" t="n">
        <v>12901</v>
      </c>
      <c r="Q19" t="inlineStr">
        <is>
          <t>Frio Serviços (12901)</t>
        </is>
      </c>
      <c r="R19" t="inlineStr">
        <is>
          <t>PC-0037</t>
        </is>
      </c>
      <c r="S19" t="inlineStr">
        <is>
          <t>Bomba de recirculação modelo 01</t>
        </is>
      </c>
      <c r="T19" t="n">
        <v>3</v>
      </c>
      <c r="U19" t="inlineStr"/>
      <c r="V19">
        <f>IF(J19="","",MONTH(J19))</f>
        <v/>
      </c>
      <c r="W19">
        <f>IF(J19="","",YEAR(J19))</f>
        <v/>
      </c>
      <c r="X19" t="inlineStr"/>
      <c r="Y19">
        <f>IFERROR(INDEX(Rastreio!$H$2:$H$200,MATCH(X19&amp;"|"&amp;U19,Rastreio!$A$2:$A$200,0)),"")</f>
        <v/>
      </c>
    </row>
    <row r="20">
      <c r="A20">
        <f>IFERROR(INDEX(STAs!$G$2:$G$61,MATCH(P20,STAs!$F$2:$F$61,0))&amp;"","")</f>
        <v/>
      </c>
      <c r="B20" t="n">
        <v>20040502</v>
      </c>
      <c r="C20" t="inlineStr">
        <is>
          <t>Não</t>
        </is>
      </c>
      <c r="D20" t="inlineStr">
        <is>
          <t>GO</t>
        </is>
      </c>
      <c r="E20" t="inlineStr">
        <is>
          <t>CENTRO OESTE</t>
        </is>
      </c>
      <c r="F20" t="inlineStr">
        <is>
          <t>Cliente B - Chopeira</t>
        </is>
      </c>
      <c r="G20" t="inlineStr">
        <is>
          <t>Refrigeradores</t>
        </is>
      </c>
      <c r="H20" s="10" t="n">
        <v>155</v>
      </c>
      <c r="I20" s="10">
        <f>IFERROR(T20*H20,0)</f>
        <v/>
      </c>
      <c r="J20" s="11" t="n">
        <v>45904</v>
      </c>
      <c r="K20" s="11" t="n"/>
      <c r="L20" t="inlineStr">
        <is>
          <t>Não Devolve-Norte</t>
        </is>
      </c>
      <c r="M20">
        <f>IF(L20="","",IFERROR(VLOOKUP(L20,mapGrupoStatus,2,0),"Outros"))</f>
        <v/>
      </c>
      <c r="N20">
        <f>IF(O20="","",IF(O20&lt;=30,"0-30 dias",IF(O20&lt;=60,"31-60 dias",IF(O20&lt;=90,"61-90 dias","Mais de 90 dias"))))</f>
        <v/>
      </c>
      <c r="O20">
        <f>IF(OR(M20="Pendente",M20="Em andamento"),IF(J20="","",TODAY()-J20),"")</f>
        <v/>
      </c>
      <c r="P20" t="n">
        <v>12007</v>
      </c>
      <c r="Q20" t="inlineStr">
        <is>
          <t>Refrigel Ltda (12007)</t>
        </is>
      </c>
      <c r="R20" t="inlineStr">
        <is>
          <t>PC-0022</t>
        </is>
      </c>
      <c r="S20" t="inlineStr">
        <is>
          <t>Controlador digital modelo 02</t>
        </is>
      </c>
      <c r="T20" t="n">
        <v>1</v>
      </c>
      <c r="U20" t="inlineStr"/>
      <c r="V20">
        <f>IF(J20="","",MONTH(J20))</f>
        <v/>
      </c>
      <c r="W20">
        <f>IF(J20="","",YEAR(J20))</f>
        <v/>
      </c>
      <c r="X20" t="inlineStr"/>
      <c r="Y20">
        <f>IFERROR(INDEX(Rastreio!$H$2:$H$200,MATCH(X20&amp;"|"&amp;U20,Rastreio!$A$2:$A$200,0)),"")</f>
        <v/>
      </c>
    </row>
    <row r="21">
      <c r="A21">
        <f>IFERROR(INDEX(STAs!$G$2:$G$61,MATCH(P21,STAs!$F$2:$F$61,0))&amp;"","")</f>
        <v/>
      </c>
      <c r="B21" t="n">
        <v>20004072</v>
      </c>
      <c r="C21" t="inlineStr">
        <is>
          <t>Não</t>
        </is>
      </c>
      <c r="D21" t="inlineStr">
        <is>
          <t>MG</t>
        </is>
      </c>
      <c r="E21" t="inlineStr">
        <is>
          <t>SUDESTE MG</t>
        </is>
      </c>
      <c r="F21" t="inlineStr">
        <is>
          <t>Cliente B - Chopeira</t>
        </is>
      </c>
      <c r="G21" t="inlineStr">
        <is>
          <t>Refrigeradores</t>
        </is>
      </c>
      <c r="H21" s="10" t="n">
        <v>45</v>
      </c>
      <c r="I21" s="10">
        <f>IFERROR(T21*H21,0)</f>
        <v/>
      </c>
      <c r="J21" s="11" t="n">
        <v>45905</v>
      </c>
      <c r="K21" s="11" t="n">
        <v>45948</v>
      </c>
      <c r="L21" t="inlineStr">
        <is>
          <t>Ok. Devolvida</t>
        </is>
      </c>
      <c r="M21">
        <f>IF(L21="","",IFERROR(VLOOKUP(L21,mapGrupoStatus,2,0),"Outros"))</f>
        <v/>
      </c>
      <c r="N21">
        <f>IF(O21="","",IF(O21&lt;=30,"0-30 dias",IF(O21&lt;=60,"31-60 dias",IF(O21&lt;=90,"61-90 dias","Mais de 90 dias"))))</f>
        <v/>
      </c>
      <c r="O21">
        <f>IF(OR(M21="Pendente",M21="Em andamento"),IF(J21="","",TODAY()-J21),"")</f>
        <v/>
      </c>
      <c r="P21" t="n">
        <v>12689</v>
      </c>
      <c r="Q21" t="inlineStr">
        <is>
          <t>Norte Frio Manutenção (12689)</t>
        </is>
      </c>
      <c r="R21" t="inlineStr">
        <is>
          <t>PC-0019</t>
        </is>
      </c>
      <c r="S21" t="inlineStr">
        <is>
          <t>Gaxeta da porta modelo 02</t>
        </is>
      </c>
      <c r="T21" t="n">
        <v>1</v>
      </c>
      <c r="U21" t="n">
        <v>105</v>
      </c>
      <c r="V21">
        <f>IF(J21="","",MONTH(J21))</f>
        <v/>
      </c>
      <c r="W21">
        <f>IF(J21="","",YEAR(J21))</f>
        <v/>
      </c>
      <c r="X21" t="inlineStr">
        <is>
          <t>LogExpress</t>
        </is>
      </c>
      <c r="Y21">
        <f>IFERROR(INDEX(Rastreio!$H$2:$H$200,MATCH(X21&amp;"|"&amp;U21,Rastreio!$A$2:$A$200,0)),"")</f>
        <v/>
      </c>
    </row>
    <row r="22">
      <c r="A22">
        <f>IFERROR(INDEX(STAs!$G$2:$G$61,MATCH(P22,STAs!$F$2:$F$61,0))&amp;"","")</f>
        <v/>
      </c>
      <c r="B22" t="n">
        <v>20024708</v>
      </c>
      <c r="C22" t="inlineStr">
        <is>
          <t>Não</t>
        </is>
      </c>
      <c r="D22" t="inlineStr">
        <is>
          <t>PA</t>
        </is>
      </c>
      <c r="E22" t="inlineStr">
        <is>
          <t>NORTE</t>
        </is>
      </c>
      <c r="F22" t="inlineStr">
        <is>
          <t>Cliente C - Misturador</t>
        </is>
      </c>
      <c r="G22" t="inlineStr">
        <is>
          <t>Misturadores</t>
        </is>
      </c>
      <c r="H22" s="10" t="n">
        <v>255</v>
      </c>
      <c r="I22" s="10">
        <f>IFERROR(T22*H22,0)</f>
        <v/>
      </c>
      <c r="J22" s="11" t="n">
        <v>45905</v>
      </c>
      <c r="K22" s="11" t="n"/>
      <c r="L22" t="inlineStr">
        <is>
          <t>Não Devolve-Norte</t>
        </is>
      </c>
      <c r="M22">
        <f>IF(L22="","",IFERROR(VLOOKUP(L22,mapGrupoStatus,2,0),"Outros"))</f>
        <v/>
      </c>
      <c r="N22">
        <f>IF(O22="","",IF(O22&lt;=30,"0-30 dias",IF(O22&lt;=60,"31-60 dias",IF(O22&lt;=90,"61-90 dias","Mais de 90 dias"))))</f>
        <v/>
      </c>
      <c r="O22">
        <f>IF(OR(M22="Pendente",M22="Em andamento"),IF(J22="","",TODAY()-J22),"")</f>
        <v/>
      </c>
      <c r="P22" t="n">
        <v>11986</v>
      </c>
      <c r="Q22" t="inlineStr">
        <is>
          <t>Polar Serviços (11986)</t>
        </is>
      </c>
      <c r="R22" t="inlineStr">
        <is>
          <t>PC-0039</t>
        </is>
      </c>
      <c r="S22" t="inlineStr">
        <is>
          <t>Bomba de recirculação modelo 03</t>
        </is>
      </c>
      <c r="T22" t="n">
        <v>2</v>
      </c>
      <c r="U22" t="inlineStr"/>
      <c r="V22">
        <f>IF(J22="","",MONTH(J22))</f>
        <v/>
      </c>
      <c r="W22">
        <f>IF(J22="","",YEAR(J22))</f>
        <v/>
      </c>
      <c r="X22" t="inlineStr"/>
      <c r="Y22">
        <f>IFERROR(INDEX(Rastreio!$H$2:$H$200,MATCH(X22&amp;"|"&amp;U22,Rastreio!$A$2:$A$200,0)),"")</f>
        <v/>
      </c>
    </row>
    <row r="23">
      <c r="A23">
        <f>IFERROR(INDEX(STAs!$G$2:$G$61,MATCH(P23,STAs!$F$2:$F$61,0))&amp;"","")</f>
        <v/>
      </c>
      <c r="B23" t="n">
        <v>20025192</v>
      </c>
      <c r="C23" t="inlineStr">
        <is>
          <t>Não</t>
        </is>
      </c>
      <c r="D23" t="inlineStr">
        <is>
          <t>RJ</t>
        </is>
      </c>
      <c r="E23" t="inlineStr">
        <is>
          <t>SUDESTE RJ e ES</t>
        </is>
      </c>
      <c r="F23" t="inlineStr">
        <is>
          <t>Cliente B - Chopeira</t>
        </is>
      </c>
      <c r="G23" t="inlineStr">
        <is>
          <t>Refrigeradores</t>
        </is>
      </c>
      <c r="H23" s="10" t="n">
        <v>50</v>
      </c>
      <c r="I23" s="10">
        <f>IFERROR(T23*H23,0)</f>
        <v/>
      </c>
      <c r="J23" s="11" t="n">
        <v>45905</v>
      </c>
      <c r="K23" s="11" t="n"/>
      <c r="L23" t="inlineStr">
        <is>
          <t>NPD</t>
        </is>
      </c>
      <c r="M23">
        <f>IF(L23="","",IFERROR(VLOOKUP(L23,mapGrupoStatus,2,0),"Outros"))</f>
        <v/>
      </c>
      <c r="N23">
        <f>IF(O23="","",IF(O23&lt;=30,"0-30 dias",IF(O23&lt;=60,"31-60 dias",IF(O23&lt;=90,"61-90 dias","Mais de 90 dias"))))</f>
        <v/>
      </c>
      <c r="O23">
        <f>IF(OR(M23="Pendente",M23="Em andamento"),IF(J23="","",TODAY()-J23),"")</f>
        <v/>
      </c>
      <c r="P23" t="n">
        <v>11059</v>
      </c>
      <c r="Q23" t="inlineStr">
        <is>
          <t>Frio Ltda (11059)</t>
        </is>
      </c>
      <c r="R23" t="inlineStr">
        <is>
          <t>PC-0006</t>
        </is>
      </c>
      <c r="S23" t="inlineStr">
        <is>
          <t>Termostato modelo 03</t>
        </is>
      </c>
      <c r="T23" t="n">
        <v>3</v>
      </c>
      <c r="U23" t="inlineStr"/>
      <c r="V23">
        <f>IF(J23="","",MONTH(J23))</f>
        <v/>
      </c>
      <c r="W23">
        <f>IF(J23="","",YEAR(J23))</f>
        <v/>
      </c>
      <c r="X23" t="inlineStr"/>
      <c r="Y23">
        <f>IFERROR(INDEX(Rastreio!$H$2:$H$200,MATCH(X23&amp;"|"&amp;U23,Rastreio!$A$2:$A$200,0)),"")</f>
        <v/>
      </c>
    </row>
    <row r="24">
      <c r="A24">
        <f>IFERROR(INDEX(STAs!$G$2:$G$61,MATCH(P24,STAs!$F$2:$F$61,0))&amp;"","")</f>
        <v/>
      </c>
      <c r="B24" t="n">
        <v>20025509</v>
      </c>
      <c r="C24" t="inlineStr">
        <is>
          <t>Não</t>
        </is>
      </c>
      <c r="D24" t="inlineStr">
        <is>
          <t>RJ</t>
        </is>
      </c>
      <c r="E24" t="inlineStr">
        <is>
          <t>SUDESTE RJ e ES</t>
        </is>
      </c>
      <c r="F24" t="inlineStr">
        <is>
          <t>Cliente C - Misturador</t>
        </is>
      </c>
      <c r="G24" t="inlineStr">
        <is>
          <t>Refrigeradores</t>
        </is>
      </c>
      <c r="H24" s="10" t="n">
        <v>35</v>
      </c>
      <c r="I24" s="10">
        <f>IFERROR(T24*H24,0)</f>
        <v/>
      </c>
      <c r="J24" s="11" t="n">
        <v>45905</v>
      </c>
      <c r="K24" s="11" t="n">
        <v>45916</v>
      </c>
      <c r="L24" t="inlineStr">
        <is>
          <t>Ok. Devolvida</t>
        </is>
      </c>
      <c r="M24">
        <f>IF(L24="","",IFERROR(VLOOKUP(L24,mapGrupoStatus,2,0),"Outros"))</f>
        <v/>
      </c>
      <c r="N24">
        <f>IF(O24="","",IF(O24&lt;=30,"0-30 dias",IF(O24&lt;=60,"31-60 dias",IF(O24&lt;=90,"61-90 dias","Mais de 90 dias"))))</f>
        <v/>
      </c>
      <c r="O24">
        <f>IF(OR(M24="Pendente",M24="Em andamento"),IF(J24="","",TODAY()-J24),"")</f>
        <v/>
      </c>
      <c r="P24" t="n">
        <v>12336</v>
      </c>
      <c r="Q24" t="inlineStr">
        <is>
          <t>Termotec ME (12336)</t>
        </is>
      </c>
      <c r="R24" t="inlineStr">
        <is>
          <t>PC-0016</t>
        </is>
      </c>
      <c r="S24" t="inlineStr">
        <is>
          <t>Filtro secador modelo 02</t>
        </is>
      </c>
      <c r="T24" t="n">
        <v>1</v>
      </c>
      <c r="U24" t="n">
        <v>142</v>
      </c>
      <c r="V24">
        <f>IF(J24="","",MONTH(J24))</f>
        <v/>
      </c>
      <c r="W24">
        <f>IF(J24="","",YEAR(J24))</f>
        <v/>
      </c>
      <c r="X24" t="inlineStr">
        <is>
          <t>ViaCargo</t>
        </is>
      </c>
      <c r="Y24">
        <f>IFERROR(INDEX(Rastreio!$H$2:$H$200,MATCH(X24&amp;"|"&amp;U24,Rastreio!$A$2:$A$200,0)),"")</f>
        <v/>
      </c>
    </row>
    <row r="25">
      <c r="A25">
        <f>IFERROR(INDEX(STAs!$G$2:$G$61,MATCH(P25,STAs!$F$2:$F$61,0))&amp;"","")</f>
        <v/>
      </c>
      <c r="B25" t="n">
        <v>20035873</v>
      </c>
      <c r="C25" t="inlineStr">
        <is>
          <t>Não</t>
        </is>
      </c>
      <c r="D25" t="inlineStr">
        <is>
          <t>MT</t>
        </is>
      </c>
      <c r="E25" t="inlineStr">
        <is>
          <t>CENTRO OESTE</t>
        </is>
      </c>
      <c r="F25" t="inlineStr">
        <is>
          <t>Cliente A - Refrigerador</t>
        </is>
      </c>
      <c r="G25" t="inlineStr">
        <is>
          <t>Refrigeradores</t>
        </is>
      </c>
      <c r="H25" s="10" t="n">
        <v>50</v>
      </c>
      <c r="I25" s="10">
        <f>IFERROR(T25*H25,0)</f>
        <v/>
      </c>
      <c r="J25" s="11" t="n">
        <v>45905</v>
      </c>
      <c r="K25" s="11" t="n"/>
      <c r="L25" t="inlineStr">
        <is>
          <t>Debitar do STA</t>
        </is>
      </c>
      <c r="M25">
        <f>IF(L25="","",IFERROR(VLOOKUP(L25,mapGrupoStatus,2,0),"Outros"))</f>
        <v/>
      </c>
      <c r="N25">
        <f>IF(O25="","",IF(O25&lt;=30,"0-30 dias",IF(O25&lt;=60,"31-60 dias",IF(O25&lt;=90,"61-90 dias","Mais de 90 dias"))))</f>
        <v/>
      </c>
      <c r="O25">
        <f>IF(OR(M25="Pendente",M25="Em andamento"),IF(J25="","",TODAY()-J25),"")</f>
        <v/>
      </c>
      <c r="P25" t="n">
        <v>10227</v>
      </c>
      <c r="Q25" t="inlineStr">
        <is>
          <t>Assistência Técnica ME (10227)</t>
        </is>
      </c>
      <c r="R25" t="inlineStr">
        <is>
          <t>PC-0006</t>
        </is>
      </c>
      <c r="S25" t="inlineStr">
        <is>
          <t>Termostato modelo 03</t>
        </is>
      </c>
      <c r="T25" t="n">
        <v>1</v>
      </c>
      <c r="U25" t="inlineStr"/>
      <c r="V25">
        <f>IF(J25="","",MONTH(J25))</f>
        <v/>
      </c>
      <c r="W25">
        <f>IF(J25="","",YEAR(J25))</f>
        <v/>
      </c>
      <c r="X25" t="inlineStr"/>
      <c r="Y25">
        <f>IFERROR(INDEX(Rastreio!$H$2:$H$200,MATCH(X25&amp;"|"&amp;U25,Rastreio!$A$2:$A$200,0)),"")</f>
        <v/>
      </c>
    </row>
    <row r="26">
      <c r="A26">
        <f>IFERROR(INDEX(STAs!$G$2:$G$61,MATCH(P26,STAs!$F$2:$F$61,0))&amp;"","")</f>
        <v/>
      </c>
      <c r="B26" t="n">
        <v>20005745</v>
      </c>
      <c r="C26" t="inlineStr">
        <is>
          <t>Não</t>
        </is>
      </c>
      <c r="D26" t="inlineStr">
        <is>
          <t>ES</t>
        </is>
      </c>
      <c r="E26" t="inlineStr">
        <is>
          <t>SUDESTE RJ e ES</t>
        </is>
      </c>
      <c r="F26" t="inlineStr">
        <is>
          <t>Cliente C - Misturador</t>
        </is>
      </c>
      <c r="G26" t="inlineStr">
        <is>
          <t>Chopeiras</t>
        </is>
      </c>
      <c r="H26" s="10" t="n">
        <v>85</v>
      </c>
      <c r="I26" s="10">
        <f>IFERROR(T26*H26,0)</f>
        <v/>
      </c>
      <c r="J26" s="11" t="n">
        <v>45906</v>
      </c>
      <c r="K26" s="11" t="n">
        <v>45925</v>
      </c>
      <c r="L26" t="inlineStr">
        <is>
          <t>Ok. Devolvida</t>
        </is>
      </c>
      <c r="M26">
        <f>IF(L26="","",IFERROR(VLOOKUP(L26,mapGrupoStatus,2,0),"Outros"))</f>
        <v/>
      </c>
      <c r="N26">
        <f>IF(O26="","",IF(O26&lt;=30,"0-30 dias",IF(O26&lt;=60,"31-60 dias",IF(O26&lt;=90,"61-90 dias","Mais de 90 dias"))))</f>
        <v/>
      </c>
      <c r="O26">
        <f>IF(OR(M26="Pendente",M26="Em andamento"),IF(J26="","",TODAY()-J26),"")</f>
        <v/>
      </c>
      <c r="P26" t="n">
        <v>11099</v>
      </c>
      <c r="Q26" t="inlineStr">
        <is>
          <t>Refrigel Serviços (11099)</t>
        </is>
      </c>
      <c r="R26" t="inlineStr">
        <is>
          <t>PC-0028</t>
        </is>
      </c>
      <c r="S26" t="inlineStr">
        <is>
          <t>Torneira de chopp modelo 03</t>
        </is>
      </c>
      <c r="T26" t="n">
        <v>1</v>
      </c>
      <c r="U26" t="n">
        <v>107</v>
      </c>
      <c r="V26">
        <f>IF(J26="","",MONTH(J26))</f>
        <v/>
      </c>
      <c r="W26">
        <f>IF(J26="","",YEAR(J26))</f>
        <v/>
      </c>
      <c r="X26" t="inlineStr">
        <is>
          <t>CargoMax</t>
        </is>
      </c>
      <c r="Y26">
        <f>IFERROR(INDEX(Rastreio!$H$2:$H$200,MATCH(X26&amp;"|"&amp;U26,Rastreio!$A$2:$A$200,0)),"")</f>
        <v/>
      </c>
    </row>
    <row r="27">
      <c r="A27">
        <f>IFERROR(INDEX(STAs!$G$2:$G$61,MATCH(P27,STAs!$F$2:$F$61,0))&amp;"","")</f>
        <v/>
      </c>
      <c r="B27" t="n">
        <v>20009956</v>
      </c>
      <c r="C27" t="inlineStr">
        <is>
          <t>Não</t>
        </is>
      </c>
      <c r="D27" t="inlineStr">
        <is>
          <t>SP</t>
        </is>
      </c>
      <c r="E27" t="inlineStr">
        <is>
          <t>SUDESTE SP</t>
        </is>
      </c>
      <c r="F27" t="inlineStr">
        <is>
          <t>Cliente A - Refrigerador</t>
        </is>
      </c>
      <c r="G27" t="inlineStr">
        <is>
          <t>Misturadores</t>
        </is>
      </c>
      <c r="H27" s="10" t="n">
        <v>50</v>
      </c>
      <c r="I27" s="10">
        <f>IFERROR(T27*H27,0)</f>
        <v/>
      </c>
      <c r="J27" s="11" t="n">
        <v>45906</v>
      </c>
      <c r="K27" s="11" t="n"/>
      <c r="L27" t="inlineStr">
        <is>
          <t>Em transporte</t>
        </is>
      </c>
      <c r="M27">
        <f>IF(L27="","",IFERROR(VLOOKUP(L27,mapGrupoStatus,2,0),"Outros"))</f>
        <v/>
      </c>
      <c r="N27">
        <f>IF(O27="","",IF(O27&lt;=30,"0-30 dias",IF(O27&lt;=60,"31-60 dias",IF(O27&lt;=90,"61-90 dias","Mais de 90 dias"))))</f>
        <v/>
      </c>
      <c r="O27">
        <f>IF(OR(M27="Pendente",M27="Em andamento"),IF(J27="","",TODAY()-J27),"")</f>
        <v/>
      </c>
      <c r="P27" t="n">
        <v>12052</v>
      </c>
      <c r="Q27" t="inlineStr">
        <is>
          <t>Brisa Refrigeração (12052)</t>
        </is>
      </c>
      <c r="R27" t="inlineStr">
        <is>
          <t>PC-0047</t>
        </is>
      </c>
      <c r="S27" t="inlineStr">
        <is>
          <t>Sensor de nível modelo 03</t>
        </is>
      </c>
      <c r="T27" t="n">
        <v>1</v>
      </c>
      <c r="U27" t="n">
        <v>120</v>
      </c>
      <c r="V27">
        <f>IF(J27="","",MONTH(J27))</f>
        <v/>
      </c>
      <c r="W27">
        <f>IF(J27="","",YEAR(J27))</f>
        <v/>
      </c>
      <c r="X27" t="inlineStr">
        <is>
          <t>CargoMax</t>
        </is>
      </c>
      <c r="Y27">
        <f>IFERROR(INDEX(Rastreio!$H$2:$H$200,MATCH(X27&amp;"|"&amp;U27,Rastreio!$A$2:$A$200,0)),"")</f>
        <v/>
      </c>
    </row>
    <row r="28">
      <c r="A28">
        <f>IFERROR(INDEX(STAs!$G$2:$G$61,MATCH(P28,STAs!$F$2:$F$61,0))&amp;"","")</f>
        <v/>
      </c>
      <c r="B28" t="n">
        <v>20012611</v>
      </c>
      <c r="C28" t="inlineStr">
        <is>
          <t>Não</t>
        </is>
      </c>
      <c r="D28" t="inlineStr">
        <is>
          <t>RJ</t>
        </is>
      </c>
      <c r="E28" t="inlineStr">
        <is>
          <t>SUDESTE RJ e ES</t>
        </is>
      </c>
      <c r="F28" t="inlineStr">
        <is>
          <t>Cliente B - Chopeira</t>
        </is>
      </c>
      <c r="G28" t="inlineStr">
        <is>
          <t>Misturadores</t>
        </is>
      </c>
      <c r="H28" s="10" t="n">
        <v>60</v>
      </c>
      <c r="I28" s="10">
        <f>IFERROR(T28*H28,0)</f>
        <v/>
      </c>
      <c r="J28" s="11" t="n">
        <v>45906</v>
      </c>
      <c r="K28" s="11" t="n"/>
      <c r="L28" t="inlineStr">
        <is>
          <t>Em andamento</t>
        </is>
      </c>
      <c r="M28">
        <f>IF(L28="","",IFERROR(VLOOKUP(L28,mapGrupoStatus,2,0),"Outros"))</f>
        <v/>
      </c>
      <c r="N28">
        <f>IF(O28="","",IF(O28&lt;=30,"0-30 dias",IF(O28&lt;=60,"31-60 dias",IF(O28&lt;=90,"61-90 dias","Mais de 90 dias"))))</f>
        <v/>
      </c>
      <c r="O28">
        <f>IF(OR(M28="Pendente",M28="Em andamento"),IF(J28="","",TODAY()-J28),"")</f>
        <v/>
      </c>
      <c r="P28" t="n">
        <v>10676</v>
      </c>
      <c r="Q28" t="inlineStr">
        <is>
          <t>Clima Serviços (10676)</t>
        </is>
      </c>
      <c r="R28" t="inlineStr">
        <is>
          <t>PC-0048</t>
        </is>
      </c>
      <c r="S28" t="inlineStr">
        <is>
          <t>Sensor de nível modelo 04</t>
        </is>
      </c>
      <c r="T28" t="n">
        <v>1</v>
      </c>
      <c r="U28" t="n">
        <v>124</v>
      </c>
      <c r="V28">
        <f>IF(J28="","",MONTH(J28))</f>
        <v/>
      </c>
      <c r="W28">
        <f>IF(J28="","",YEAR(J28))</f>
        <v/>
      </c>
      <c r="X28" t="inlineStr">
        <is>
          <t>EntregaJá</t>
        </is>
      </c>
      <c r="Y28">
        <f>IFERROR(INDEX(Rastreio!$H$2:$H$200,MATCH(X28&amp;"|"&amp;U28,Rastreio!$A$2:$A$200,0)),"")</f>
        <v/>
      </c>
    </row>
    <row r="29">
      <c r="A29">
        <f>IFERROR(INDEX(STAs!$G$2:$G$61,MATCH(P29,STAs!$F$2:$F$61,0))&amp;"","")</f>
        <v/>
      </c>
      <c r="B29" t="n">
        <v>20021129</v>
      </c>
      <c r="C29" t="inlineStr">
        <is>
          <t>Não</t>
        </is>
      </c>
      <c r="D29" t="inlineStr">
        <is>
          <t>SP</t>
        </is>
      </c>
      <c r="E29" t="inlineStr">
        <is>
          <t>SUDESTE SP</t>
        </is>
      </c>
      <c r="F29" t="inlineStr">
        <is>
          <t>Cliente B - Chopeira</t>
        </is>
      </c>
      <c r="G29" t="inlineStr">
        <is>
          <t>Refrigeradores</t>
        </is>
      </c>
      <c r="H29" s="10" t="n">
        <v>325</v>
      </c>
      <c r="I29" s="10">
        <f>IFERROR(T29*H29,0)</f>
        <v/>
      </c>
      <c r="J29" s="11" t="n">
        <v>45906</v>
      </c>
      <c r="K29" s="11" t="n">
        <v>45912</v>
      </c>
      <c r="L29" t="inlineStr">
        <is>
          <t>Ok. Devolvida</t>
        </is>
      </c>
      <c r="M29">
        <f>IF(L29="","",IFERROR(VLOOKUP(L29,mapGrupoStatus,2,0),"Outros"))</f>
        <v/>
      </c>
      <c r="N29">
        <f>IF(O29="","",IF(O29&lt;=30,"0-30 dias",IF(O29&lt;=60,"31-60 dias",IF(O29&lt;=90,"61-90 dias","Mais de 90 dias"))))</f>
        <v/>
      </c>
      <c r="O29">
        <f>IF(OR(M29="Pendente",M29="Em andamento"),IF(J29="","",TODAY()-J29),"")</f>
        <v/>
      </c>
      <c r="P29" t="n">
        <v>10538</v>
      </c>
      <c r="Q29" t="inlineStr">
        <is>
          <t>Frio Refrigeração (10538)</t>
        </is>
      </c>
      <c r="R29" t="inlineStr">
        <is>
          <t>PC-0001</t>
        </is>
      </c>
      <c r="S29" t="inlineStr">
        <is>
          <t>Compressor modelo 01</t>
        </is>
      </c>
      <c r="T29" t="n">
        <v>1</v>
      </c>
      <c r="U29" t="n">
        <v>139</v>
      </c>
      <c r="V29">
        <f>IF(J29="","",MONTH(J29))</f>
        <v/>
      </c>
      <c r="W29">
        <f>IF(J29="","",YEAR(J29))</f>
        <v/>
      </c>
      <c r="X29" t="inlineStr">
        <is>
          <t>CargoMax</t>
        </is>
      </c>
      <c r="Y29">
        <f>IFERROR(INDEX(Rastreio!$H$2:$H$200,MATCH(X29&amp;"|"&amp;U29,Rastreio!$A$2:$A$200,0)),"")</f>
        <v/>
      </c>
    </row>
    <row r="30">
      <c r="A30">
        <f>IFERROR(INDEX(STAs!$G$2:$G$61,MATCH(P30,STAs!$F$2:$F$61,0))&amp;"","")</f>
        <v/>
      </c>
      <c r="B30" t="n">
        <v>20023674</v>
      </c>
      <c r="C30" t="inlineStr">
        <is>
          <t>Não</t>
        </is>
      </c>
      <c r="D30" t="inlineStr">
        <is>
          <t>RR</t>
        </is>
      </c>
      <c r="E30" t="inlineStr">
        <is>
          <t>NORTE</t>
        </is>
      </c>
      <c r="F30" t="inlineStr">
        <is>
          <t>Cliente A - Refrigerador</t>
        </is>
      </c>
      <c r="G30" t="inlineStr">
        <is>
          <t>Refrigeradores</t>
        </is>
      </c>
      <c r="H30" s="10" t="n">
        <v>25</v>
      </c>
      <c r="I30" s="10">
        <f>IFERROR(T30*H30,0)</f>
        <v/>
      </c>
      <c r="J30" s="11" t="n">
        <v>45906</v>
      </c>
      <c r="K30" s="11" t="n">
        <v>45925</v>
      </c>
      <c r="L30" t="inlineStr">
        <is>
          <t>Ok. Devolvida</t>
        </is>
      </c>
      <c r="M30">
        <f>IF(L30="","",IFERROR(VLOOKUP(L30,mapGrupoStatus,2,0),"Outros"))</f>
        <v/>
      </c>
      <c r="N30">
        <f>IF(O30="","",IF(O30&lt;=30,"0-30 dias",IF(O30&lt;=60,"31-60 dias",IF(O30&lt;=90,"61-90 dias","Mais de 90 dias"))))</f>
        <v/>
      </c>
      <c r="O30">
        <f>IF(OR(M30="Pendente",M30="Em andamento"),IF(J30="","",TODAY()-J30),"")</f>
        <v/>
      </c>
      <c r="P30" t="n">
        <v>12422</v>
      </c>
      <c r="Q30" t="inlineStr">
        <is>
          <t>Assistência Técnica Refrigeração (12422)</t>
        </is>
      </c>
      <c r="R30" t="inlineStr">
        <is>
          <t>PC-0015</t>
        </is>
      </c>
      <c r="S30" t="inlineStr">
        <is>
          <t>Filtro secador modelo 01</t>
        </is>
      </c>
      <c r="T30" t="n">
        <v>1</v>
      </c>
      <c r="U30" t="n">
        <v>139</v>
      </c>
      <c r="V30">
        <f>IF(J30="","",MONTH(J30))</f>
        <v/>
      </c>
      <c r="W30">
        <f>IF(J30="","",YEAR(J30))</f>
        <v/>
      </c>
      <c r="X30" t="inlineStr">
        <is>
          <t>RotaSul</t>
        </is>
      </c>
      <c r="Y30">
        <f>IFERROR(INDEX(Rastreio!$H$2:$H$200,MATCH(X30&amp;"|"&amp;U30,Rastreio!$A$2:$A$200,0)),"")</f>
        <v/>
      </c>
    </row>
    <row r="31">
      <c r="A31">
        <f>IFERROR(INDEX(STAs!$G$2:$G$61,MATCH(P31,STAs!$F$2:$F$61,0))&amp;"","")</f>
        <v/>
      </c>
      <c r="B31" t="n">
        <v>20023872</v>
      </c>
      <c r="C31" t="inlineStr">
        <is>
          <t>Não</t>
        </is>
      </c>
      <c r="D31" t="inlineStr">
        <is>
          <t>TO</t>
        </is>
      </c>
      <c r="E31" t="inlineStr">
        <is>
          <t>NORTE</t>
        </is>
      </c>
      <c r="F31" t="inlineStr">
        <is>
          <t>Cliente C - Misturador</t>
        </is>
      </c>
      <c r="G31" t="inlineStr">
        <is>
          <t>Chopeiras</t>
        </is>
      </c>
      <c r="H31" s="10" t="n">
        <v>85</v>
      </c>
      <c r="I31" s="10">
        <f>IFERROR(T31*H31,0)</f>
        <v/>
      </c>
      <c r="J31" s="11" t="n">
        <v>45906</v>
      </c>
      <c r="K31" s="11" t="n"/>
      <c r="L31" t="inlineStr">
        <is>
          <t>Não Devolve-Norte</t>
        </is>
      </c>
      <c r="M31">
        <f>IF(L31="","",IFERROR(VLOOKUP(L31,mapGrupoStatus,2,0),"Outros"))</f>
        <v/>
      </c>
      <c r="N31">
        <f>IF(O31="","",IF(O31&lt;=30,"0-30 dias",IF(O31&lt;=60,"31-60 dias",IF(O31&lt;=90,"61-90 dias","Mais de 90 dias"))))</f>
        <v/>
      </c>
      <c r="O31">
        <f>IF(OR(M31="Pendente",M31="Em andamento"),IF(J31="","",TODAY()-J31),"")</f>
        <v/>
      </c>
      <c r="P31" t="n">
        <v>10939</v>
      </c>
      <c r="Q31" t="inlineStr">
        <is>
          <t>Zero Grau Manutenção (10939)</t>
        </is>
      </c>
      <c r="R31" t="inlineStr">
        <is>
          <t>PC-0036</t>
        </is>
      </c>
      <c r="S31" t="inlineStr">
        <is>
          <t>Válvula extratora modelo 02</t>
        </is>
      </c>
      <c r="T31" t="n">
        <v>2</v>
      </c>
      <c r="U31" t="inlineStr"/>
      <c r="V31">
        <f>IF(J31="","",MONTH(J31))</f>
        <v/>
      </c>
      <c r="W31">
        <f>IF(J31="","",YEAR(J31))</f>
        <v/>
      </c>
      <c r="X31" t="inlineStr"/>
      <c r="Y31">
        <f>IFERROR(INDEX(Rastreio!$H$2:$H$200,MATCH(X31&amp;"|"&amp;U31,Rastreio!$A$2:$A$200,0)),"")</f>
        <v/>
      </c>
    </row>
    <row r="32">
      <c r="A32">
        <f>IFERROR(INDEX(STAs!$G$2:$G$61,MATCH(P32,STAs!$F$2:$F$61,0))&amp;"","")</f>
        <v/>
      </c>
      <c r="B32" t="n">
        <v>20030728</v>
      </c>
      <c r="C32" t="inlineStr">
        <is>
          <t>Não</t>
        </is>
      </c>
      <c r="D32" t="inlineStr">
        <is>
          <t>PA</t>
        </is>
      </c>
      <c r="E32" t="inlineStr">
        <is>
          <t>NORTE</t>
        </is>
      </c>
      <c r="F32" t="inlineStr">
        <is>
          <t>Cliente A - Refrigerador</t>
        </is>
      </c>
      <c r="G32" t="inlineStr">
        <is>
          <t>Refrigeradores</t>
        </is>
      </c>
      <c r="H32" s="10" t="n">
        <v>315</v>
      </c>
      <c r="I32" s="10">
        <f>IFERROR(T32*H32,0)</f>
        <v/>
      </c>
      <c r="J32" s="11" t="n">
        <v>45906</v>
      </c>
      <c r="K32" s="11" t="n"/>
      <c r="L32" t="inlineStr">
        <is>
          <t>Não Devolve-Norte</t>
        </is>
      </c>
      <c r="M32">
        <f>IF(L32="","",IFERROR(VLOOKUP(L32,mapGrupoStatus,2,0),"Outros"))</f>
        <v/>
      </c>
      <c r="N32">
        <f>IF(O32="","",IF(O32&lt;=30,"0-30 dias",IF(O32&lt;=60,"31-60 dias",IF(O32&lt;=90,"61-90 dias","Mais de 90 dias"))))</f>
        <v/>
      </c>
      <c r="O32">
        <f>IF(OR(M32="Pendente",M32="Em andamento"),IF(J32="","",TODAY()-J32),"")</f>
        <v/>
      </c>
      <c r="P32" t="n">
        <v>11986</v>
      </c>
      <c r="Q32" t="inlineStr">
        <is>
          <t>Polar Serviços (11986)</t>
        </is>
      </c>
      <c r="R32" t="inlineStr">
        <is>
          <t>PC-0002</t>
        </is>
      </c>
      <c r="S32" t="inlineStr">
        <is>
          <t>Compressor modelo 02</t>
        </is>
      </c>
      <c r="T32" t="n">
        <v>2</v>
      </c>
      <c r="U32" t="inlineStr"/>
      <c r="V32">
        <f>IF(J32="","",MONTH(J32))</f>
        <v/>
      </c>
      <c r="W32">
        <f>IF(J32="","",YEAR(J32))</f>
        <v/>
      </c>
      <c r="X32" t="inlineStr"/>
      <c r="Y32">
        <f>IFERROR(INDEX(Rastreio!$H$2:$H$200,MATCH(X32&amp;"|"&amp;U32,Rastreio!$A$2:$A$200,0)),"")</f>
        <v/>
      </c>
    </row>
    <row r="33">
      <c r="A33">
        <f>IFERROR(INDEX(STAs!$G$2:$G$61,MATCH(P33,STAs!$F$2:$F$61,0))&amp;"","")</f>
        <v/>
      </c>
      <c r="B33" t="n">
        <v>20038093</v>
      </c>
      <c r="C33" t="inlineStr">
        <is>
          <t>Não</t>
        </is>
      </c>
      <c r="D33" t="inlineStr">
        <is>
          <t>BA</t>
        </is>
      </c>
      <c r="E33" t="inlineStr">
        <is>
          <t>NORDESTE</t>
        </is>
      </c>
      <c r="F33" t="inlineStr">
        <is>
          <t>Cliente C - Misturador</t>
        </is>
      </c>
      <c r="G33" t="inlineStr">
        <is>
          <t>Misturadores</t>
        </is>
      </c>
      <c r="H33" s="10" t="n">
        <v>50</v>
      </c>
      <c r="I33" s="10">
        <f>IFERROR(T33*H33,0)</f>
        <v/>
      </c>
      <c r="J33" s="11" t="n">
        <v>45906</v>
      </c>
      <c r="K33" s="11" t="n">
        <v>45943</v>
      </c>
      <c r="L33" t="inlineStr">
        <is>
          <t>Ok. Devolvida</t>
        </is>
      </c>
      <c r="M33">
        <f>IF(L33="","",IFERROR(VLOOKUP(L33,mapGrupoStatus,2,0),"Outros"))</f>
        <v/>
      </c>
      <c r="N33">
        <f>IF(O33="","",IF(O33&lt;=30,"0-30 dias",IF(O33&lt;=60,"31-60 dias",IF(O33&lt;=90,"61-90 dias","Mais de 90 dias"))))</f>
        <v/>
      </c>
      <c r="O33">
        <f>IF(OR(M33="Pendente",M33="Em andamento"),IF(J33="","",TODAY()-J33),"")</f>
        <v/>
      </c>
      <c r="P33" t="n">
        <v>12194</v>
      </c>
      <c r="Q33" t="inlineStr">
        <is>
          <t>Polar &amp; Cia (12194)</t>
        </is>
      </c>
      <c r="R33" t="inlineStr">
        <is>
          <t>PC-0045</t>
        </is>
      </c>
      <c r="S33" t="inlineStr">
        <is>
          <t>Sensor de nível modelo 01</t>
        </is>
      </c>
      <c r="T33" t="n">
        <v>1</v>
      </c>
      <c r="U33" t="n">
        <v>169</v>
      </c>
      <c r="V33">
        <f>IF(J33="","",MONTH(J33))</f>
        <v/>
      </c>
      <c r="W33">
        <f>IF(J33="","",YEAR(J33))</f>
        <v/>
      </c>
      <c r="X33" t="inlineStr">
        <is>
          <t>LogExpress</t>
        </is>
      </c>
      <c r="Y33">
        <f>IFERROR(INDEX(Rastreio!$H$2:$H$200,MATCH(X33&amp;"|"&amp;U33,Rastreio!$A$2:$A$200,0)),"")</f>
        <v/>
      </c>
    </row>
    <row r="34">
      <c r="A34">
        <f>IFERROR(INDEX(STAs!$G$2:$G$61,MATCH(P34,STAs!$F$2:$F$61,0))&amp;"","")</f>
        <v/>
      </c>
      <c r="B34" t="n">
        <v>20039365</v>
      </c>
      <c r="C34" t="inlineStr">
        <is>
          <t>Não</t>
        </is>
      </c>
      <c r="D34" t="inlineStr">
        <is>
          <t>PI</t>
        </is>
      </c>
      <c r="E34" t="inlineStr">
        <is>
          <t>NORDESTE</t>
        </is>
      </c>
      <c r="F34" t="inlineStr">
        <is>
          <t>Cliente A - Refrigerador</t>
        </is>
      </c>
      <c r="G34" t="inlineStr">
        <is>
          <t>Chopeiras</t>
        </is>
      </c>
      <c r="H34" s="10" t="n">
        <v>115</v>
      </c>
      <c r="I34" s="10">
        <f>IFERROR(T34*H34,0)</f>
        <v/>
      </c>
      <c r="J34" s="11" t="n">
        <v>45906</v>
      </c>
      <c r="K34" s="11" t="n"/>
      <c r="L34" t="inlineStr">
        <is>
          <t>NPD</t>
        </is>
      </c>
      <c r="M34">
        <f>IF(L34="","",IFERROR(VLOOKUP(L34,mapGrupoStatus,2,0),"Outros"))</f>
        <v/>
      </c>
      <c r="N34">
        <f>IF(O34="","",IF(O34&lt;=30,"0-30 dias",IF(O34&lt;=60,"31-60 dias",IF(O34&lt;=90,"61-90 dias","Mais de 90 dias"))))</f>
        <v/>
      </c>
      <c r="O34">
        <f>IF(OR(M34="Pendente",M34="Em andamento"),IF(J34="","",TODAY()-J34),"")</f>
        <v/>
      </c>
      <c r="P34" t="n">
        <v>12936</v>
      </c>
      <c r="Q34" t="inlineStr">
        <is>
          <t>Frigo Técnica (12936)</t>
        </is>
      </c>
      <c r="R34" t="inlineStr">
        <is>
          <t>PC-0033</t>
        </is>
      </c>
      <c r="S34" t="inlineStr">
        <is>
          <t>Regulador de pressão modelo 02</t>
        </is>
      </c>
      <c r="T34" t="n">
        <v>1</v>
      </c>
      <c r="U34" t="inlineStr"/>
      <c r="V34">
        <f>IF(J34="","",MONTH(J34))</f>
        <v/>
      </c>
      <c r="W34">
        <f>IF(J34="","",YEAR(J34))</f>
        <v/>
      </c>
      <c r="X34" t="inlineStr"/>
      <c r="Y34">
        <f>IFERROR(INDEX(Rastreio!$H$2:$H$200,MATCH(X34&amp;"|"&amp;U34,Rastreio!$A$2:$A$200,0)),"")</f>
        <v/>
      </c>
    </row>
    <row r="35">
      <c r="A35">
        <f>IFERROR(INDEX(STAs!$G$2:$G$61,MATCH(P35,STAs!$F$2:$F$61,0))&amp;"","")</f>
        <v/>
      </c>
      <c r="B35" t="n">
        <v>20005361</v>
      </c>
      <c r="C35" t="inlineStr">
        <is>
          <t>Não</t>
        </is>
      </c>
      <c r="D35" t="inlineStr">
        <is>
          <t>RJ</t>
        </is>
      </c>
      <c r="E35" t="inlineStr">
        <is>
          <t>SUDESTE RJ e ES</t>
        </is>
      </c>
      <c r="F35" t="inlineStr">
        <is>
          <t>Cliente C - Misturador</t>
        </is>
      </c>
      <c r="G35" t="inlineStr">
        <is>
          <t>Refrigeradores</t>
        </is>
      </c>
      <c r="H35" s="10" t="n">
        <v>155</v>
      </c>
      <c r="I35" s="10">
        <f>IFERROR(T35*H35,0)</f>
        <v/>
      </c>
      <c r="J35" s="11" t="n">
        <v>45907</v>
      </c>
      <c r="K35" s="11" t="n">
        <v>45936</v>
      </c>
      <c r="L35" t="inlineStr">
        <is>
          <t>Ok. Devolvida</t>
        </is>
      </c>
      <c r="M35">
        <f>IF(L35="","",IFERROR(VLOOKUP(L35,mapGrupoStatus,2,0),"Outros"))</f>
        <v/>
      </c>
      <c r="N35">
        <f>IF(O35="","",IF(O35&lt;=30,"0-30 dias",IF(O35&lt;=60,"31-60 dias",IF(O35&lt;=90,"61-90 dias","Mais de 90 dias"))))</f>
        <v/>
      </c>
      <c r="O35">
        <f>IF(OR(M35="Pendente",M35="Em andamento"),IF(J35="","",TODAY()-J35),"")</f>
        <v/>
      </c>
      <c r="P35" t="n">
        <v>12336</v>
      </c>
      <c r="Q35" t="inlineStr">
        <is>
          <t>Termotec ME (12336)</t>
        </is>
      </c>
      <c r="R35" t="inlineStr">
        <is>
          <t>PC-0021</t>
        </is>
      </c>
      <c r="S35" t="inlineStr">
        <is>
          <t>Controlador digital modelo 01</t>
        </is>
      </c>
      <c r="T35" t="n">
        <v>2</v>
      </c>
      <c r="U35" t="n">
        <v>107</v>
      </c>
      <c r="V35">
        <f>IF(J35="","",MONTH(J35))</f>
        <v/>
      </c>
      <c r="W35">
        <f>IF(J35="","",YEAR(J35))</f>
        <v/>
      </c>
      <c r="X35" t="inlineStr">
        <is>
          <t>LogExpress</t>
        </is>
      </c>
      <c r="Y35">
        <f>IFERROR(INDEX(Rastreio!$H$2:$H$200,MATCH(X35&amp;"|"&amp;U35,Rastreio!$A$2:$A$200,0)),"")</f>
        <v/>
      </c>
    </row>
    <row r="36">
      <c r="A36">
        <f>IFERROR(INDEX(STAs!$G$2:$G$61,MATCH(P36,STAs!$F$2:$F$61,0))&amp;"","")</f>
        <v/>
      </c>
      <c r="B36" t="n">
        <v>20008774</v>
      </c>
      <c r="C36" t="inlineStr">
        <is>
          <t>Não</t>
        </is>
      </c>
      <c r="D36" t="inlineStr">
        <is>
          <t>ES</t>
        </is>
      </c>
      <c r="E36" t="inlineStr">
        <is>
          <t>SUDESTE RJ e ES</t>
        </is>
      </c>
      <c r="F36" t="inlineStr">
        <is>
          <t>Cliente C - Misturador</t>
        </is>
      </c>
      <c r="G36" t="inlineStr">
        <is>
          <t>Refrigeradores</t>
        </is>
      </c>
      <c r="H36" s="10" t="n">
        <v>35</v>
      </c>
      <c r="I36" s="10">
        <f>IFERROR(T36*H36,0)</f>
        <v/>
      </c>
      <c r="J36" s="11" t="n">
        <v>45907</v>
      </c>
      <c r="K36" s="11" t="n"/>
      <c r="L36" t="inlineStr">
        <is>
          <t>Em andamento</t>
        </is>
      </c>
      <c r="M36">
        <f>IF(L36="","",IFERROR(VLOOKUP(L36,mapGrupoStatus,2,0),"Outros"))</f>
        <v/>
      </c>
      <c r="N36">
        <f>IF(O36="","",IF(O36&lt;=30,"0-30 dias",IF(O36&lt;=60,"31-60 dias",IF(O36&lt;=90,"61-90 dias","Mais de 90 dias"))))</f>
        <v/>
      </c>
      <c r="O36">
        <f>IF(OR(M36="Pendente",M36="Em andamento"),IF(J36="","",TODAY()-J36),"")</f>
        <v/>
      </c>
      <c r="P36" t="n">
        <v>11099</v>
      </c>
      <c r="Q36" t="inlineStr">
        <is>
          <t>Refrigel Serviços (11099)</t>
        </is>
      </c>
      <c r="R36" t="inlineStr">
        <is>
          <t>PC-0016</t>
        </is>
      </c>
      <c r="S36" t="inlineStr">
        <is>
          <t>Filtro secador modelo 02</t>
        </is>
      </c>
      <c r="T36" t="n">
        <v>1</v>
      </c>
      <c r="U36" t="n">
        <v>115</v>
      </c>
      <c r="V36">
        <f>IF(J36="","",MONTH(J36))</f>
        <v/>
      </c>
      <c r="W36">
        <f>IF(J36="","",YEAR(J36))</f>
        <v/>
      </c>
      <c r="X36" t="inlineStr">
        <is>
          <t>LogExpress</t>
        </is>
      </c>
      <c r="Y36">
        <f>IFERROR(INDEX(Rastreio!$H$2:$H$200,MATCH(X36&amp;"|"&amp;U36,Rastreio!$A$2:$A$200,0)),"")</f>
        <v/>
      </c>
    </row>
    <row r="37">
      <c r="A37">
        <f>IFERROR(INDEX(STAs!$G$2:$G$61,MATCH(P37,STAs!$F$2:$F$61,0))&amp;"","")</f>
        <v/>
      </c>
      <c r="B37" t="n">
        <v>20014963</v>
      </c>
      <c r="C37" t="inlineStr">
        <is>
          <t>Não</t>
        </is>
      </c>
      <c r="D37" t="inlineStr">
        <is>
          <t>SP</t>
        </is>
      </c>
      <c r="E37" t="inlineStr">
        <is>
          <t>SUDESTE SP</t>
        </is>
      </c>
      <c r="F37" t="inlineStr">
        <is>
          <t>Cliente B - Chopeira</t>
        </is>
      </c>
      <c r="G37" t="inlineStr">
        <is>
          <t>Refrigeradores</t>
        </is>
      </c>
      <c r="H37" s="10" t="n">
        <v>325</v>
      </c>
      <c r="I37" s="10">
        <f>IFERROR(T37*H37,0)</f>
        <v/>
      </c>
      <c r="J37" s="11" t="n">
        <v>45907</v>
      </c>
      <c r="K37" s="11" t="n">
        <v>45945</v>
      </c>
      <c r="L37" t="inlineStr">
        <is>
          <t>Ok. Devolvida</t>
        </is>
      </c>
      <c r="M37">
        <f>IF(L37="","",IFERROR(VLOOKUP(L37,mapGrupoStatus,2,0),"Outros"))</f>
        <v/>
      </c>
      <c r="N37">
        <f>IF(O37="","",IF(O37&lt;=30,"0-30 dias",IF(O37&lt;=60,"31-60 dias",IF(O37&lt;=90,"61-90 dias","Mais de 90 dias"))))</f>
        <v/>
      </c>
      <c r="O37">
        <f>IF(OR(M37="Pendente",M37="Em andamento"),IF(J37="","",TODAY()-J37),"")</f>
        <v/>
      </c>
      <c r="P37" t="n">
        <v>12052</v>
      </c>
      <c r="Q37" t="inlineStr">
        <is>
          <t>Brisa Refrigeração (12052)</t>
        </is>
      </c>
      <c r="R37" t="inlineStr">
        <is>
          <t>PC-0001</t>
        </is>
      </c>
      <c r="S37" t="inlineStr">
        <is>
          <t>Compressor modelo 01</t>
        </is>
      </c>
      <c r="T37" t="n">
        <v>1</v>
      </c>
      <c r="U37" t="n">
        <v>126</v>
      </c>
      <c r="V37">
        <f>IF(J37="","",MONTH(J37))</f>
        <v/>
      </c>
      <c r="W37">
        <f>IF(J37="","",YEAR(J37))</f>
        <v/>
      </c>
      <c r="X37" t="inlineStr">
        <is>
          <t>LogExpress</t>
        </is>
      </c>
      <c r="Y37">
        <f>IFERROR(INDEX(Rastreio!$H$2:$H$200,MATCH(X37&amp;"|"&amp;U37,Rastreio!$A$2:$A$200,0)),"")</f>
        <v/>
      </c>
    </row>
    <row r="38">
      <c r="A38">
        <f>IFERROR(INDEX(STAs!$G$2:$G$61,MATCH(P38,STAs!$F$2:$F$61,0))&amp;"","")</f>
        <v/>
      </c>
      <c r="B38" t="n">
        <v>20030546</v>
      </c>
      <c r="C38" t="inlineStr">
        <is>
          <t>Não</t>
        </is>
      </c>
      <c r="D38" t="inlineStr">
        <is>
          <t>SP</t>
        </is>
      </c>
      <c r="E38" t="inlineStr">
        <is>
          <t>SUDESTE SP</t>
        </is>
      </c>
      <c r="F38" t="inlineStr">
        <is>
          <t>Cliente C - Misturador</t>
        </is>
      </c>
      <c r="G38" t="inlineStr">
        <is>
          <t>Refrigeradores</t>
        </is>
      </c>
      <c r="H38" s="10" t="n">
        <v>30</v>
      </c>
      <c r="I38" s="10">
        <f>IFERROR(T38*H38,0)</f>
        <v/>
      </c>
      <c r="J38" s="11" t="n">
        <v>45907</v>
      </c>
      <c r="K38" s="11" t="n"/>
      <c r="L38" t="inlineStr">
        <is>
          <t>Em transporte</t>
        </is>
      </c>
      <c r="M38">
        <f>IF(L38="","",IFERROR(VLOOKUP(L38,mapGrupoStatus,2,0),"Outros"))</f>
        <v/>
      </c>
      <c r="N38">
        <f>IF(O38="","",IF(O38&lt;=30,"0-30 dias",IF(O38&lt;=60,"31-60 dias",IF(O38&lt;=90,"61-90 dias","Mais de 90 dias"))))</f>
        <v/>
      </c>
      <c r="O38">
        <f>IF(OR(M38="Pendente",M38="Em andamento"),IF(J38="","",TODAY()-J38),"")</f>
        <v/>
      </c>
      <c r="P38" t="n">
        <v>12901</v>
      </c>
      <c r="Q38" t="inlineStr">
        <is>
          <t>Frio Serviços (12901)</t>
        </is>
      </c>
      <c r="R38" t="inlineStr">
        <is>
          <t>PC-0017</t>
        </is>
      </c>
      <c r="S38" t="inlineStr">
        <is>
          <t>Filtro secador modelo 03</t>
        </is>
      </c>
      <c r="T38" t="n">
        <v>1</v>
      </c>
      <c r="U38" t="n">
        <v>158</v>
      </c>
      <c r="V38">
        <f>IF(J38="","",MONTH(J38))</f>
        <v/>
      </c>
      <c r="W38">
        <f>IF(J38="","",YEAR(J38))</f>
        <v/>
      </c>
      <c r="X38" t="inlineStr">
        <is>
          <t>LogExpress</t>
        </is>
      </c>
      <c r="Y38">
        <f>IFERROR(INDEX(Rastreio!$H$2:$H$200,MATCH(X38&amp;"|"&amp;U38,Rastreio!$A$2:$A$200,0)),"")</f>
        <v/>
      </c>
    </row>
    <row r="39">
      <c r="A39">
        <f>IFERROR(INDEX(STAs!$G$2:$G$61,MATCH(P39,STAs!$F$2:$F$61,0))&amp;"","")</f>
        <v/>
      </c>
      <c r="B39" t="n">
        <v>20031202</v>
      </c>
      <c r="C39" t="inlineStr">
        <is>
          <t>Não</t>
        </is>
      </c>
      <c r="D39" t="inlineStr">
        <is>
          <t>MG</t>
        </is>
      </c>
      <c r="E39" t="inlineStr">
        <is>
          <t>SUDESTE MG</t>
        </is>
      </c>
      <c r="F39" t="inlineStr">
        <is>
          <t>Cliente C - Misturador</t>
        </is>
      </c>
      <c r="G39" t="inlineStr">
        <is>
          <t>Refrigeradores</t>
        </is>
      </c>
      <c r="H39" s="10" t="n">
        <v>55</v>
      </c>
      <c r="I39" s="10">
        <f>IFERROR(T39*H39,0)</f>
        <v/>
      </c>
      <c r="J39" s="11" t="n">
        <v>45907</v>
      </c>
      <c r="K39" s="11" t="n">
        <v>45920</v>
      </c>
      <c r="L39" t="inlineStr">
        <is>
          <t>Ok. Devolvida</t>
        </is>
      </c>
      <c r="M39">
        <f>IF(L39="","",IFERROR(VLOOKUP(L39,mapGrupoStatus,2,0),"Outros"))</f>
        <v/>
      </c>
      <c r="N39">
        <f>IF(O39="","",IF(O39&lt;=30,"0-30 dias",IF(O39&lt;=60,"31-60 dias",IF(O39&lt;=90,"61-90 dias","Mais de 90 dias"))))</f>
        <v/>
      </c>
      <c r="O39">
        <f>IF(OR(M39="Pendente",M39="Em andamento"),IF(J39="","",TODAY()-J39),"")</f>
        <v/>
      </c>
      <c r="P39" t="n">
        <v>12158</v>
      </c>
      <c r="Q39" t="inlineStr">
        <is>
          <t>Gelo Serviços (12158)</t>
        </is>
      </c>
      <c r="R39" t="inlineStr">
        <is>
          <t>PC-0007</t>
        </is>
      </c>
      <c r="S39" t="inlineStr">
        <is>
          <t>Ventilador modelo 01</t>
        </is>
      </c>
      <c r="T39" t="n">
        <v>1</v>
      </c>
      <c r="U39" t="n">
        <v>154</v>
      </c>
      <c r="V39">
        <f>IF(J39="","",MONTH(J39))</f>
        <v/>
      </c>
      <c r="W39">
        <f>IF(J39="","",YEAR(J39))</f>
        <v/>
      </c>
      <c r="X39" t="inlineStr">
        <is>
          <t>CargoMax</t>
        </is>
      </c>
      <c r="Y39">
        <f>IFERROR(INDEX(Rastreio!$H$2:$H$200,MATCH(X39&amp;"|"&amp;U39,Rastreio!$A$2:$A$200,0)),"")</f>
        <v/>
      </c>
    </row>
    <row r="40">
      <c r="A40">
        <f>IFERROR(INDEX(STAs!$G$2:$G$61,MATCH(P40,STAs!$F$2:$F$61,0))&amp;"","")</f>
        <v/>
      </c>
      <c r="B40" t="n">
        <v>20036145</v>
      </c>
      <c r="C40" t="inlineStr">
        <is>
          <t>Não</t>
        </is>
      </c>
      <c r="D40" t="inlineStr">
        <is>
          <t>MG</t>
        </is>
      </c>
      <c r="E40" t="inlineStr">
        <is>
          <t>SUDESTE MG</t>
        </is>
      </c>
      <c r="F40" t="inlineStr">
        <is>
          <t>Cliente C - Misturador</t>
        </is>
      </c>
      <c r="G40" t="inlineStr">
        <is>
          <t>Refrigeradores</t>
        </is>
      </c>
      <c r="H40" s="10" t="n">
        <v>40</v>
      </c>
      <c r="I40" s="10">
        <f>IFERROR(T40*H40,0)</f>
        <v/>
      </c>
      <c r="J40" s="11" t="n">
        <v>45907</v>
      </c>
      <c r="K40" s="11" t="n"/>
      <c r="L40" t="inlineStr">
        <is>
          <t>Aguardando Transporte</t>
        </is>
      </c>
      <c r="M40">
        <f>IF(L40="","",IFERROR(VLOOKUP(L40,mapGrupoStatus,2,0),"Outros"))</f>
        <v/>
      </c>
      <c r="N40">
        <f>IF(O40="","",IF(O40&lt;=30,"0-30 dias",IF(O40&lt;=60,"31-60 dias",IF(O40&lt;=90,"61-90 dias","Mais de 90 dias"))))</f>
        <v/>
      </c>
      <c r="O40">
        <f>IF(OR(M40="Pendente",M40="Em andamento"),IF(J40="","",TODAY()-J40),"")</f>
        <v/>
      </c>
      <c r="P40" t="n">
        <v>12689</v>
      </c>
      <c r="Q40" t="inlineStr">
        <is>
          <t>Norte Frio Manutenção (12689)</t>
        </is>
      </c>
      <c r="R40" t="inlineStr">
        <is>
          <t>PC-0005</t>
        </is>
      </c>
      <c r="S40" t="inlineStr">
        <is>
          <t>Termostato modelo 02</t>
        </is>
      </c>
      <c r="T40" t="n">
        <v>1</v>
      </c>
      <c r="U40" t="n">
        <v>156</v>
      </c>
      <c r="V40">
        <f>IF(J40="","",MONTH(J40))</f>
        <v/>
      </c>
      <c r="W40">
        <f>IF(J40="","",YEAR(J40))</f>
        <v/>
      </c>
      <c r="X40" t="inlineStr">
        <is>
          <t>ViaCargo</t>
        </is>
      </c>
      <c r="Y40">
        <f>IFERROR(INDEX(Rastreio!$H$2:$H$200,MATCH(X40&amp;"|"&amp;U40,Rastreio!$A$2:$A$200,0)),"")</f>
        <v/>
      </c>
    </row>
    <row r="41">
      <c r="A41">
        <f>IFERROR(INDEX(STAs!$G$2:$G$61,MATCH(P41,STAs!$F$2:$F$61,0))&amp;"","")</f>
        <v/>
      </c>
      <c r="B41" t="n">
        <v>20036389</v>
      </c>
      <c r="C41" t="inlineStr">
        <is>
          <t>Não</t>
        </is>
      </c>
      <c r="D41" t="inlineStr">
        <is>
          <t>AM</t>
        </is>
      </c>
      <c r="E41" t="inlineStr">
        <is>
          <t>NORTE</t>
        </is>
      </c>
      <c r="F41" t="inlineStr">
        <is>
          <t>Cliente B - Chopeira</t>
        </is>
      </c>
      <c r="G41" t="inlineStr">
        <is>
          <t>Misturadores</t>
        </is>
      </c>
      <c r="H41" s="10" t="n">
        <v>60</v>
      </c>
      <c r="I41" s="10">
        <f>IFERROR(T41*H41,0)</f>
        <v/>
      </c>
      <c r="J41" s="11" t="n">
        <v>45907</v>
      </c>
      <c r="K41" s="11" t="n"/>
      <c r="L41" t="inlineStr">
        <is>
          <t>Não Devolve-Norte</t>
        </is>
      </c>
      <c r="M41">
        <f>IF(L41="","",IFERROR(VLOOKUP(L41,mapGrupoStatus,2,0),"Outros"))</f>
        <v/>
      </c>
      <c r="N41">
        <f>IF(O41="","",IF(O41&lt;=30,"0-30 dias",IF(O41&lt;=60,"31-60 dias",IF(O41&lt;=90,"61-90 dias","Mais de 90 dias"))))</f>
        <v/>
      </c>
      <c r="O41">
        <f>IF(OR(M41="Pendente",M41="Em andamento"),IF(J41="","",TODAY()-J41),"")</f>
        <v/>
      </c>
      <c r="P41" t="n">
        <v>12269</v>
      </c>
      <c r="Q41" t="inlineStr">
        <is>
          <t>Polar Técnica (12269)</t>
        </is>
      </c>
      <c r="R41" t="inlineStr">
        <is>
          <t>PC-0046</t>
        </is>
      </c>
      <c r="S41" t="inlineStr">
        <is>
          <t>Sensor de nível modelo 02</t>
        </is>
      </c>
      <c r="T41" t="n">
        <v>1</v>
      </c>
      <c r="U41" t="inlineStr"/>
      <c r="V41">
        <f>IF(J41="","",MONTH(J41))</f>
        <v/>
      </c>
      <c r="W41">
        <f>IF(J41="","",YEAR(J41))</f>
        <v/>
      </c>
      <c r="X41" t="inlineStr"/>
      <c r="Y41">
        <f>IFERROR(INDEX(Rastreio!$H$2:$H$200,MATCH(X41&amp;"|"&amp;U41,Rastreio!$A$2:$A$200,0)),"")</f>
        <v/>
      </c>
    </row>
    <row r="42">
      <c r="A42">
        <f>IFERROR(INDEX(STAs!$G$2:$G$61,MATCH(P42,STAs!$F$2:$F$61,0))&amp;"","")</f>
        <v/>
      </c>
      <c r="B42" t="n">
        <v>20001612</v>
      </c>
      <c r="C42" t="inlineStr">
        <is>
          <t>Não</t>
        </is>
      </c>
      <c r="D42" t="inlineStr">
        <is>
          <t>MG</t>
        </is>
      </c>
      <c r="E42" t="inlineStr">
        <is>
          <t>SUDESTE MG</t>
        </is>
      </c>
      <c r="F42" t="inlineStr">
        <is>
          <t>Cliente A - Refrigerador</t>
        </is>
      </c>
      <c r="G42" t="inlineStr">
        <is>
          <t>Refrigeradores</t>
        </is>
      </c>
      <c r="H42" s="10" t="n">
        <v>315</v>
      </c>
      <c r="I42" s="10">
        <f>IFERROR(T42*H42,0)</f>
        <v/>
      </c>
      <c r="J42" s="11" t="n">
        <v>45908</v>
      </c>
      <c r="K42" s="11" t="n">
        <v>45963</v>
      </c>
      <c r="L42" t="inlineStr">
        <is>
          <t>Ok. Devolvida</t>
        </is>
      </c>
      <c r="M42">
        <f>IF(L42="","",IFERROR(VLOOKUP(L42,mapGrupoStatus,2,0),"Outros"))</f>
        <v/>
      </c>
      <c r="N42">
        <f>IF(O42="","",IF(O42&lt;=30,"0-30 dias",IF(O42&lt;=60,"31-60 dias",IF(O42&lt;=90,"61-90 dias","Mais de 90 dias"))))</f>
        <v/>
      </c>
      <c r="O42">
        <f>IF(OR(M42="Pendente",M42="Em andamento"),IF(J42="","",TODAY()-J42),"")</f>
        <v/>
      </c>
      <c r="P42" t="n">
        <v>12689</v>
      </c>
      <c r="Q42" t="inlineStr">
        <is>
          <t>Norte Frio Manutenção (12689)</t>
        </is>
      </c>
      <c r="R42" t="inlineStr">
        <is>
          <t>PC-0002</t>
        </is>
      </c>
      <c r="S42" t="inlineStr">
        <is>
          <t>Compressor modelo 02</t>
        </is>
      </c>
      <c r="T42" t="n">
        <v>1</v>
      </c>
      <c r="U42" t="n">
        <v>101</v>
      </c>
      <c r="V42">
        <f>IF(J42="","",MONTH(J42))</f>
        <v/>
      </c>
      <c r="W42">
        <f>IF(J42="","",YEAR(J42))</f>
        <v/>
      </c>
      <c r="X42" t="inlineStr">
        <is>
          <t>TransNorte</t>
        </is>
      </c>
      <c r="Y42">
        <f>IFERROR(INDEX(Rastreio!$H$2:$H$200,MATCH(X42&amp;"|"&amp;U42,Rastreio!$A$2:$A$200,0)),"")</f>
        <v/>
      </c>
    </row>
    <row r="43">
      <c r="A43">
        <f>IFERROR(INDEX(STAs!$G$2:$G$61,MATCH(P43,STAs!$F$2:$F$61,0))&amp;"","")</f>
        <v/>
      </c>
      <c r="B43" t="n">
        <v>20037371</v>
      </c>
      <c r="C43" t="inlineStr">
        <is>
          <t>Sim</t>
        </is>
      </c>
      <c r="D43" t="inlineStr">
        <is>
          <t>PR</t>
        </is>
      </c>
      <c r="E43" t="inlineStr">
        <is>
          <t>SUL</t>
        </is>
      </c>
      <c r="F43" t="inlineStr">
        <is>
          <t>Cliente C - Misturador</t>
        </is>
      </c>
      <c r="G43" t="inlineStr">
        <is>
          <t>Chopeiras</t>
        </is>
      </c>
      <c r="H43" s="10" t="n">
        <v>205</v>
      </c>
      <c r="I43" s="10">
        <f>IFERROR(T43*H43,0)</f>
        <v/>
      </c>
      <c r="J43" s="11" t="n">
        <v>45908</v>
      </c>
      <c r="K43" s="11" t="n">
        <v>45959</v>
      </c>
      <c r="L43" t="inlineStr">
        <is>
          <t>Ok. Devolvida</t>
        </is>
      </c>
      <c r="M43">
        <f>IF(L43="","",IFERROR(VLOOKUP(L43,mapGrupoStatus,2,0),"Outros"))</f>
        <v/>
      </c>
      <c r="N43">
        <f>IF(O43="","",IF(O43&lt;=30,"0-30 dias",IF(O43&lt;=60,"31-60 dias",IF(O43&lt;=90,"61-90 dias","Mais de 90 dias"))))</f>
        <v/>
      </c>
      <c r="O43">
        <f>IF(OR(M43="Pendente",M43="Em andamento"),IF(J43="","",TODAY()-J43),"")</f>
        <v/>
      </c>
      <c r="P43" t="n">
        <v>12724</v>
      </c>
      <c r="Q43" t="inlineStr">
        <is>
          <t>Cool Service &amp; Cia (12724)</t>
        </is>
      </c>
      <c r="R43" t="inlineStr">
        <is>
          <t>PC-0031</t>
        </is>
      </c>
      <c r="S43" t="inlineStr">
        <is>
          <t>Serpentina modelo 03</t>
        </is>
      </c>
      <c r="T43" t="n">
        <v>1</v>
      </c>
      <c r="U43" t="n">
        <v>165</v>
      </c>
      <c r="V43">
        <f>IF(J43="","",MONTH(J43))</f>
        <v/>
      </c>
      <c r="W43">
        <f>IF(J43="","",YEAR(J43))</f>
        <v/>
      </c>
      <c r="X43" t="inlineStr">
        <is>
          <t>TransNorte</t>
        </is>
      </c>
      <c r="Y43">
        <f>IFERROR(INDEX(Rastreio!$H$2:$H$200,MATCH(X43&amp;"|"&amp;U43,Rastreio!$A$2:$A$200,0)),"")</f>
        <v/>
      </c>
    </row>
    <row r="44">
      <c r="A44">
        <f>IFERROR(INDEX(STAs!$G$2:$G$61,MATCH(P44,STAs!$F$2:$F$61,0))&amp;"","")</f>
        <v/>
      </c>
      <c r="B44" t="n">
        <v>20041002</v>
      </c>
      <c r="C44" t="inlineStr">
        <is>
          <t>Sim</t>
        </is>
      </c>
      <c r="D44" t="inlineStr">
        <is>
          <t>PR</t>
        </is>
      </c>
      <c r="E44" t="inlineStr">
        <is>
          <t>SUL</t>
        </is>
      </c>
      <c r="F44" t="inlineStr">
        <is>
          <t>Cliente B - Chopeira</t>
        </is>
      </c>
      <c r="G44" t="inlineStr">
        <is>
          <t>Refrigeradores</t>
        </is>
      </c>
      <c r="H44" s="10" t="n">
        <v>175</v>
      </c>
      <c r="I44" s="10">
        <f>IFERROR(T44*H44,0)</f>
        <v/>
      </c>
      <c r="J44" s="11" t="n">
        <v>45908</v>
      </c>
      <c r="K44" s="11" t="n">
        <v>45961</v>
      </c>
      <c r="L44" t="inlineStr">
        <is>
          <t>Ok. Devolvida</t>
        </is>
      </c>
      <c r="M44">
        <f>IF(L44="","",IFERROR(VLOOKUP(L44,mapGrupoStatus,2,0),"Outros"))</f>
        <v/>
      </c>
      <c r="N44">
        <f>IF(O44="","",IF(O44&lt;=30,"0-30 dias",IF(O44&lt;=60,"31-60 dias",IF(O44&lt;=90,"61-90 dias","Mais de 90 dias"))))</f>
        <v/>
      </c>
      <c r="O44">
        <f>IF(OR(M44="Pendente",M44="Em andamento"),IF(J44="","",TODAY()-J44),"")</f>
        <v/>
      </c>
      <c r="P44" t="n">
        <v>10913</v>
      </c>
      <c r="Q44" t="inlineStr">
        <is>
          <t>Ice Tech &amp; Cia (10913)</t>
        </is>
      </c>
      <c r="R44" t="inlineStr">
        <is>
          <t>PC-0012</t>
        </is>
      </c>
      <c r="S44" t="inlineStr">
        <is>
          <t>Placa eletrônica modelo 02</t>
        </is>
      </c>
      <c r="T44" t="n">
        <v>1</v>
      </c>
      <c r="U44" t="n">
        <v>171</v>
      </c>
      <c r="V44">
        <f>IF(J44="","",MONTH(J44))</f>
        <v/>
      </c>
      <c r="W44">
        <f>IF(J44="","",YEAR(J44))</f>
        <v/>
      </c>
      <c r="X44" t="inlineStr">
        <is>
          <t>CargoMax</t>
        </is>
      </c>
      <c r="Y44">
        <f>IFERROR(INDEX(Rastreio!$H$2:$H$200,MATCH(X44&amp;"|"&amp;U44,Rastreio!$A$2:$A$200,0)),"")</f>
        <v/>
      </c>
    </row>
    <row r="45">
      <c r="A45">
        <f>IFERROR(INDEX(STAs!$G$2:$G$61,MATCH(P45,STAs!$F$2:$F$61,0))&amp;"","")</f>
        <v/>
      </c>
      <c r="B45" t="n">
        <v>20006330</v>
      </c>
      <c r="C45" t="inlineStr">
        <is>
          <t>Não</t>
        </is>
      </c>
      <c r="D45" t="inlineStr">
        <is>
          <t>SP</t>
        </is>
      </c>
      <c r="E45" t="inlineStr">
        <is>
          <t>SUDESTE SP</t>
        </is>
      </c>
      <c r="F45" t="inlineStr">
        <is>
          <t>Cliente A - Refrigerador</t>
        </is>
      </c>
      <c r="G45" t="inlineStr">
        <is>
          <t>Refrigeradores</t>
        </is>
      </c>
      <c r="H45" s="10" t="n">
        <v>55</v>
      </c>
      <c r="I45" s="10">
        <f>IFERROR(T45*H45,0)</f>
        <v/>
      </c>
      <c r="J45" s="11" t="n">
        <v>45909</v>
      </c>
      <c r="K45" s="11" t="n">
        <v>45968</v>
      </c>
      <c r="L45" t="inlineStr">
        <is>
          <t>Ok. Devolvida</t>
        </is>
      </c>
      <c r="M45">
        <f>IF(L45="","",IFERROR(VLOOKUP(L45,mapGrupoStatus,2,0),"Outros"))</f>
        <v/>
      </c>
      <c r="N45">
        <f>IF(O45="","",IF(O45&lt;=30,"0-30 dias",IF(O45&lt;=60,"31-60 dias",IF(O45&lt;=90,"61-90 dias","Mais de 90 dias"))))</f>
        <v/>
      </c>
      <c r="O45">
        <f>IF(OR(M45="Pendente",M45="Em andamento"),IF(J45="","",TODAY()-J45),"")</f>
        <v/>
      </c>
      <c r="P45" t="n">
        <v>10111</v>
      </c>
      <c r="Q45" t="inlineStr">
        <is>
          <t>Refrigel Manutenção (10111)</t>
        </is>
      </c>
      <c r="R45" t="inlineStr">
        <is>
          <t>PC-0007</t>
        </is>
      </c>
      <c r="S45" t="inlineStr">
        <is>
          <t>Ventilador modelo 01</t>
        </is>
      </c>
      <c r="T45" t="n">
        <v>3</v>
      </c>
      <c r="U45" t="n">
        <v>110</v>
      </c>
      <c r="V45">
        <f>IF(J45="","",MONTH(J45))</f>
        <v/>
      </c>
      <c r="W45">
        <f>IF(J45="","",YEAR(J45))</f>
        <v/>
      </c>
      <c r="X45" t="inlineStr">
        <is>
          <t>TransNorte</t>
        </is>
      </c>
      <c r="Y45">
        <f>IFERROR(INDEX(Rastreio!$H$2:$H$200,MATCH(X45&amp;"|"&amp;U45,Rastreio!$A$2:$A$200,0)),"")</f>
        <v/>
      </c>
    </row>
    <row r="46">
      <c r="A46">
        <f>IFERROR(INDEX(STAs!$G$2:$G$61,MATCH(P46,STAs!$F$2:$F$61,0))&amp;"","")</f>
        <v/>
      </c>
      <c r="B46" t="n">
        <v>20028848</v>
      </c>
      <c r="C46" t="inlineStr">
        <is>
          <t>Não</t>
        </is>
      </c>
      <c r="D46" t="inlineStr">
        <is>
          <t>SC</t>
        </is>
      </c>
      <c r="E46" t="inlineStr">
        <is>
          <t>SUL</t>
        </is>
      </c>
      <c r="F46" t="inlineStr">
        <is>
          <t>Cliente A - Refrigerador</t>
        </is>
      </c>
      <c r="G46" t="inlineStr">
        <is>
          <t>Refrigeradores</t>
        </is>
      </c>
      <c r="H46" s="10" t="n">
        <v>30</v>
      </c>
      <c r="I46" s="10">
        <f>IFERROR(T46*H46,0)</f>
        <v/>
      </c>
      <c r="J46" s="11" t="n">
        <v>45909</v>
      </c>
      <c r="K46" s="11" t="n"/>
      <c r="L46" t="inlineStr">
        <is>
          <t>Em andamento</t>
        </is>
      </c>
      <c r="M46">
        <f>IF(L46="","",IFERROR(VLOOKUP(L46,mapGrupoStatus,2,0),"Outros"))</f>
        <v/>
      </c>
      <c r="N46">
        <f>IF(O46="","",IF(O46&lt;=30,"0-30 dias",IF(O46&lt;=60,"31-60 dias",IF(O46&lt;=90,"61-90 dias","Mais de 90 dias"))))</f>
        <v/>
      </c>
      <c r="O46">
        <f>IF(OR(M46="Pendente",M46="Em andamento"),IF(J46="","",TODAY()-J46),"")</f>
        <v/>
      </c>
      <c r="P46" t="n">
        <v>12138</v>
      </c>
      <c r="Q46" t="inlineStr">
        <is>
          <t>Refrigeração Serviços (12138)</t>
        </is>
      </c>
      <c r="R46" t="inlineStr">
        <is>
          <t>PC-0017</t>
        </is>
      </c>
      <c r="S46" t="inlineStr">
        <is>
          <t>Filtro secador modelo 03</t>
        </is>
      </c>
      <c r="T46" t="n">
        <v>1</v>
      </c>
      <c r="U46" t="n">
        <v>144</v>
      </c>
      <c r="V46">
        <f>IF(J46="","",MONTH(J46))</f>
        <v/>
      </c>
      <c r="W46">
        <f>IF(J46="","",YEAR(J46))</f>
        <v/>
      </c>
      <c r="X46" t="inlineStr">
        <is>
          <t>ViaCargo</t>
        </is>
      </c>
      <c r="Y46">
        <f>IFERROR(INDEX(Rastreio!$H$2:$H$200,MATCH(X46&amp;"|"&amp;U46,Rastreio!$A$2:$A$200,0)),"")</f>
        <v/>
      </c>
    </row>
    <row r="47">
      <c r="A47">
        <f>IFERROR(INDEX(STAs!$G$2:$G$61,MATCH(P47,STAs!$F$2:$F$61,0))&amp;"","")</f>
        <v/>
      </c>
      <c r="B47" t="n">
        <v>20036538</v>
      </c>
      <c r="C47" t="inlineStr">
        <is>
          <t>Não</t>
        </is>
      </c>
      <c r="D47" t="inlineStr">
        <is>
          <t>SP</t>
        </is>
      </c>
      <c r="E47" t="inlineStr">
        <is>
          <t>SUDESTE SP</t>
        </is>
      </c>
      <c r="F47" t="inlineStr">
        <is>
          <t>Cliente A - Refrigerador</t>
        </is>
      </c>
      <c r="G47" t="inlineStr">
        <is>
          <t>Refrigeradores</t>
        </is>
      </c>
      <c r="H47" s="10" t="n">
        <v>190</v>
      </c>
      <c r="I47" s="10">
        <f>IFERROR(T47*H47,0)</f>
        <v/>
      </c>
      <c r="J47" s="11" t="n">
        <v>45909</v>
      </c>
      <c r="K47" s="11" t="n">
        <v>45923</v>
      </c>
      <c r="L47" t="inlineStr">
        <is>
          <t>Ok. Devolvida</t>
        </is>
      </c>
      <c r="M47">
        <f>IF(L47="","",IFERROR(VLOOKUP(L47,mapGrupoStatus,2,0),"Outros"))</f>
        <v/>
      </c>
      <c r="N47">
        <f>IF(O47="","",IF(O47&lt;=30,"0-30 dias",IF(O47&lt;=60,"31-60 dias",IF(O47&lt;=90,"61-90 dias","Mais de 90 dias"))))</f>
        <v/>
      </c>
      <c r="O47">
        <f>IF(OR(M47="Pendente",M47="Em andamento"),IF(J47="","",TODAY()-J47),"")</f>
        <v/>
      </c>
      <c r="P47" t="n">
        <v>10538</v>
      </c>
      <c r="Q47" t="inlineStr">
        <is>
          <t>Frio Refrigeração (10538)</t>
        </is>
      </c>
      <c r="R47" t="inlineStr">
        <is>
          <t>PC-0014</t>
        </is>
      </c>
      <c r="S47" t="inlineStr">
        <is>
          <t>Placa eletrônica modelo 04</t>
        </is>
      </c>
      <c r="T47" t="n">
        <v>1</v>
      </c>
      <c r="U47" t="n">
        <v>156</v>
      </c>
      <c r="V47">
        <f>IF(J47="","",MONTH(J47))</f>
        <v/>
      </c>
      <c r="W47">
        <f>IF(J47="","",YEAR(J47))</f>
        <v/>
      </c>
      <c r="X47" t="inlineStr">
        <is>
          <t>ViaCargo</t>
        </is>
      </c>
      <c r="Y47">
        <f>IFERROR(INDEX(Rastreio!$H$2:$H$200,MATCH(X47&amp;"|"&amp;U47,Rastreio!$A$2:$A$200,0)),"")</f>
        <v/>
      </c>
    </row>
    <row r="48">
      <c r="A48">
        <f>IFERROR(INDEX(STAs!$G$2:$G$61,MATCH(P48,STAs!$F$2:$F$61,0))&amp;"","")</f>
        <v/>
      </c>
      <c r="B48" t="n">
        <v>20008697</v>
      </c>
      <c r="C48" t="inlineStr">
        <is>
          <t>Não</t>
        </is>
      </c>
      <c r="D48" t="inlineStr">
        <is>
          <t>PI</t>
        </is>
      </c>
      <c r="E48" t="inlineStr">
        <is>
          <t>NORDESTE</t>
        </is>
      </c>
      <c r="F48" t="inlineStr">
        <is>
          <t>Cliente A - Refrigerador</t>
        </is>
      </c>
      <c r="G48" t="inlineStr">
        <is>
          <t>Refrigeradores</t>
        </is>
      </c>
      <c r="H48" s="10" t="n">
        <v>190</v>
      </c>
      <c r="I48" s="10">
        <f>IFERROR(T48*H48,0)</f>
        <v/>
      </c>
      <c r="J48" s="11" t="n">
        <v>45910</v>
      </c>
      <c r="K48" s="11" t="n">
        <v>45961</v>
      </c>
      <c r="L48" t="inlineStr">
        <is>
          <t>Ok. Devolvida</t>
        </is>
      </c>
      <c r="M48">
        <f>IF(L48="","",IFERROR(VLOOKUP(L48,mapGrupoStatus,2,0),"Outros"))</f>
        <v/>
      </c>
      <c r="N48">
        <f>IF(O48="","",IF(O48&lt;=30,"0-30 dias",IF(O48&lt;=60,"31-60 dias",IF(O48&lt;=90,"61-90 dias","Mais de 90 dias"))))</f>
        <v/>
      </c>
      <c r="O48">
        <f>IF(OR(M48="Pendente",M48="Em andamento"),IF(J48="","",TODAY()-J48),"")</f>
        <v/>
      </c>
      <c r="P48" t="n">
        <v>10562</v>
      </c>
      <c r="Q48" t="inlineStr">
        <is>
          <t>Clima &amp; Cia (10562)</t>
        </is>
      </c>
      <c r="R48" t="inlineStr">
        <is>
          <t>PC-0011</t>
        </is>
      </c>
      <c r="S48" t="inlineStr">
        <is>
          <t>Placa eletrônica modelo 01</t>
        </is>
      </c>
      <c r="T48" t="n">
        <v>1</v>
      </c>
      <c r="U48" t="n">
        <v>113</v>
      </c>
      <c r="V48">
        <f>IF(J48="","",MONTH(J48))</f>
        <v/>
      </c>
      <c r="W48">
        <f>IF(J48="","",YEAR(J48))</f>
        <v/>
      </c>
      <c r="X48" t="inlineStr">
        <is>
          <t>TransNorte</t>
        </is>
      </c>
      <c r="Y48">
        <f>IFERROR(INDEX(Rastreio!$H$2:$H$200,MATCH(X48&amp;"|"&amp;U48,Rastreio!$A$2:$A$200,0)),"")</f>
        <v/>
      </c>
    </row>
    <row r="49">
      <c r="A49">
        <f>IFERROR(INDEX(STAs!$G$2:$G$61,MATCH(P49,STAs!$F$2:$F$61,0))&amp;"","")</f>
        <v/>
      </c>
      <c r="B49" t="n">
        <v>20010183</v>
      </c>
      <c r="C49" t="inlineStr">
        <is>
          <t>Não</t>
        </is>
      </c>
      <c r="D49" t="inlineStr">
        <is>
          <t>MT</t>
        </is>
      </c>
      <c r="E49" t="inlineStr">
        <is>
          <t>CENTRO OESTE</t>
        </is>
      </c>
      <c r="F49" t="inlineStr">
        <is>
          <t>Cliente C - Misturador</t>
        </is>
      </c>
      <c r="G49" t="inlineStr">
        <is>
          <t>Misturadores</t>
        </is>
      </c>
      <c r="H49" s="10" t="n">
        <v>50</v>
      </c>
      <c r="I49" s="10">
        <f>IFERROR(T49*H49,0)</f>
        <v/>
      </c>
      <c r="J49" s="11" t="n">
        <v>45910</v>
      </c>
      <c r="K49" s="11" t="n"/>
      <c r="L49" t="inlineStr">
        <is>
          <t>Aguardando devolução</t>
        </is>
      </c>
      <c r="M49">
        <f>IF(L49="","",IFERROR(VLOOKUP(L49,mapGrupoStatus,2,0),"Outros"))</f>
        <v/>
      </c>
      <c r="N49">
        <f>IF(O49="","",IF(O49&lt;=30,"0-30 dias",IF(O49&lt;=60,"31-60 dias",IF(O49&lt;=90,"61-90 dias","Mais de 90 dias"))))</f>
        <v/>
      </c>
      <c r="O49">
        <f>IF(OR(M49="Pendente",M49="Em andamento"),IF(J49="","",TODAY()-J49),"")</f>
        <v/>
      </c>
      <c r="P49" t="n">
        <v>10227</v>
      </c>
      <c r="Q49" t="inlineStr">
        <is>
          <t>Assistência Técnica ME (10227)</t>
        </is>
      </c>
      <c r="R49" t="inlineStr">
        <is>
          <t>PC-0047</t>
        </is>
      </c>
      <c r="S49" t="inlineStr">
        <is>
          <t>Sensor de nível modelo 03</t>
        </is>
      </c>
      <c r="T49" t="n">
        <v>1</v>
      </c>
      <c r="U49" t="inlineStr"/>
      <c r="V49">
        <f>IF(J49="","",MONTH(J49))</f>
        <v/>
      </c>
      <c r="W49">
        <f>IF(J49="","",YEAR(J49))</f>
        <v/>
      </c>
      <c r="X49" t="inlineStr"/>
      <c r="Y49">
        <f>IFERROR(INDEX(Rastreio!$H$2:$H$200,MATCH(X49&amp;"|"&amp;U49,Rastreio!$A$2:$A$200,0)),"")</f>
        <v/>
      </c>
    </row>
    <row r="50">
      <c r="A50">
        <f>IFERROR(INDEX(STAs!$G$2:$G$61,MATCH(P50,STAs!$F$2:$F$61,0))&amp;"","")</f>
        <v/>
      </c>
      <c r="B50" t="n">
        <v>20032696</v>
      </c>
      <c r="C50" t="inlineStr">
        <is>
          <t>Não</t>
        </is>
      </c>
      <c r="D50" t="inlineStr">
        <is>
          <t>SP</t>
        </is>
      </c>
      <c r="E50" t="inlineStr">
        <is>
          <t>SUDESTE SP</t>
        </is>
      </c>
      <c r="F50" t="inlineStr">
        <is>
          <t>Cliente A - Refrigerador</t>
        </is>
      </c>
      <c r="G50" t="inlineStr">
        <is>
          <t>Chopeiras</t>
        </is>
      </c>
      <c r="H50" s="10" t="n">
        <v>215</v>
      </c>
      <c r="I50" s="10">
        <f>IFERROR(T50*H50,0)</f>
        <v/>
      </c>
      <c r="J50" s="11" t="n">
        <v>45910</v>
      </c>
      <c r="K50" s="11" t="n"/>
      <c r="L50" t="inlineStr">
        <is>
          <t>Aguardando devolução</t>
        </is>
      </c>
      <c r="M50">
        <f>IF(L50="","",IFERROR(VLOOKUP(L50,mapGrupoStatus,2,0),"Outros"))</f>
        <v/>
      </c>
      <c r="N50">
        <f>IF(O50="","",IF(O50&lt;=30,"0-30 dias",IF(O50&lt;=60,"31-60 dias",IF(O50&lt;=90,"61-90 dias","Mais de 90 dias"))))</f>
        <v/>
      </c>
      <c r="O50">
        <f>IF(OR(M50="Pendente",M50="Em andamento"),IF(J50="","",TODAY()-J50),"")</f>
        <v/>
      </c>
      <c r="P50" t="n">
        <v>10413</v>
      </c>
      <c r="Q50" t="inlineStr">
        <is>
          <t>Polar Manutenção (10413)</t>
        </is>
      </c>
      <c r="R50" t="inlineStr">
        <is>
          <t>PC-0030</t>
        </is>
      </c>
      <c r="S50" t="inlineStr">
        <is>
          <t>Serpentina modelo 02</t>
        </is>
      </c>
      <c r="T50" t="n">
        <v>1</v>
      </c>
      <c r="U50" t="inlineStr"/>
      <c r="V50">
        <f>IF(J50="","",MONTH(J50))</f>
        <v/>
      </c>
      <c r="W50">
        <f>IF(J50="","",YEAR(J50))</f>
        <v/>
      </c>
      <c r="X50" t="inlineStr"/>
      <c r="Y50">
        <f>IFERROR(INDEX(Rastreio!$H$2:$H$200,MATCH(X50&amp;"|"&amp;U50,Rastreio!$A$2:$A$200,0)),"")</f>
        <v/>
      </c>
    </row>
    <row r="51">
      <c r="A51">
        <f>IFERROR(INDEX(STAs!$G$2:$G$61,MATCH(P51,STAs!$F$2:$F$61,0))&amp;"","")</f>
        <v/>
      </c>
      <c r="B51" t="n">
        <v>20037063</v>
      </c>
      <c r="C51" t="inlineStr">
        <is>
          <t>Não</t>
        </is>
      </c>
      <c r="D51" t="inlineStr">
        <is>
          <t>RJ</t>
        </is>
      </c>
      <c r="E51" t="inlineStr">
        <is>
          <t>SUDESTE RJ e ES</t>
        </is>
      </c>
      <c r="F51" t="inlineStr">
        <is>
          <t>Cliente C - Misturador</t>
        </is>
      </c>
      <c r="G51" t="inlineStr">
        <is>
          <t>Refrigeradores</t>
        </is>
      </c>
      <c r="H51" s="10" t="n">
        <v>30</v>
      </c>
      <c r="I51" s="10">
        <f>IFERROR(T51*H51,0)</f>
        <v/>
      </c>
      <c r="J51" s="11" t="n">
        <v>45910</v>
      </c>
      <c r="K51" s="11" t="n">
        <v>45933</v>
      </c>
      <c r="L51" t="inlineStr">
        <is>
          <t>Ok. Devolvida</t>
        </is>
      </c>
      <c r="M51">
        <f>IF(L51="","",IFERROR(VLOOKUP(L51,mapGrupoStatus,2,0),"Outros"))</f>
        <v/>
      </c>
      <c r="N51">
        <f>IF(O51="","",IF(O51&lt;=30,"0-30 dias",IF(O51&lt;=60,"31-60 dias",IF(O51&lt;=90,"61-90 dias","Mais de 90 dias"))))</f>
        <v/>
      </c>
      <c r="O51">
        <f>IF(OR(M51="Pendente",M51="Em andamento"),IF(J51="","",TODAY()-J51),"")</f>
        <v/>
      </c>
      <c r="P51" t="n">
        <v>11059</v>
      </c>
      <c r="Q51" t="inlineStr">
        <is>
          <t>Frio Ltda (11059)</t>
        </is>
      </c>
      <c r="R51" t="inlineStr">
        <is>
          <t>PC-0025</t>
        </is>
      </c>
      <c r="S51" t="inlineStr">
        <is>
          <t>Relé de partida modelo 03</t>
        </is>
      </c>
      <c r="T51" t="n">
        <v>1</v>
      </c>
      <c r="U51" t="n">
        <v>170</v>
      </c>
      <c r="V51">
        <f>IF(J51="","",MONTH(J51))</f>
        <v/>
      </c>
      <c r="W51">
        <f>IF(J51="","",YEAR(J51))</f>
        <v/>
      </c>
      <c r="X51" t="inlineStr">
        <is>
          <t>RotaSul</t>
        </is>
      </c>
      <c r="Y51">
        <f>IFERROR(INDEX(Rastreio!$H$2:$H$200,MATCH(X51&amp;"|"&amp;U51,Rastreio!$A$2:$A$200,0)),"")</f>
        <v/>
      </c>
    </row>
    <row r="52">
      <c r="A52">
        <f>IFERROR(INDEX(STAs!$G$2:$G$61,MATCH(P52,STAs!$F$2:$F$61,0))&amp;"","")</f>
        <v/>
      </c>
      <c r="B52" t="n">
        <v>20001571</v>
      </c>
      <c r="C52" t="inlineStr">
        <is>
          <t>Sim</t>
        </is>
      </c>
      <c r="D52" t="inlineStr">
        <is>
          <t>CE</t>
        </is>
      </c>
      <c r="E52" t="inlineStr">
        <is>
          <t>NORDESTE</t>
        </is>
      </c>
      <c r="F52" t="inlineStr">
        <is>
          <t>Cliente C - Misturador</t>
        </is>
      </c>
      <c r="G52" t="inlineStr">
        <is>
          <t>Misturadores</t>
        </is>
      </c>
      <c r="H52" s="10" t="n">
        <v>40</v>
      </c>
      <c r="I52" s="10">
        <f>IFERROR(T52*H52,0)</f>
        <v/>
      </c>
      <c r="J52" s="11" t="n">
        <v>45911</v>
      </c>
      <c r="K52" s="11" t="n">
        <v>45937</v>
      </c>
      <c r="L52" t="inlineStr">
        <is>
          <t>Ok. Devolvida</t>
        </is>
      </c>
      <c r="M52">
        <f>IF(L52="","",IFERROR(VLOOKUP(L52,mapGrupoStatus,2,0),"Outros"))</f>
        <v/>
      </c>
      <c r="N52">
        <f>IF(O52="","",IF(O52&lt;=30,"0-30 dias",IF(O52&lt;=60,"31-60 dias",IF(O52&lt;=90,"61-90 dias","Mais de 90 dias"))))</f>
        <v/>
      </c>
      <c r="O52">
        <f>IF(OR(M52="Pendente",M52="Em andamento"),IF(J52="","",TODAY()-J52),"")</f>
        <v/>
      </c>
      <c r="P52" t="n">
        <v>10615</v>
      </c>
      <c r="Q52" t="inlineStr">
        <is>
          <t>Brisa Técnica (10615)</t>
        </is>
      </c>
      <c r="R52" t="inlineStr">
        <is>
          <t>PC-0042</t>
        </is>
      </c>
      <c r="S52" t="inlineStr">
        <is>
          <t>Bico dosador modelo 01</t>
        </is>
      </c>
      <c r="T52" t="n">
        <v>1</v>
      </c>
      <c r="U52" t="n">
        <v>101</v>
      </c>
      <c r="V52">
        <f>IF(J52="","",MONTH(J52))</f>
        <v/>
      </c>
      <c r="W52">
        <f>IF(J52="","",YEAR(J52))</f>
        <v/>
      </c>
      <c r="X52" t="inlineStr">
        <is>
          <t>TransNorte</t>
        </is>
      </c>
      <c r="Y52">
        <f>IFERROR(INDEX(Rastreio!$H$2:$H$200,MATCH(X52&amp;"|"&amp;U52,Rastreio!$A$2:$A$200,0)),"")</f>
        <v/>
      </c>
    </row>
    <row r="53">
      <c r="A53">
        <f>IFERROR(INDEX(STAs!$G$2:$G$61,MATCH(P53,STAs!$F$2:$F$61,0))&amp;"","")</f>
        <v/>
      </c>
      <c r="B53" t="n">
        <v>20017880</v>
      </c>
      <c r="C53" t="inlineStr">
        <is>
          <t>Não</t>
        </is>
      </c>
      <c r="D53" t="inlineStr">
        <is>
          <t>SC</t>
        </is>
      </c>
      <c r="E53" t="inlineStr">
        <is>
          <t>SUL</t>
        </is>
      </c>
      <c r="F53" t="inlineStr">
        <is>
          <t>Cliente C - Misturador</t>
        </is>
      </c>
      <c r="G53" t="inlineStr">
        <is>
          <t>Refrigeradores</t>
        </is>
      </c>
      <c r="H53" s="10" t="n">
        <v>35</v>
      </c>
      <c r="I53" s="10">
        <f>IFERROR(T53*H53,0)</f>
        <v/>
      </c>
      <c r="J53" s="11" t="n">
        <v>45911</v>
      </c>
      <c r="K53" s="11" t="n"/>
      <c r="L53" t="inlineStr">
        <is>
          <t>Em andamento</t>
        </is>
      </c>
      <c r="M53">
        <f>IF(L53="","",IFERROR(VLOOKUP(L53,mapGrupoStatus,2,0),"Outros"))</f>
        <v/>
      </c>
      <c r="N53">
        <f>IF(O53="","",IF(O53&lt;=30,"0-30 dias",IF(O53&lt;=60,"31-60 dias",IF(O53&lt;=90,"61-90 dias","Mais de 90 dias"))))</f>
        <v/>
      </c>
      <c r="O53">
        <f>IF(OR(M53="Pendente",M53="Em andamento"),IF(J53="","",TODAY()-J53),"")</f>
        <v/>
      </c>
      <c r="P53" t="n">
        <v>12138</v>
      </c>
      <c r="Q53" t="inlineStr">
        <is>
          <t>Refrigeração Serviços (12138)</t>
        </is>
      </c>
      <c r="R53" t="inlineStr">
        <is>
          <t>PC-0024</t>
        </is>
      </c>
      <c r="S53" t="inlineStr">
        <is>
          <t>Relé de partida modelo 02</t>
        </is>
      </c>
      <c r="T53" t="n">
        <v>1</v>
      </c>
      <c r="U53" t="n">
        <v>134</v>
      </c>
      <c r="V53">
        <f>IF(J53="","",MONTH(J53))</f>
        <v/>
      </c>
      <c r="W53">
        <f>IF(J53="","",YEAR(J53))</f>
        <v/>
      </c>
      <c r="X53" t="inlineStr">
        <is>
          <t>CargoMax</t>
        </is>
      </c>
      <c r="Y53">
        <f>IFERROR(INDEX(Rastreio!$H$2:$H$200,MATCH(X53&amp;"|"&amp;U53,Rastreio!$A$2:$A$200,0)),"")</f>
        <v/>
      </c>
    </row>
    <row r="54">
      <c r="A54">
        <f>IFERROR(INDEX(STAs!$G$2:$G$61,MATCH(P54,STAs!$F$2:$F$61,0))&amp;"","")</f>
        <v/>
      </c>
      <c r="B54" t="n">
        <v>20028592</v>
      </c>
      <c r="C54" t="inlineStr">
        <is>
          <t>Não</t>
        </is>
      </c>
      <c r="D54" t="inlineStr">
        <is>
          <t>GO</t>
        </is>
      </c>
      <c r="E54" t="inlineStr">
        <is>
          <t>CENTRO OESTE</t>
        </is>
      </c>
      <c r="F54" t="inlineStr">
        <is>
          <t>Cliente B - Chopeira</t>
        </is>
      </c>
      <c r="G54" t="inlineStr">
        <is>
          <t>Chopeiras</t>
        </is>
      </c>
      <c r="H54" s="10" t="n">
        <v>215</v>
      </c>
      <c r="I54" s="10">
        <f>IFERROR(T54*H54,0)</f>
        <v/>
      </c>
      <c r="J54" s="11" t="n">
        <v>45911</v>
      </c>
      <c r="K54" s="11" t="n">
        <v>45918</v>
      </c>
      <c r="L54" t="inlineStr">
        <is>
          <t>Ok. Devolvida</t>
        </is>
      </c>
      <c r="M54">
        <f>IF(L54="","",IFERROR(VLOOKUP(L54,mapGrupoStatus,2,0),"Outros"))</f>
        <v/>
      </c>
      <c r="N54">
        <f>IF(O54="","",IF(O54&lt;=30,"0-30 dias",IF(O54&lt;=60,"31-60 dias",IF(O54&lt;=90,"61-90 dias","Mais de 90 dias"))))</f>
        <v/>
      </c>
      <c r="O54">
        <f>IF(OR(M54="Pendente",M54="Em andamento"),IF(J54="","",TODAY()-J54),"")</f>
        <v/>
      </c>
      <c r="P54" t="n">
        <v>12007</v>
      </c>
      <c r="Q54" t="inlineStr">
        <is>
          <t>Refrigel Ltda (12007)</t>
        </is>
      </c>
      <c r="R54" t="inlineStr">
        <is>
          <t>PC-0030</t>
        </is>
      </c>
      <c r="S54" t="inlineStr">
        <is>
          <t>Serpentina modelo 02</t>
        </is>
      </c>
      <c r="T54" t="n">
        <v>1</v>
      </c>
      <c r="U54" t="n">
        <v>144</v>
      </c>
      <c r="V54">
        <f>IF(J54="","",MONTH(J54))</f>
        <v/>
      </c>
      <c r="W54">
        <f>IF(J54="","",YEAR(J54))</f>
        <v/>
      </c>
      <c r="X54" t="inlineStr">
        <is>
          <t>ViaCargo</t>
        </is>
      </c>
      <c r="Y54">
        <f>IFERROR(INDEX(Rastreio!$H$2:$H$200,MATCH(X54&amp;"|"&amp;U54,Rastreio!$A$2:$A$200,0)),"")</f>
        <v/>
      </c>
    </row>
    <row r="55">
      <c r="A55">
        <f>IFERROR(INDEX(STAs!$G$2:$G$61,MATCH(P55,STAs!$F$2:$F$61,0))&amp;"","")</f>
        <v/>
      </c>
      <c r="B55" t="n">
        <v>20007495</v>
      </c>
      <c r="C55" t="inlineStr">
        <is>
          <t>Não</t>
        </is>
      </c>
      <c r="D55" t="inlineStr">
        <is>
          <t>SP</t>
        </is>
      </c>
      <c r="E55" t="inlineStr">
        <is>
          <t>SUDESTE SP</t>
        </is>
      </c>
      <c r="F55" t="inlineStr">
        <is>
          <t>Cliente C - Misturador</t>
        </is>
      </c>
      <c r="G55" t="inlineStr">
        <is>
          <t>Refrigeradores</t>
        </is>
      </c>
      <c r="H55" s="10" t="n">
        <v>155</v>
      </c>
      <c r="I55" s="10">
        <f>IFERROR(T55*H55,0)</f>
        <v/>
      </c>
      <c r="J55" s="11" t="n">
        <v>45912</v>
      </c>
      <c r="K55" s="11" t="n">
        <v>45962</v>
      </c>
      <c r="L55" t="inlineStr">
        <is>
          <t>Ok. Devolvida</t>
        </is>
      </c>
      <c r="M55">
        <f>IF(L55="","",IFERROR(VLOOKUP(L55,mapGrupoStatus,2,0),"Outros"))</f>
        <v/>
      </c>
      <c r="N55">
        <f>IF(O55="","",IF(O55&lt;=30,"0-30 dias",IF(O55&lt;=60,"31-60 dias",IF(O55&lt;=90,"61-90 dias","Mais de 90 dias"))))</f>
        <v/>
      </c>
      <c r="O55">
        <f>IF(OR(M55="Pendente",M55="Em andamento"),IF(J55="","",TODAY()-J55),"")</f>
        <v/>
      </c>
      <c r="P55" t="n">
        <v>12901</v>
      </c>
      <c r="Q55" t="inlineStr">
        <is>
          <t>Frio Serviços (12901)</t>
        </is>
      </c>
      <c r="R55" t="inlineStr">
        <is>
          <t>PC-0021</t>
        </is>
      </c>
      <c r="S55" t="inlineStr">
        <is>
          <t>Controlador digital modelo 01</t>
        </is>
      </c>
      <c r="T55" t="n">
        <v>2</v>
      </c>
      <c r="U55" t="n">
        <v>111</v>
      </c>
      <c r="V55">
        <f>IF(J55="","",MONTH(J55))</f>
        <v/>
      </c>
      <c r="W55">
        <f>IF(J55="","",YEAR(J55))</f>
        <v/>
      </c>
      <c r="X55" t="inlineStr">
        <is>
          <t>TransNorte</t>
        </is>
      </c>
      <c r="Y55">
        <f>IFERROR(INDEX(Rastreio!$H$2:$H$200,MATCH(X55&amp;"|"&amp;U55,Rastreio!$A$2:$A$200,0)),"")</f>
        <v/>
      </c>
    </row>
    <row r="56">
      <c r="A56">
        <f>IFERROR(INDEX(STAs!$G$2:$G$61,MATCH(P56,STAs!$F$2:$F$61,0))&amp;"","")</f>
        <v/>
      </c>
      <c r="B56" t="n">
        <v>20012417</v>
      </c>
      <c r="C56" t="inlineStr">
        <is>
          <t>Não</t>
        </is>
      </c>
      <c r="D56" t="inlineStr">
        <is>
          <t>RJ</t>
        </is>
      </c>
      <c r="E56" t="inlineStr">
        <is>
          <t>SUDESTE RJ e ES</t>
        </is>
      </c>
      <c r="F56" t="inlineStr">
        <is>
          <t>Cliente C - Misturador</t>
        </is>
      </c>
      <c r="G56" t="inlineStr">
        <is>
          <t>Refrigeradores</t>
        </is>
      </c>
      <c r="H56" s="10" t="n">
        <v>190</v>
      </c>
      <c r="I56" s="10">
        <f>IFERROR(T56*H56,0)</f>
        <v/>
      </c>
      <c r="J56" s="11" t="n">
        <v>45912</v>
      </c>
      <c r="K56" s="11" t="n"/>
      <c r="L56" t="inlineStr">
        <is>
          <t>Aguardando devolução</t>
        </is>
      </c>
      <c r="M56">
        <f>IF(L56="","",IFERROR(VLOOKUP(L56,mapGrupoStatus,2,0),"Outros"))</f>
        <v/>
      </c>
      <c r="N56">
        <f>IF(O56="","",IF(O56&lt;=30,"0-30 dias",IF(O56&lt;=60,"31-60 dias",IF(O56&lt;=90,"61-90 dias","Mais de 90 dias"))))</f>
        <v/>
      </c>
      <c r="O56">
        <f>IF(OR(M56="Pendente",M56="Em andamento"),IF(J56="","",TODAY()-J56),"")</f>
        <v/>
      </c>
      <c r="P56" t="n">
        <v>10676</v>
      </c>
      <c r="Q56" t="inlineStr">
        <is>
          <t>Clima Serviços (10676)</t>
        </is>
      </c>
      <c r="R56" t="inlineStr">
        <is>
          <t>PC-0014</t>
        </is>
      </c>
      <c r="S56" t="inlineStr">
        <is>
          <t>Placa eletrônica modelo 04</t>
        </is>
      </c>
      <c r="T56" t="n">
        <v>2</v>
      </c>
      <c r="U56" t="inlineStr"/>
      <c r="V56">
        <f>IF(J56="","",MONTH(J56))</f>
        <v/>
      </c>
      <c r="W56">
        <f>IF(J56="","",YEAR(J56))</f>
        <v/>
      </c>
      <c r="X56" t="inlineStr"/>
      <c r="Y56">
        <f>IFERROR(INDEX(Rastreio!$H$2:$H$200,MATCH(X56&amp;"|"&amp;U56,Rastreio!$A$2:$A$200,0)),"")</f>
        <v/>
      </c>
    </row>
    <row r="57">
      <c r="A57">
        <f>IFERROR(INDEX(STAs!$G$2:$G$61,MATCH(P57,STAs!$F$2:$F$61,0))&amp;"","")</f>
        <v/>
      </c>
      <c r="B57" t="n">
        <v>20023231</v>
      </c>
      <c r="C57" t="inlineStr">
        <is>
          <t>Não</t>
        </is>
      </c>
      <c r="D57" t="inlineStr">
        <is>
          <t>MG</t>
        </is>
      </c>
      <c r="E57" t="inlineStr">
        <is>
          <t>SUDESTE MG</t>
        </is>
      </c>
      <c r="F57" t="inlineStr">
        <is>
          <t>Cliente B - Chopeira</t>
        </is>
      </c>
      <c r="G57" t="inlineStr">
        <is>
          <t>Misturadores</t>
        </is>
      </c>
      <c r="H57" s="10" t="n">
        <v>35</v>
      </c>
      <c r="I57" s="10">
        <f>IFERROR(T57*H57,0)</f>
        <v/>
      </c>
      <c r="J57" s="11" t="n">
        <v>45912</v>
      </c>
      <c r="K57" s="11" t="n">
        <v>45938</v>
      </c>
      <c r="L57" t="inlineStr">
        <is>
          <t>Ok. Devolvida</t>
        </is>
      </c>
      <c r="M57">
        <f>IF(L57="","",IFERROR(VLOOKUP(L57,mapGrupoStatus,2,0),"Outros"))</f>
        <v/>
      </c>
      <c r="N57">
        <f>IF(O57="","",IF(O57&lt;=30,"0-30 dias",IF(O57&lt;=60,"31-60 dias",IF(O57&lt;=90,"61-90 dias","Mais de 90 dias"))))</f>
        <v/>
      </c>
      <c r="O57">
        <f>IF(OR(M57="Pendente",M57="Em andamento"),IF(J57="","",TODAY()-J57),"")</f>
        <v/>
      </c>
      <c r="P57" t="n">
        <v>12470</v>
      </c>
      <c r="Q57" t="inlineStr">
        <is>
          <t>Cool Service Técnica (12470)</t>
        </is>
      </c>
      <c r="R57" t="inlineStr">
        <is>
          <t>PC-0043</t>
        </is>
      </c>
      <c r="S57" t="inlineStr">
        <is>
          <t>Bico dosador modelo 02</t>
        </is>
      </c>
      <c r="T57" t="n">
        <v>1</v>
      </c>
      <c r="U57" t="n">
        <v>138</v>
      </c>
      <c r="V57">
        <f>IF(J57="","",MONTH(J57))</f>
        <v/>
      </c>
      <c r="W57">
        <f>IF(J57="","",YEAR(J57))</f>
        <v/>
      </c>
      <c r="X57" t="inlineStr">
        <is>
          <t>RotaSul</t>
        </is>
      </c>
      <c r="Y57">
        <f>IFERROR(INDEX(Rastreio!$H$2:$H$200,MATCH(X57&amp;"|"&amp;U57,Rastreio!$A$2:$A$200,0)),"")</f>
        <v/>
      </c>
    </row>
    <row r="58">
      <c r="A58">
        <f>IFERROR(INDEX(STAs!$G$2:$G$61,MATCH(P58,STAs!$F$2:$F$61,0))&amp;"","")</f>
        <v/>
      </c>
      <c r="B58" t="n">
        <v>20023397</v>
      </c>
      <c r="C58" t="inlineStr">
        <is>
          <t>Não</t>
        </is>
      </c>
      <c r="D58" t="inlineStr">
        <is>
          <t>RO</t>
        </is>
      </c>
      <c r="E58" t="inlineStr">
        <is>
          <t>NORTE</t>
        </is>
      </c>
      <c r="F58" t="inlineStr">
        <is>
          <t>Cliente C - Misturador</t>
        </is>
      </c>
      <c r="G58" t="inlineStr">
        <is>
          <t>Chopeiras</t>
        </is>
      </c>
      <c r="H58" s="10" t="n">
        <v>115</v>
      </c>
      <c r="I58" s="10">
        <f>IFERROR(T58*H58,0)</f>
        <v/>
      </c>
      <c r="J58" s="11" t="n">
        <v>45912</v>
      </c>
      <c r="K58" s="11" t="n"/>
      <c r="L58" t="inlineStr">
        <is>
          <t>Em transporte</t>
        </is>
      </c>
      <c r="M58">
        <f>IF(L58="","",IFERROR(VLOOKUP(L58,mapGrupoStatus,2,0),"Outros"))</f>
        <v/>
      </c>
      <c r="N58">
        <f>IF(O58="","",IF(O58&lt;=30,"0-30 dias",IF(O58&lt;=60,"31-60 dias",IF(O58&lt;=90,"61-90 dias","Mais de 90 dias"))))</f>
        <v/>
      </c>
      <c r="O58">
        <f>IF(OR(M58="Pendente",M58="Em andamento"),IF(J58="","",TODAY()-J58),"")</f>
        <v/>
      </c>
      <c r="P58" t="n">
        <v>12019</v>
      </c>
      <c r="Q58" t="inlineStr">
        <is>
          <t>Ártico Serviços (12019)</t>
        </is>
      </c>
      <c r="R58" t="inlineStr">
        <is>
          <t>PC-0033</t>
        </is>
      </c>
      <c r="S58" t="inlineStr">
        <is>
          <t>Regulador de pressão modelo 02</t>
        </is>
      </c>
      <c r="T58" t="n">
        <v>1</v>
      </c>
      <c r="U58" t="n">
        <v>139</v>
      </c>
      <c r="V58">
        <f>IF(J58="","",MONTH(J58))</f>
        <v/>
      </c>
      <c r="W58">
        <f>IF(J58="","",YEAR(J58))</f>
        <v/>
      </c>
      <c r="X58" t="inlineStr">
        <is>
          <t>RotaSul</t>
        </is>
      </c>
      <c r="Y58">
        <f>IFERROR(INDEX(Rastreio!$H$2:$H$200,MATCH(X58&amp;"|"&amp;U58,Rastreio!$A$2:$A$200,0)),"")</f>
        <v/>
      </c>
    </row>
    <row r="59">
      <c r="A59">
        <f>IFERROR(INDEX(STAs!$G$2:$G$61,MATCH(P59,STAs!$F$2:$F$61,0))&amp;"","")</f>
        <v/>
      </c>
      <c r="B59" t="n">
        <v>20038875</v>
      </c>
      <c r="C59" t="inlineStr">
        <is>
          <t>Não</t>
        </is>
      </c>
      <c r="D59" t="inlineStr">
        <is>
          <t>PR</t>
        </is>
      </c>
      <c r="E59" t="inlineStr">
        <is>
          <t>SUL</t>
        </is>
      </c>
      <c r="F59" t="inlineStr">
        <is>
          <t>Cliente B - Chopeira</t>
        </is>
      </c>
      <c r="G59" t="inlineStr">
        <is>
          <t>Refrigeradores</t>
        </is>
      </c>
      <c r="H59" s="10" t="n">
        <v>40</v>
      </c>
      <c r="I59" s="10">
        <f>IFERROR(T59*H59,0)</f>
        <v/>
      </c>
      <c r="J59" s="11" t="n">
        <v>45912</v>
      </c>
      <c r="K59" s="11" t="n">
        <v>45939</v>
      </c>
      <c r="L59" t="inlineStr">
        <is>
          <t>Ok. Devolvida</t>
        </is>
      </c>
      <c r="M59">
        <f>IF(L59="","",IFERROR(VLOOKUP(L59,mapGrupoStatus,2,0),"Outros"))</f>
        <v/>
      </c>
      <c r="N59">
        <f>IF(O59="","",IF(O59&lt;=30,"0-30 dias",IF(O59&lt;=60,"31-60 dias",IF(O59&lt;=90,"61-90 dias","Mais de 90 dias"))))</f>
        <v/>
      </c>
      <c r="O59">
        <f>IF(OR(M59="Pendente",M59="Em andamento"),IF(J59="","",TODAY()-J59),"")</f>
        <v/>
      </c>
      <c r="P59" t="n">
        <v>12089</v>
      </c>
      <c r="Q59" t="inlineStr">
        <is>
          <t>Termotec Serviços (12089)</t>
        </is>
      </c>
      <c r="R59" t="inlineStr">
        <is>
          <t>PC-0005</t>
        </is>
      </c>
      <c r="S59" t="inlineStr">
        <is>
          <t>Termostato modelo 02</t>
        </is>
      </c>
      <c r="T59" t="n">
        <v>1</v>
      </c>
      <c r="U59" t="n">
        <v>158</v>
      </c>
      <c r="V59">
        <f>IF(J59="","",MONTH(J59))</f>
        <v/>
      </c>
      <c r="W59">
        <f>IF(J59="","",YEAR(J59))</f>
        <v/>
      </c>
      <c r="X59" t="inlineStr">
        <is>
          <t>ViaCargo</t>
        </is>
      </c>
      <c r="Y59">
        <f>IFERROR(INDEX(Rastreio!$H$2:$H$200,MATCH(X59&amp;"|"&amp;U59,Rastreio!$A$2:$A$200,0)),"")</f>
        <v/>
      </c>
    </row>
    <row r="60">
      <c r="A60">
        <f>IFERROR(INDEX(STAs!$G$2:$G$61,MATCH(P60,STAs!$F$2:$F$61,0))&amp;"","")</f>
        <v/>
      </c>
      <c r="B60" t="n">
        <v>20039621</v>
      </c>
      <c r="C60" t="inlineStr">
        <is>
          <t>Não</t>
        </is>
      </c>
      <c r="D60" t="inlineStr">
        <is>
          <t>AP</t>
        </is>
      </c>
      <c r="E60" t="inlineStr">
        <is>
          <t>NORTE</t>
        </is>
      </c>
      <c r="F60" t="inlineStr">
        <is>
          <t>Cliente C - Misturador</t>
        </is>
      </c>
      <c r="G60" t="inlineStr">
        <is>
          <t>Refrigeradores</t>
        </is>
      </c>
      <c r="H60" s="10" t="n">
        <v>35</v>
      </c>
      <c r="I60" s="10">
        <f>IFERROR(T60*H60,0)</f>
        <v/>
      </c>
      <c r="J60" s="11" t="n">
        <v>45912</v>
      </c>
      <c r="K60" s="11" t="n"/>
      <c r="L60" t="inlineStr">
        <is>
          <t>Não Devolve-Norte</t>
        </is>
      </c>
      <c r="M60">
        <f>IF(L60="","",IFERROR(VLOOKUP(L60,mapGrupoStatus,2,0),"Outros"))</f>
        <v/>
      </c>
      <c r="N60">
        <f>IF(O60="","",IF(O60&lt;=30,"0-30 dias",IF(O60&lt;=60,"31-60 dias",IF(O60&lt;=90,"61-90 dias","Mais de 90 dias"))))</f>
        <v/>
      </c>
      <c r="O60">
        <f>IF(OR(M60="Pendente",M60="Em andamento"),IF(J60="","",TODAY()-J60),"")</f>
        <v/>
      </c>
      <c r="P60" t="n">
        <v>11859</v>
      </c>
      <c r="Q60" t="inlineStr">
        <is>
          <t>Ice Tech Serviços (11859)</t>
        </is>
      </c>
      <c r="R60" t="inlineStr">
        <is>
          <t>PC-0016</t>
        </is>
      </c>
      <c r="S60" t="inlineStr">
        <is>
          <t>Filtro secador modelo 02</t>
        </is>
      </c>
      <c r="T60" t="n">
        <v>1</v>
      </c>
      <c r="U60" t="inlineStr"/>
      <c r="V60">
        <f>IF(J60="","",MONTH(J60))</f>
        <v/>
      </c>
      <c r="W60">
        <f>IF(J60="","",YEAR(J60))</f>
        <v/>
      </c>
      <c r="X60" t="inlineStr"/>
      <c r="Y60">
        <f>IFERROR(INDEX(Rastreio!$H$2:$H$200,MATCH(X60&amp;"|"&amp;U60,Rastreio!$A$2:$A$200,0)),"")</f>
        <v/>
      </c>
    </row>
    <row r="61">
      <c r="A61">
        <f>IFERROR(INDEX(STAs!$G$2:$G$61,MATCH(P61,STAs!$F$2:$F$61,0))&amp;"","")</f>
        <v/>
      </c>
      <c r="B61" t="n">
        <v>20009770</v>
      </c>
      <c r="C61" t="inlineStr">
        <is>
          <t>Não</t>
        </is>
      </c>
      <c r="D61" t="inlineStr">
        <is>
          <t>SP</t>
        </is>
      </c>
      <c r="E61" t="inlineStr">
        <is>
          <t>SUDESTE SP</t>
        </is>
      </c>
      <c r="F61" t="inlineStr">
        <is>
          <t>Cliente B - Chopeira</t>
        </is>
      </c>
      <c r="G61" t="inlineStr">
        <is>
          <t>Misturadores</t>
        </is>
      </c>
      <c r="H61" s="10" t="n">
        <v>50</v>
      </c>
      <c r="I61" s="10">
        <f>IFERROR(T61*H61,0)</f>
        <v/>
      </c>
      <c r="J61" s="11" t="n">
        <v>45913</v>
      </c>
      <c r="K61" s="11" t="n"/>
      <c r="L61" t="inlineStr">
        <is>
          <t>Debitar do STA</t>
        </is>
      </c>
      <c r="M61">
        <f>IF(L61="","",IFERROR(VLOOKUP(L61,mapGrupoStatus,2,0),"Outros"))</f>
        <v/>
      </c>
      <c r="N61">
        <f>IF(O61="","",IF(O61&lt;=30,"0-30 dias",IF(O61&lt;=60,"31-60 dias",IF(O61&lt;=90,"61-90 dias","Mais de 90 dias"))))</f>
        <v/>
      </c>
      <c r="O61">
        <f>IF(OR(M61="Pendente",M61="Em andamento"),IF(J61="","",TODAY()-J61),"")</f>
        <v/>
      </c>
      <c r="P61" t="n">
        <v>11710</v>
      </c>
      <c r="Q61" t="inlineStr">
        <is>
          <t>Brisa &amp; Cia (11710)</t>
        </is>
      </c>
      <c r="R61" t="inlineStr">
        <is>
          <t>PC-0047</t>
        </is>
      </c>
      <c r="S61" t="inlineStr">
        <is>
          <t>Sensor de nível modelo 03</t>
        </is>
      </c>
      <c r="T61" t="n">
        <v>1</v>
      </c>
      <c r="U61" t="inlineStr"/>
      <c r="V61">
        <f>IF(J61="","",MONTH(J61))</f>
        <v/>
      </c>
      <c r="W61">
        <f>IF(J61="","",YEAR(J61))</f>
        <v/>
      </c>
      <c r="X61" t="inlineStr"/>
      <c r="Y61">
        <f>IFERROR(INDEX(Rastreio!$H$2:$H$200,MATCH(X61&amp;"|"&amp;U61,Rastreio!$A$2:$A$200,0)),"")</f>
        <v/>
      </c>
    </row>
    <row r="62">
      <c r="A62">
        <f>IFERROR(INDEX(STAs!$G$2:$G$61,MATCH(P62,STAs!$F$2:$F$61,0))&amp;"","")</f>
        <v/>
      </c>
      <c r="B62" t="n">
        <v>20009861</v>
      </c>
      <c r="C62" t="inlineStr">
        <is>
          <t>Não</t>
        </is>
      </c>
      <c r="D62" t="inlineStr">
        <is>
          <t>GO</t>
        </is>
      </c>
      <c r="E62" t="inlineStr">
        <is>
          <t>CENTRO OESTE</t>
        </is>
      </c>
      <c r="F62" t="inlineStr">
        <is>
          <t>Cliente A - Refrigerador</t>
        </is>
      </c>
      <c r="G62" t="inlineStr">
        <is>
          <t>Refrigeradores</t>
        </is>
      </c>
      <c r="H62" s="10" t="n">
        <v>40</v>
      </c>
      <c r="I62" s="10">
        <f>IFERROR(T62*H62,0)</f>
        <v/>
      </c>
      <c r="J62" s="11" t="n">
        <v>45913</v>
      </c>
      <c r="K62" s="11" t="n">
        <v>45939</v>
      </c>
      <c r="L62" t="inlineStr">
        <is>
          <t>Ok. Devolvida</t>
        </is>
      </c>
      <c r="M62">
        <f>IF(L62="","",IFERROR(VLOOKUP(L62,mapGrupoStatus,2,0),"Outros"))</f>
        <v/>
      </c>
      <c r="N62">
        <f>IF(O62="","",IF(O62&lt;=30,"0-30 dias",IF(O62&lt;=60,"31-60 dias",IF(O62&lt;=90,"61-90 dias","Mais de 90 dias"))))</f>
        <v/>
      </c>
      <c r="O62">
        <f>IF(OR(M62="Pendente",M62="Em andamento"),IF(J62="","",TODAY()-J62),"")</f>
        <v/>
      </c>
      <c r="P62" t="n">
        <v>12007</v>
      </c>
      <c r="Q62" t="inlineStr">
        <is>
          <t>Refrigel Ltda (12007)</t>
        </is>
      </c>
      <c r="R62" t="inlineStr">
        <is>
          <t>PC-0005</t>
        </is>
      </c>
      <c r="S62" t="inlineStr">
        <is>
          <t>Termostato modelo 02</t>
        </is>
      </c>
      <c r="T62" t="n">
        <v>1</v>
      </c>
      <c r="U62" t="n">
        <v>120</v>
      </c>
      <c r="V62">
        <f>IF(J62="","",MONTH(J62))</f>
        <v/>
      </c>
      <c r="W62">
        <f>IF(J62="","",YEAR(J62))</f>
        <v/>
      </c>
      <c r="X62" t="inlineStr">
        <is>
          <t>LogExpress</t>
        </is>
      </c>
      <c r="Y62">
        <f>IFERROR(INDEX(Rastreio!$H$2:$H$200,MATCH(X62&amp;"|"&amp;U62,Rastreio!$A$2:$A$200,0)),"")</f>
        <v/>
      </c>
    </row>
    <row r="63">
      <c r="A63">
        <f>IFERROR(INDEX(STAs!$G$2:$G$61,MATCH(P63,STAs!$F$2:$F$61,0))&amp;"","")</f>
        <v/>
      </c>
      <c r="B63" t="n">
        <v>20016293</v>
      </c>
      <c r="C63" t="inlineStr">
        <is>
          <t>Não</t>
        </is>
      </c>
      <c r="D63" t="inlineStr">
        <is>
          <t>SP</t>
        </is>
      </c>
      <c r="E63" t="inlineStr">
        <is>
          <t>SUDESTE SP</t>
        </is>
      </c>
      <c r="F63" t="inlineStr">
        <is>
          <t>Cliente B - Chopeira</t>
        </is>
      </c>
      <c r="G63" t="inlineStr">
        <is>
          <t>Refrigeradores</t>
        </is>
      </c>
      <c r="H63" s="10" t="n">
        <v>35</v>
      </c>
      <c r="I63" s="10">
        <f>IFERROR(T63*H63,0)</f>
        <v/>
      </c>
      <c r="J63" s="11" t="n">
        <v>45913</v>
      </c>
      <c r="K63" s="11" t="n">
        <v>45949</v>
      </c>
      <c r="L63" t="inlineStr">
        <is>
          <t>Ok. Devolvida</t>
        </is>
      </c>
      <c r="M63">
        <f>IF(L63="","",IFERROR(VLOOKUP(L63,mapGrupoStatus,2,0),"Outros"))</f>
        <v/>
      </c>
      <c r="N63">
        <f>IF(O63="","",IF(O63&lt;=30,"0-30 dias",IF(O63&lt;=60,"31-60 dias",IF(O63&lt;=90,"61-90 dias","Mais de 90 dias"))))</f>
        <v/>
      </c>
      <c r="O63">
        <f>IF(OR(M63="Pendente",M63="Em andamento"),IF(J63="","",TODAY()-J63),"")</f>
        <v/>
      </c>
      <c r="P63" t="n">
        <v>11710</v>
      </c>
      <c r="Q63" t="inlineStr">
        <is>
          <t>Brisa &amp; Cia (11710)</t>
        </is>
      </c>
      <c r="R63" t="inlineStr">
        <is>
          <t>PC-0020</t>
        </is>
      </c>
      <c r="S63" t="inlineStr">
        <is>
          <t>Gaxeta da porta modelo 03</t>
        </is>
      </c>
      <c r="T63" t="n">
        <v>1</v>
      </c>
      <c r="U63" t="n">
        <v>125</v>
      </c>
      <c r="V63">
        <f>IF(J63="","",MONTH(J63))</f>
        <v/>
      </c>
      <c r="W63">
        <f>IF(J63="","",YEAR(J63))</f>
        <v/>
      </c>
      <c r="X63" t="inlineStr">
        <is>
          <t>TransNorte</t>
        </is>
      </c>
      <c r="Y63">
        <f>IFERROR(INDEX(Rastreio!$H$2:$H$200,MATCH(X63&amp;"|"&amp;U63,Rastreio!$A$2:$A$200,0)),"")</f>
        <v/>
      </c>
    </row>
    <row r="64">
      <c r="A64">
        <f>IFERROR(INDEX(STAs!$G$2:$G$61,MATCH(P64,STAs!$F$2:$F$61,0))&amp;"","")</f>
        <v/>
      </c>
      <c r="B64" t="n">
        <v>20027695</v>
      </c>
      <c r="C64" t="inlineStr">
        <is>
          <t>Sim</t>
        </is>
      </c>
      <c r="D64" t="inlineStr">
        <is>
          <t>CE</t>
        </is>
      </c>
      <c r="E64" t="inlineStr">
        <is>
          <t>NORDESTE</t>
        </is>
      </c>
      <c r="F64" t="inlineStr">
        <is>
          <t>Cliente B - Chopeira</t>
        </is>
      </c>
      <c r="G64" t="inlineStr">
        <is>
          <t>Refrigeradores</t>
        </is>
      </c>
      <c r="H64" s="10" t="n">
        <v>55</v>
      </c>
      <c r="I64" s="10">
        <f>IFERROR(T64*H64,0)</f>
        <v/>
      </c>
      <c r="J64" s="11" t="n">
        <v>45913</v>
      </c>
      <c r="K64" s="11" t="n"/>
      <c r="L64" t="inlineStr">
        <is>
          <t>Aguardando devolução</t>
        </is>
      </c>
      <c r="M64">
        <f>IF(L64="","",IFERROR(VLOOKUP(L64,mapGrupoStatus,2,0),"Outros"))</f>
        <v/>
      </c>
      <c r="N64">
        <f>IF(O64="","",IF(O64&lt;=30,"0-30 dias",IF(O64&lt;=60,"31-60 dias",IF(O64&lt;=90,"61-90 dias","Mais de 90 dias"))))</f>
        <v/>
      </c>
      <c r="O64">
        <f>IF(OR(M64="Pendente",M64="Em andamento"),IF(J64="","",TODAY()-J64),"")</f>
        <v/>
      </c>
      <c r="P64" t="n">
        <v>10615</v>
      </c>
      <c r="Q64" t="inlineStr">
        <is>
          <t>Brisa Técnica (10615)</t>
        </is>
      </c>
      <c r="R64" t="inlineStr">
        <is>
          <t>PC-0007</t>
        </is>
      </c>
      <c r="S64" t="inlineStr">
        <is>
          <t>Ventilador modelo 01</t>
        </is>
      </c>
      <c r="T64" t="n">
        <v>1</v>
      </c>
      <c r="U64" t="inlineStr"/>
      <c r="V64">
        <f>IF(J64="","",MONTH(J64))</f>
        <v/>
      </c>
      <c r="W64">
        <f>IF(J64="","",YEAR(J64))</f>
        <v/>
      </c>
      <c r="X64" t="inlineStr"/>
      <c r="Y64">
        <f>IFERROR(INDEX(Rastreio!$H$2:$H$200,MATCH(X64&amp;"|"&amp;U64,Rastreio!$A$2:$A$200,0)),"")</f>
        <v/>
      </c>
    </row>
    <row r="65">
      <c r="A65">
        <f>IFERROR(INDEX(STAs!$G$2:$G$61,MATCH(P65,STAs!$F$2:$F$61,0))&amp;"","")</f>
        <v/>
      </c>
      <c r="B65" t="n">
        <v>20030456</v>
      </c>
      <c r="C65" t="inlineStr">
        <is>
          <t>Não</t>
        </is>
      </c>
      <c r="D65" t="inlineStr">
        <is>
          <t>GO</t>
        </is>
      </c>
      <c r="E65" t="inlineStr">
        <is>
          <t>CENTRO OESTE</t>
        </is>
      </c>
      <c r="F65" t="inlineStr">
        <is>
          <t>Cliente B - Chopeira</t>
        </is>
      </c>
      <c r="G65" t="inlineStr">
        <is>
          <t>Refrigeradores</t>
        </is>
      </c>
      <c r="H65" s="10" t="n">
        <v>35</v>
      </c>
      <c r="I65" s="10">
        <f>IFERROR(T65*H65,0)</f>
        <v/>
      </c>
      <c r="J65" s="11" t="n">
        <v>45913</v>
      </c>
      <c r="K65" s="11" t="n"/>
      <c r="L65" t="inlineStr">
        <is>
          <t>Aguardando devolução</t>
        </is>
      </c>
      <c r="M65">
        <f>IF(L65="","",IFERROR(VLOOKUP(L65,mapGrupoStatus,2,0),"Outros"))</f>
        <v/>
      </c>
      <c r="N65">
        <f>IF(O65="","",IF(O65&lt;=30,"0-30 dias",IF(O65&lt;=60,"31-60 dias",IF(O65&lt;=90,"61-90 dias","Mais de 90 dias"))))</f>
        <v/>
      </c>
      <c r="O65">
        <f>IF(OR(M65="Pendente",M65="Em andamento"),IF(J65="","",TODAY()-J65),"")</f>
        <v/>
      </c>
      <c r="P65" t="n">
        <v>12007</v>
      </c>
      <c r="Q65" t="inlineStr">
        <is>
          <t>Refrigel Ltda (12007)</t>
        </is>
      </c>
      <c r="R65" t="inlineStr">
        <is>
          <t>PC-0023</t>
        </is>
      </c>
      <c r="S65" t="inlineStr">
        <is>
          <t>Relé de partida modelo 01</t>
        </is>
      </c>
      <c r="T65" t="n">
        <v>1</v>
      </c>
      <c r="U65" t="inlineStr"/>
      <c r="V65">
        <f>IF(J65="","",MONTH(J65))</f>
        <v/>
      </c>
      <c r="W65">
        <f>IF(J65="","",YEAR(J65))</f>
        <v/>
      </c>
      <c r="X65" t="inlineStr"/>
      <c r="Y65">
        <f>IFERROR(INDEX(Rastreio!$H$2:$H$200,MATCH(X65&amp;"|"&amp;U65,Rastreio!$A$2:$A$200,0)),"")</f>
        <v/>
      </c>
    </row>
    <row r="66">
      <c r="A66">
        <f>IFERROR(INDEX(STAs!$G$2:$G$61,MATCH(P66,STAs!$F$2:$F$61,0))&amp;"","")</f>
        <v/>
      </c>
      <c r="B66" t="n">
        <v>20036839</v>
      </c>
      <c r="C66" t="inlineStr">
        <is>
          <t>Sim</t>
        </is>
      </c>
      <c r="D66" t="inlineStr">
        <is>
          <t>CE</t>
        </is>
      </c>
      <c r="E66" t="inlineStr">
        <is>
          <t>NORDESTE</t>
        </is>
      </c>
      <c r="F66" t="inlineStr">
        <is>
          <t>Cliente B - Chopeira</t>
        </is>
      </c>
      <c r="G66" t="inlineStr">
        <is>
          <t>Refrigeradores</t>
        </is>
      </c>
      <c r="H66" s="10" t="n">
        <v>65</v>
      </c>
      <c r="I66" s="10">
        <f>IFERROR(T66*H66,0)</f>
        <v/>
      </c>
      <c r="J66" s="11" t="n">
        <v>45913</v>
      </c>
      <c r="K66" s="11" t="n">
        <v>45959</v>
      </c>
      <c r="L66" t="inlineStr">
        <is>
          <t>Ok. Devolvida</t>
        </is>
      </c>
      <c r="M66">
        <f>IF(L66="","",IFERROR(VLOOKUP(L66,mapGrupoStatus,2,0),"Outros"))</f>
        <v/>
      </c>
      <c r="N66">
        <f>IF(O66="","",IF(O66&lt;=30,"0-30 dias",IF(O66&lt;=60,"31-60 dias",IF(O66&lt;=90,"61-90 dias","Mais de 90 dias"))))</f>
        <v/>
      </c>
      <c r="O66">
        <f>IF(OR(M66="Pendente",M66="Em andamento"),IF(J66="","",TODAY()-J66),"")</f>
        <v/>
      </c>
      <c r="P66" t="n">
        <v>10615</v>
      </c>
      <c r="Q66" t="inlineStr">
        <is>
          <t>Brisa Técnica (10615)</t>
        </is>
      </c>
      <c r="R66" t="inlineStr">
        <is>
          <t>PC-0010</t>
        </is>
      </c>
      <c r="S66" t="inlineStr">
        <is>
          <t>Ventilador modelo 04</t>
        </is>
      </c>
      <c r="T66" t="n">
        <v>1</v>
      </c>
      <c r="U66" t="n">
        <v>168</v>
      </c>
      <c r="V66">
        <f>IF(J66="","",MONTH(J66))</f>
        <v/>
      </c>
      <c r="W66">
        <f>IF(J66="","",YEAR(J66))</f>
        <v/>
      </c>
      <c r="X66" t="inlineStr">
        <is>
          <t>RotaSul</t>
        </is>
      </c>
      <c r="Y66">
        <f>IFERROR(INDEX(Rastreio!$H$2:$H$200,MATCH(X66&amp;"|"&amp;U66,Rastreio!$A$2:$A$200,0)),"")</f>
        <v/>
      </c>
    </row>
    <row r="67">
      <c r="A67">
        <f>IFERROR(INDEX(STAs!$G$2:$G$61,MATCH(P67,STAs!$F$2:$F$61,0))&amp;"","")</f>
        <v/>
      </c>
      <c r="B67" t="n">
        <v>20039369</v>
      </c>
      <c r="C67" t="inlineStr">
        <is>
          <t>Não</t>
        </is>
      </c>
      <c r="D67" t="inlineStr">
        <is>
          <t>MS</t>
        </is>
      </c>
      <c r="E67" t="inlineStr">
        <is>
          <t>CENTRO OESTE</t>
        </is>
      </c>
      <c r="F67" t="inlineStr">
        <is>
          <t>Cliente B - Chopeira</t>
        </is>
      </c>
      <c r="G67" t="inlineStr">
        <is>
          <t>Refrigeradores</t>
        </is>
      </c>
      <c r="H67" s="10" t="n">
        <v>45</v>
      </c>
      <c r="I67" s="10">
        <f>IFERROR(T67*H67,0)</f>
        <v/>
      </c>
      <c r="J67" s="11" t="n">
        <v>45913</v>
      </c>
      <c r="K67" s="11" t="n">
        <v>45958</v>
      </c>
      <c r="L67" t="inlineStr">
        <is>
          <t>Ok. Devolvida</t>
        </is>
      </c>
      <c r="M67">
        <f>IF(L67="","",IFERROR(VLOOKUP(L67,mapGrupoStatus,2,0),"Outros"))</f>
        <v/>
      </c>
      <c r="N67">
        <f>IF(O67="","",IF(O67&lt;=30,"0-30 dias",IF(O67&lt;=60,"31-60 dias",IF(O67&lt;=90,"61-90 dias","Mais de 90 dias"))))</f>
        <v/>
      </c>
      <c r="O67">
        <f>IF(OR(M67="Pendente",M67="Em andamento"),IF(J67="","",TODAY()-J67),"")</f>
        <v/>
      </c>
      <c r="P67" t="n">
        <v>11726</v>
      </c>
      <c r="Q67" t="inlineStr">
        <is>
          <t>Norte Frio Refrigeração (11726)</t>
        </is>
      </c>
      <c r="R67" t="inlineStr">
        <is>
          <t>PC-0018</t>
        </is>
      </c>
      <c r="S67" t="inlineStr">
        <is>
          <t>Gaxeta da porta modelo 01</t>
        </is>
      </c>
      <c r="T67" t="n">
        <v>1</v>
      </c>
      <c r="U67" t="n">
        <v>168</v>
      </c>
      <c r="V67">
        <f>IF(J67="","",MONTH(J67))</f>
        <v/>
      </c>
      <c r="W67">
        <f>IF(J67="","",YEAR(J67))</f>
        <v/>
      </c>
      <c r="X67" t="inlineStr">
        <is>
          <t>CargoMax</t>
        </is>
      </c>
      <c r="Y67">
        <f>IFERROR(INDEX(Rastreio!$H$2:$H$200,MATCH(X67&amp;"|"&amp;U67,Rastreio!$A$2:$A$200,0)),"")</f>
        <v/>
      </c>
    </row>
    <row r="68">
      <c r="A68">
        <f>IFERROR(INDEX(STAs!$G$2:$G$61,MATCH(P68,STAs!$F$2:$F$61,0))&amp;"","")</f>
        <v/>
      </c>
      <c r="B68" t="n">
        <v>20005596</v>
      </c>
      <c r="C68" t="inlineStr">
        <is>
          <t>Não</t>
        </is>
      </c>
      <c r="D68" t="inlineStr">
        <is>
          <t>SP</t>
        </is>
      </c>
      <c r="E68" t="inlineStr">
        <is>
          <t>SUDESTE SP</t>
        </is>
      </c>
      <c r="F68" t="inlineStr">
        <is>
          <t>Cliente B - Chopeira</t>
        </is>
      </c>
      <c r="G68" t="inlineStr">
        <is>
          <t>Refrigeradores</t>
        </is>
      </c>
      <c r="H68" s="10" t="n">
        <v>175</v>
      </c>
      <c r="I68" s="10">
        <f>IFERROR(T68*H68,0)</f>
        <v/>
      </c>
      <c r="J68" s="11" t="n">
        <v>45914</v>
      </c>
      <c r="K68" s="11" t="n"/>
      <c r="L68" t="inlineStr">
        <is>
          <t>Debitar do STA</t>
        </is>
      </c>
      <c r="M68">
        <f>IF(L68="","",IFERROR(VLOOKUP(L68,mapGrupoStatus,2,0),"Outros"))</f>
        <v/>
      </c>
      <c r="N68">
        <f>IF(O68="","",IF(O68&lt;=30,"0-30 dias",IF(O68&lt;=60,"31-60 dias",IF(O68&lt;=90,"61-90 dias","Mais de 90 dias"))))</f>
        <v/>
      </c>
      <c r="O68">
        <f>IF(OR(M68="Pendente",M68="Em andamento"),IF(J68="","",TODAY()-J68),"")</f>
        <v/>
      </c>
      <c r="P68" t="n">
        <v>11710</v>
      </c>
      <c r="Q68" t="inlineStr">
        <is>
          <t>Brisa &amp; Cia (11710)</t>
        </is>
      </c>
      <c r="R68" t="inlineStr">
        <is>
          <t>PC-0012</t>
        </is>
      </c>
      <c r="S68" t="inlineStr">
        <is>
          <t>Placa eletrônica modelo 02</t>
        </is>
      </c>
      <c r="T68" t="n">
        <v>2</v>
      </c>
      <c r="U68" t="inlineStr"/>
      <c r="V68">
        <f>IF(J68="","",MONTH(J68))</f>
        <v/>
      </c>
      <c r="W68">
        <f>IF(J68="","",YEAR(J68))</f>
        <v/>
      </c>
      <c r="X68" t="inlineStr"/>
      <c r="Y68">
        <f>IFERROR(INDEX(Rastreio!$H$2:$H$200,MATCH(X68&amp;"|"&amp;U68,Rastreio!$A$2:$A$200,0)),"")</f>
        <v/>
      </c>
    </row>
    <row r="69">
      <c r="A69">
        <f>IFERROR(INDEX(STAs!$G$2:$G$61,MATCH(P69,STAs!$F$2:$F$61,0))&amp;"","")</f>
        <v/>
      </c>
      <c r="B69" t="n">
        <v>20014685</v>
      </c>
      <c r="C69" t="inlineStr">
        <is>
          <t>Não</t>
        </is>
      </c>
      <c r="D69" t="inlineStr">
        <is>
          <t>RR</t>
        </is>
      </c>
      <c r="E69" t="inlineStr">
        <is>
          <t>NORTE</t>
        </is>
      </c>
      <c r="F69" t="inlineStr">
        <is>
          <t>Cliente C - Misturador</t>
        </is>
      </c>
      <c r="G69" t="inlineStr">
        <is>
          <t>Misturadores</t>
        </is>
      </c>
      <c r="H69" s="10" t="n">
        <v>60</v>
      </c>
      <c r="I69" s="10">
        <f>IFERROR(T69*H69,0)</f>
        <v/>
      </c>
      <c r="J69" s="11" t="n">
        <v>45914</v>
      </c>
      <c r="K69" s="11" t="n"/>
      <c r="L69" t="inlineStr">
        <is>
          <t>Não Devolve-Norte</t>
        </is>
      </c>
      <c r="M69">
        <f>IF(L69="","",IFERROR(VLOOKUP(L69,mapGrupoStatus,2,0),"Outros"))</f>
        <v/>
      </c>
      <c r="N69">
        <f>IF(O69="","",IF(O69&lt;=30,"0-30 dias",IF(O69&lt;=60,"31-60 dias",IF(O69&lt;=90,"61-90 dias","Mais de 90 dias"))))</f>
        <v/>
      </c>
      <c r="O69">
        <f>IF(OR(M69="Pendente",M69="Em andamento"),IF(J69="","",TODAY()-J69),"")</f>
        <v/>
      </c>
      <c r="P69" t="n">
        <v>12422</v>
      </c>
      <c r="Q69" t="inlineStr">
        <is>
          <t>Assistência Técnica Refrigeração (12422)</t>
        </is>
      </c>
      <c r="R69" t="inlineStr">
        <is>
          <t>PC-0048</t>
        </is>
      </c>
      <c r="S69" t="inlineStr">
        <is>
          <t>Sensor de nível modelo 04</t>
        </is>
      </c>
      <c r="T69" t="n">
        <v>1</v>
      </c>
      <c r="U69" t="inlineStr"/>
      <c r="V69">
        <f>IF(J69="","",MONTH(J69))</f>
        <v/>
      </c>
      <c r="W69">
        <f>IF(J69="","",YEAR(J69))</f>
        <v/>
      </c>
      <c r="X69" t="inlineStr"/>
      <c r="Y69">
        <f>IFERROR(INDEX(Rastreio!$H$2:$H$200,MATCH(X69&amp;"|"&amp;U69,Rastreio!$A$2:$A$200,0)),"")</f>
        <v/>
      </c>
    </row>
    <row r="70">
      <c r="A70">
        <f>IFERROR(INDEX(STAs!$G$2:$G$61,MATCH(P70,STAs!$F$2:$F$61,0))&amp;"","")</f>
        <v/>
      </c>
      <c r="B70" t="n">
        <v>20022852</v>
      </c>
      <c r="C70" t="inlineStr">
        <is>
          <t>Não</t>
        </is>
      </c>
      <c r="D70" t="inlineStr">
        <is>
          <t>PR</t>
        </is>
      </c>
      <c r="E70" t="inlineStr">
        <is>
          <t>SUL</t>
        </is>
      </c>
      <c r="F70" t="inlineStr">
        <is>
          <t>Cliente C - Misturador</t>
        </is>
      </c>
      <c r="G70" t="inlineStr">
        <is>
          <t>Chopeiras</t>
        </is>
      </c>
      <c r="H70" s="10" t="n">
        <v>85</v>
      </c>
      <c r="I70" s="10">
        <f>IFERROR(T70*H70,0)</f>
        <v/>
      </c>
      <c r="J70" s="11" t="n">
        <v>45914</v>
      </c>
      <c r="K70" s="11" t="n"/>
      <c r="L70" t="inlineStr">
        <is>
          <t>Em transporte</t>
        </is>
      </c>
      <c r="M70">
        <f>IF(L70="","",IFERROR(VLOOKUP(L70,mapGrupoStatus,2,0),"Outros"))</f>
        <v/>
      </c>
      <c r="N70">
        <f>IF(O70="","",IF(O70&lt;=30,"0-30 dias",IF(O70&lt;=60,"31-60 dias",IF(O70&lt;=90,"61-90 dias","Mais de 90 dias"))))</f>
        <v/>
      </c>
      <c r="O70">
        <f>IF(OR(M70="Pendente",M70="Em andamento"),IF(J70="","",TODAY()-J70),"")</f>
        <v/>
      </c>
      <c r="P70" t="n">
        <v>12089</v>
      </c>
      <c r="Q70" t="inlineStr">
        <is>
          <t>Termotec Serviços (12089)</t>
        </is>
      </c>
      <c r="R70" t="inlineStr">
        <is>
          <t>PC-0026</t>
        </is>
      </c>
      <c r="S70" t="inlineStr">
        <is>
          <t>Torneira de chopp modelo 01</t>
        </is>
      </c>
      <c r="T70" t="n">
        <v>1</v>
      </c>
      <c r="U70" t="n">
        <v>142</v>
      </c>
      <c r="V70">
        <f>IF(J70="","",MONTH(J70))</f>
        <v/>
      </c>
      <c r="W70">
        <f>IF(J70="","",YEAR(J70))</f>
        <v/>
      </c>
      <c r="X70" t="inlineStr">
        <is>
          <t>CargoMax</t>
        </is>
      </c>
      <c r="Y70">
        <f>IFERROR(INDEX(Rastreio!$H$2:$H$200,MATCH(X70&amp;"|"&amp;U70,Rastreio!$A$2:$A$200,0)),"")</f>
        <v/>
      </c>
    </row>
    <row r="71">
      <c r="A71">
        <f>IFERROR(INDEX(STAs!$G$2:$G$61,MATCH(P71,STAs!$F$2:$F$61,0))&amp;"","")</f>
        <v/>
      </c>
      <c r="B71" t="n">
        <v>20026021</v>
      </c>
      <c r="C71" t="inlineStr">
        <is>
          <t>Não</t>
        </is>
      </c>
      <c r="D71" t="inlineStr">
        <is>
          <t>SP</t>
        </is>
      </c>
      <c r="E71" t="inlineStr">
        <is>
          <t>SUDESTE SP</t>
        </is>
      </c>
      <c r="F71" t="inlineStr">
        <is>
          <t>Cliente C - Misturador</t>
        </is>
      </c>
      <c r="G71" t="inlineStr">
        <is>
          <t>Refrigeradores</t>
        </is>
      </c>
      <c r="H71" s="10" t="n">
        <v>330</v>
      </c>
      <c r="I71" s="10">
        <f>IFERROR(T71*H71,0)</f>
        <v/>
      </c>
      <c r="J71" s="11" t="n">
        <v>45914</v>
      </c>
      <c r="K71" s="11" t="n">
        <v>45942</v>
      </c>
      <c r="L71" t="inlineStr">
        <is>
          <t>Ok. Devolvida</t>
        </is>
      </c>
      <c r="M71">
        <f>IF(L71="","",IFERROR(VLOOKUP(L71,mapGrupoStatus,2,0),"Outros"))</f>
        <v/>
      </c>
      <c r="N71">
        <f>IF(O71="","",IF(O71&lt;=30,"0-30 dias",IF(O71&lt;=60,"31-60 dias",IF(O71&lt;=90,"61-90 dias","Mais de 90 dias"))))</f>
        <v/>
      </c>
      <c r="O71">
        <f>IF(OR(M71="Pendente",M71="Em andamento"),IF(J71="","",TODAY()-J71),"")</f>
        <v/>
      </c>
      <c r="P71" t="n">
        <v>11365</v>
      </c>
      <c r="Q71" t="inlineStr">
        <is>
          <t>Ártico Express (11365)</t>
        </is>
      </c>
      <c r="R71" t="inlineStr">
        <is>
          <t>PC-0003</t>
        </is>
      </c>
      <c r="S71" t="inlineStr">
        <is>
          <t>Compressor modelo 03</t>
        </is>
      </c>
      <c r="T71" t="n">
        <v>1</v>
      </c>
      <c r="U71" t="n">
        <v>143</v>
      </c>
      <c r="V71">
        <f>IF(J71="","",MONTH(J71))</f>
        <v/>
      </c>
      <c r="W71">
        <f>IF(J71="","",YEAR(J71))</f>
        <v/>
      </c>
      <c r="X71" t="inlineStr">
        <is>
          <t>CargoMax</t>
        </is>
      </c>
      <c r="Y71">
        <f>IFERROR(INDEX(Rastreio!$H$2:$H$200,MATCH(X71&amp;"|"&amp;U71,Rastreio!$A$2:$A$200,0)),"")</f>
        <v/>
      </c>
    </row>
    <row r="72">
      <c r="A72">
        <f>IFERROR(INDEX(STAs!$G$2:$G$61,MATCH(P72,STAs!$F$2:$F$61,0))&amp;"","")</f>
        <v/>
      </c>
      <c r="B72" t="n">
        <v>20028945</v>
      </c>
      <c r="C72" t="inlineStr">
        <is>
          <t>Não</t>
        </is>
      </c>
      <c r="D72" t="inlineStr">
        <is>
          <t>PI</t>
        </is>
      </c>
      <c r="E72" t="inlineStr">
        <is>
          <t>NORDESTE</t>
        </is>
      </c>
      <c r="F72" t="inlineStr">
        <is>
          <t>Cliente C - Misturador</t>
        </is>
      </c>
      <c r="G72" t="inlineStr">
        <is>
          <t>Refrigeradores</t>
        </is>
      </c>
      <c r="H72" s="10" t="n">
        <v>65</v>
      </c>
      <c r="I72" s="10">
        <f>IFERROR(T72*H72,0)</f>
        <v/>
      </c>
      <c r="J72" s="11" t="n">
        <v>45914</v>
      </c>
      <c r="K72" s="11" t="n">
        <v>45932</v>
      </c>
      <c r="L72" t="inlineStr">
        <is>
          <t>Ok. Devolvida</t>
        </is>
      </c>
      <c r="M72">
        <f>IF(L72="","",IFERROR(VLOOKUP(L72,mapGrupoStatus,2,0),"Outros"))</f>
        <v/>
      </c>
      <c r="N72">
        <f>IF(O72="","",IF(O72&lt;=30,"0-30 dias",IF(O72&lt;=60,"31-60 dias",IF(O72&lt;=90,"61-90 dias","Mais de 90 dias"))))</f>
        <v/>
      </c>
      <c r="O72">
        <f>IF(OR(M72="Pendente",M72="Em andamento"),IF(J72="","",TODAY()-J72),"")</f>
        <v/>
      </c>
      <c r="P72" t="n">
        <v>12936</v>
      </c>
      <c r="Q72" t="inlineStr">
        <is>
          <t>Frigo Técnica (12936)</t>
        </is>
      </c>
      <c r="R72" t="inlineStr">
        <is>
          <t>PC-0010</t>
        </is>
      </c>
      <c r="S72" t="inlineStr">
        <is>
          <t>Ventilador modelo 04</t>
        </is>
      </c>
      <c r="T72" t="n">
        <v>1</v>
      </c>
      <c r="U72" t="n">
        <v>145</v>
      </c>
      <c r="V72">
        <f>IF(J72="","",MONTH(J72))</f>
        <v/>
      </c>
      <c r="W72">
        <f>IF(J72="","",YEAR(J72))</f>
        <v/>
      </c>
      <c r="X72" t="inlineStr">
        <is>
          <t>ViaCargo</t>
        </is>
      </c>
      <c r="Y72">
        <f>IFERROR(INDEX(Rastreio!$H$2:$H$200,MATCH(X72&amp;"|"&amp;U72,Rastreio!$A$2:$A$200,0)),"")</f>
        <v/>
      </c>
    </row>
    <row r="73">
      <c r="A73">
        <f>IFERROR(INDEX(STAs!$G$2:$G$61,MATCH(P73,STAs!$F$2:$F$61,0))&amp;"","")</f>
        <v/>
      </c>
      <c r="B73" t="n">
        <v>20016818</v>
      </c>
      <c r="C73" t="inlineStr">
        <is>
          <t>Não</t>
        </is>
      </c>
      <c r="D73" t="inlineStr">
        <is>
          <t>ES</t>
        </is>
      </c>
      <c r="E73" t="inlineStr">
        <is>
          <t>SUDESTE RJ e ES</t>
        </is>
      </c>
      <c r="F73" t="inlineStr">
        <is>
          <t>Cliente C - Misturador</t>
        </is>
      </c>
      <c r="G73" t="inlineStr">
        <is>
          <t>Refrigeradores</t>
        </is>
      </c>
      <c r="H73" s="10" t="n">
        <v>175</v>
      </c>
      <c r="I73" s="10">
        <f>IFERROR(T73*H73,0)</f>
        <v/>
      </c>
      <c r="J73" s="11" t="n">
        <v>45915</v>
      </c>
      <c r="K73" s="11" t="n"/>
      <c r="L73" t="inlineStr">
        <is>
          <t>Aguardando Transporte</t>
        </is>
      </c>
      <c r="M73">
        <f>IF(L73="","",IFERROR(VLOOKUP(L73,mapGrupoStatus,2,0),"Outros"))</f>
        <v/>
      </c>
      <c r="N73">
        <f>IF(O73="","",IF(O73&lt;=30,"0-30 dias",IF(O73&lt;=60,"31-60 dias",IF(O73&lt;=90,"61-90 dias","Mais de 90 dias"))))</f>
        <v/>
      </c>
      <c r="O73">
        <f>IF(OR(M73="Pendente",M73="Em andamento"),IF(J73="","",TODAY()-J73),"")</f>
        <v/>
      </c>
      <c r="P73" t="n">
        <v>11099</v>
      </c>
      <c r="Q73" t="inlineStr">
        <is>
          <t>Refrigel Serviços (11099)</t>
        </is>
      </c>
      <c r="R73" t="inlineStr">
        <is>
          <t>PC-0012</t>
        </is>
      </c>
      <c r="S73" t="inlineStr">
        <is>
          <t>Placa eletrônica modelo 02</t>
        </is>
      </c>
      <c r="T73" t="n">
        <v>1</v>
      </c>
      <c r="U73" t="n">
        <v>131</v>
      </c>
      <c r="V73">
        <f>IF(J73="","",MONTH(J73))</f>
        <v/>
      </c>
      <c r="W73">
        <f>IF(J73="","",YEAR(J73))</f>
        <v/>
      </c>
      <c r="X73" t="inlineStr">
        <is>
          <t>LogExpress</t>
        </is>
      </c>
      <c r="Y73">
        <f>IFERROR(INDEX(Rastreio!$H$2:$H$200,MATCH(X73&amp;"|"&amp;U73,Rastreio!$A$2:$A$200,0)),"")</f>
        <v/>
      </c>
    </row>
    <row r="74">
      <c r="A74">
        <f>IFERROR(INDEX(STAs!$G$2:$G$61,MATCH(P74,STAs!$F$2:$F$61,0))&amp;"","")</f>
        <v/>
      </c>
      <c r="B74" t="n">
        <v>20020704</v>
      </c>
      <c r="C74" t="inlineStr">
        <is>
          <t>Não</t>
        </is>
      </c>
      <c r="D74" t="inlineStr">
        <is>
          <t>AC</t>
        </is>
      </c>
      <c r="E74" t="inlineStr">
        <is>
          <t>NORTE</t>
        </is>
      </c>
      <c r="F74" t="inlineStr">
        <is>
          <t>Cliente B - Chopeira</t>
        </is>
      </c>
      <c r="G74" t="inlineStr">
        <is>
          <t>Refrigeradores</t>
        </is>
      </c>
      <c r="H74" s="10" t="n">
        <v>40</v>
      </c>
      <c r="I74" s="10">
        <f>IFERROR(T74*H74,0)</f>
        <v/>
      </c>
      <c r="J74" s="11" t="n">
        <v>45915</v>
      </c>
      <c r="K74" s="11" t="n">
        <v>45957</v>
      </c>
      <c r="L74" t="inlineStr">
        <is>
          <t>Ok. Devolvida</t>
        </is>
      </c>
      <c r="M74">
        <f>IF(L74="","",IFERROR(VLOOKUP(L74,mapGrupoStatus,2,0),"Outros"))</f>
        <v/>
      </c>
      <c r="N74">
        <f>IF(O74="","",IF(O74&lt;=30,"0-30 dias",IF(O74&lt;=60,"31-60 dias",IF(O74&lt;=90,"61-90 dias","Mais de 90 dias"))))</f>
        <v/>
      </c>
      <c r="O74">
        <f>IF(OR(M74="Pendente",M74="Em andamento"),IF(J74="","",TODAY()-J74),"")</f>
        <v/>
      </c>
      <c r="P74" t="n">
        <v>11022</v>
      </c>
      <c r="Q74" t="inlineStr">
        <is>
          <t>Brisa Ltda (11022)</t>
        </is>
      </c>
      <c r="R74" t="inlineStr">
        <is>
          <t>PC-0005</t>
        </is>
      </c>
      <c r="S74" t="inlineStr">
        <is>
          <t>Termostato modelo 02</t>
        </is>
      </c>
      <c r="T74" t="n">
        <v>1</v>
      </c>
      <c r="U74" t="n">
        <v>132</v>
      </c>
      <c r="V74">
        <f>IF(J74="","",MONTH(J74))</f>
        <v/>
      </c>
      <c r="W74">
        <f>IF(J74="","",YEAR(J74))</f>
        <v/>
      </c>
      <c r="X74" t="inlineStr">
        <is>
          <t>EntregaJá</t>
        </is>
      </c>
      <c r="Y74">
        <f>IFERROR(INDEX(Rastreio!$H$2:$H$200,MATCH(X74&amp;"|"&amp;U74,Rastreio!$A$2:$A$200,0)),"")</f>
        <v/>
      </c>
    </row>
    <row r="75">
      <c r="A75">
        <f>IFERROR(INDEX(STAs!$G$2:$G$61,MATCH(P75,STAs!$F$2:$F$61,0))&amp;"","")</f>
        <v/>
      </c>
      <c r="B75" t="n">
        <v>20026138</v>
      </c>
      <c r="C75" t="inlineStr">
        <is>
          <t>Não</t>
        </is>
      </c>
      <c r="D75" t="inlineStr">
        <is>
          <t>PA</t>
        </is>
      </c>
      <c r="E75" t="inlineStr">
        <is>
          <t>NORTE</t>
        </is>
      </c>
      <c r="F75" t="inlineStr">
        <is>
          <t>Cliente A - Refrigerador</t>
        </is>
      </c>
      <c r="G75" t="inlineStr">
        <is>
          <t>Misturadores</t>
        </is>
      </c>
      <c r="H75" s="10" t="n">
        <v>265</v>
      </c>
      <c r="I75" s="10">
        <f>IFERROR(T75*H75,0)</f>
        <v/>
      </c>
      <c r="J75" s="11" t="n">
        <v>45915</v>
      </c>
      <c r="K75" s="11" t="n"/>
      <c r="L75" t="inlineStr">
        <is>
          <t>Em transporte</t>
        </is>
      </c>
      <c r="M75">
        <f>IF(L75="","",IFERROR(VLOOKUP(L75,mapGrupoStatus,2,0),"Outros"))</f>
        <v/>
      </c>
      <c r="N75">
        <f>IF(O75="","",IF(O75&lt;=30,"0-30 dias",IF(O75&lt;=60,"31-60 dias",IF(O75&lt;=90,"61-90 dias","Mais de 90 dias"))))</f>
        <v/>
      </c>
      <c r="O75">
        <f>IF(OR(M75="Pendente",M75="Em andamento"),IF(J75="","",TODAY()-J75),"")</f>
        <v/>
      </c>
      <c r="P75" t="n">
        <v>11986</v>
      </c>
      <c r="Q75" t="inlineStr">
        <is>
          <t>Polar Serviços (11986)</t>
        </is>
      </c>
      <c r="R75" t="inlineStr">
        <is>
          <t>PC-0038</t>
        </is>
      </c>
      <c r="S75" t="inlineStr">
        <is>
          <t>Bomba de recirculação modelo 02</t>
        </is>
      </c>
      <c r="T75" t="n">
        <v>1</v>
      </c>
      <c r="U75" t="n">
        <v>147</v>
      </c>
      <c r="V75">
        <f>IF(J75="","",MONTH(J75))</f>
        <v/>
      </c>
      <c r="W75">
        <f>IF(J75="","",YEAR(J75))</f>
        <v/>
      </c>
      <c r="X75" t="inlineStr">
        <is>
          <t>LogExpress</t>
        </is>
      </c>
      <c r="Y75">
        <f>IFERROR(INDEX(Rastreio!$H$2:$H$200,MATCH(X75&amp;"|"&amp;U75,Rastreio!$A$2:$A$200,0)),"")</f>
        <v/>
      </c>
    </row>
    <row r="76">
      <c r="A76">
        <f>IFERROR(INDEX(STAs!$G$2:$G$61,MATCH(P76,STAs!$F$2:$F$61,0))&amp;"","")</f>
        <v/>
      </c>
      <c r="B76" t="n">
        <v>20032147</v>
      </c>
      <c r="C76" t="inlineStr">
        <is>
          <t>Não</t>
        </is>
      </c>
      <c r="D76" t="inlineStr">
        <is>
          <t>AM</t>
        </is>
      </c>
      <c r="E76" t="inlineStr">
        <is>
          <t>NORTE</t>
        </is>
      </c>
      <c r="F76" t="inlineStr">
        <is>
          <t>Cliente A - Refrigerador</t>
        </is>
      </c>
      <c r="G76" t="inlineStr">
        <is>
          <t>Misturadores</t>
        </is>
      </c>
      <c r="H76" s="10" t="n">
        <v>185</v>
      </c>
      <c r="I76" s="10">
        <f>IFERROR(T76*H76,0)</f>
        <v/>
      </c>
      <c r="J76" s="11" t="n">
        <v>45915</v>
      </c>
      <c r="K76" s="11" t="n"/>
      <c r="L76" t="inlineStr">
        <is>
          <t>Aguardando devolução</t>
        </is>
      </c>
      <c r="M76">
        <f>IF(L76="","",IFERROR(VLOOKUP(L76,mapGrupoStatus,2,0),"Outros"))</f>
        <v/>
      </c>
      <c r="N76">
        <f>IF(O76="","",IF(O76&lt;=30,"0-30 dias",IF(O76&lt;=60,"31-60 dias",IF(O76&lt;=90,"61-90 dias","Mais de 90 dias"))))</f>
        <v/>
      </c>
      <c r="O76">
        <f>IF(OR(M76="Pendente",M76="Em andamento"),IF(J76="","",TODAY()-J76),"")</f>
        <v/>
      </c>
      <c r="P76" t="n">
        <v>10842</v>
      </c>
      <c r="Q76" t="inlineStr">
        <is>
          <t>Frigo &amp; Cia (10842)</t>
        </is>
      </c>
      <c r="R76" t="inlineStr">
        <is>
          <t>PC-0041</t>
        </is>
      </c>
      <c r="S76" t="inlineStr">
        <is>
          <t>Motor agitador modelo 02</t>
        </is>
      </c>
      <c r="T76" t="n">
        <v>1</v>
      </c>
      <c r="U76" t="inlineStr"/>
      <c r="V76">
        <f>IF(J76="","",MONTH(J76))</f>
        <v/>
      </c>
      <c r="W76">
        <f>IF(J76="","",YEAR(J76))</f>
        <v/>
      </c>
      <c r="X76" t="inlineStr"/>
      <c r="Y76">
        <f>IFERROR(INDEX(Rastreio!$H$2:$H$200,MATCH(X76&amp;"|"&amp;U76,Rastreio!$A$2:$A$200,0)),"")</f>
        <v/>
      </c>
    </row>
    <row r="77">
      <c r="A77">
        <f>IFERROR(INDEX(STAs!$G$2:$G$61,MATCH(P77,STAs!$F$2:$F$61,0))&amp;"","")</f>
        <v/>
      </c>
      <c r="B77" t="n">
        <v>20007333</v>
      </c>
      <c r="C77" t="inlineStr">
        <is>
          <t>Não</t>
        </is>
      </c>
      <c r="D77" t="inlineStr">
        <is>
          <t>RJ</t>
        </is>
      </c>
      <c r="E77" t="inlineStr">
        <is>
          <t>SUDESTE RJ e ES</t>
        </is>
      </c>
      <c r="F77" t="inlineStr">
        <is>
          <t>Cliente B - Chopeira</t>
        </is>
      </c>
      <c r="G77" t="inlineStr">
        <is>
          <t>Misturadores</t>
        </is>
      </c>
      <c r="H77" s="10" t="n">
        <v>255</v>
      </c>
      <c r="I77" s="10">
        <f>IFERROR(T77*H77,0)</f>
        <v/>
      </c>
      <c r="J77" s="11" t="n">
        <v>45916</v>
      </c>
      <c r="K77" s="11" t="n"/>
      <c r="L77" t="inlineStr">
        <is>
          <t>NF Vencida</t>
        </is>
      </c>
      <c r="M77">
        <f>IF(L77="","",IFERROR(VLOOKUP(L77,mapGrupoStatus,2,0),"Outros"))</f>
        <v/>
      </c>
      <c r="N77">
        <f>IF(O77="","",IF(O77&lt;=30,"0-30 dias",IF(O77&lt;=60,"31-60 dias",IF(O77&lt;=90,"61-90 dias","Mais de 90 dias"))))</f>
        <v/>
      </c>
      <c r="O77">
        <f>IF(OR(M77="Pendente",M77="Em andamento"),IF(J77="","",TODAY()-J77),"")</f>
        <v/>
      </c>
      <c r="P77" t="n">
        <v>11059</v>
      </c>
      <c r="Q77" t="inlineStr">
        <is>
          <t>Frio Ltda (11059)</t>
        </is>
      </c>
      <c r="R77" t="inlineStr">
        <is>
          <t>PC-0039</t>
        </is>
      </c>
      <c r="S77" t="inlineStr">
        <is>
          <t>Bomba de recirculação modelo 03</t>
        </is>
      </c>
      <c r="T77" t="n">
        <v>1</v>
      </c>
      <c r="U77" t="inlineStr"/>
      <c r="V77">
        <f>IF(J77="","",MONTH(J77))</f>
        <v/>
      </c>
      <c r="W77">
        <f>IF(J77="","",YEAR(J77))</f>
        <v/>
      </c>
      <c r="X77" t="inlineStr"/>
      <c r="Y77">
        <f>IFERROR(INDEX(Rastreio!$H$2:$H$200,MATCH(X77&amp;"|"&amp;U77,Rastreio!$A$2:$A$200,0)),"")</f>
        <v/>
      </c>
    </row>
    <row r="78">
      <c r="A78">
        <f>IFERROR(INDEX(STAs!$G$2:$G$61,MATCH(P78,STAs!$F$2:$F$61,0))&amp;"","")</f>
        <v/>
      </c>
      <c r="B78" t="n">
        <v>20019540</v>
      </c>
      <c r="C78" t="inlineStr">
        <is>
          <t>Sim</t>
        </is>
      </c>
      <c r="D78" t="inlineStr">
        <is>
          <t>GO</t>
        </is>
      </c>
      <c r="E78" t="inlineStr">
        <is>
          <t>CENTRO OESTE</t>
        </is>
      </c>
      <c r="F78" t="inlineStr">
        <is>
          <t>Cliente C - Misturador</t>
        </is>
      </c>
      <c r="G78" t="inlineStr">
        <is>
          <t>Misturadores</t>
        </is>
      </c>
      <c r="H78" s="10" t="n">
        <v>50</v>
      </c>
      <c r="I78" s="10">
        <f>IFERROR(T78*H78,0)</f>
        <v/>
      </c>
      <c r="J78" s="11" t="n">
        <v>45916</v>
      </c>
      <c r="K78" s="11" t="n">
        <v>45970</v>
      </c>
      <c r="L78" t="inlineStr">
        <is>
          <t>Ok. Devolvida</t>
        </is>
      </c>
      <c r="M78">
        <f>IF(L78="","",IFERROR(VLOOKUP(L78,mapGrupoStatus,2,0),"Outros"))</f>
        <v/>
      </c>
      <c r="N78">
        <f>IF(O78="","",IF(O78&lt;=30,"0-30 dias",IF(O78&lt;=60,"31-60 dias",IF(O78&lt;=90,"61-90 dias","Mais de 90 dias"))))</f>
        <v/>
      </c>
      <c r="O78">
        <f>IF(OR(M78="Pendente",M78="Em andamento"),IF(J78="","",TODAY()-J78),"")</f>
        <v/>
      </c>
      <c r="P78" t="n">
        <v>11677</v>
      </c>
      <c r="Q78" t="inlineStr">
        <is>
          <t>Cool Service Manutenção (11677)</t>
        </is>
      </c>
      <c r="R78" t="inlineStr">
        <is>
          <t>PC-0044</t>
        </is>
      </c>
      <c r="S78" t="inlineStr">
        <is>
          <t>Bico dosador modelo 03</t>
        </is>
      </c>
      <c r="T78" t="n">
        <v>2</v>
      </c>
      <c r="U78" t="n">
        <v>133</v>
      </c>
      <c r="V78">
        <f>IF(J78="","",MONTH(J78))</f>
        <v/>
      </c>
      <c r="W78">
        <f>IF(J78="","",YEAR(J78))</f>
        <v/>
      </c>
      <c r="X78" t="inlineStr">
        <is>
          <t>LogExpress</t>
        </is>
      </c>
      <c r="Y78">
        <f>IFERROR(INDEX(Rastreio!$H$2:$H$200,MATCH(X78&amp;"|"&amp;U78,Rastreio!$A$2:$A$200,0)),"")</f>
        <v/>
      </c>
    </row>
    <row r="79">
      <c r="A79">
        <f>IFERROR(INDEX(STAs!$G$2:$G$61,MATCH(P79,STAs!$F$2:$F$61,0))&amp;"","")</f>
        <v/>
      </c>
      <c r="B79" t="n">
        <v>20026437</v>
      </c>
      <c r="C79" t="inlineStr">
        <is>
          <t>Sim</t>
        </is>
      </c>
      <c r="D79" t="inlineStr">
        <is>
          <t>GO</t>
        </is>
      </c>
      <c r="E79" t="inlineStr">
        <is>
          <t>CENTRO OESTE</t>
        </is>
      </c>
      <c r="F79" t="inlineStr">
        <is>
          <t>Cliente A - Refrigerador</t>
        </is>
      </c>
      <c r="G79" t="inlineStr">
        <is>
          <t>Refrigeradores</t>
        </is>
      </c>
      <c r="H79" s="10" t="n">
        <v>35</v>
      </c>
      <c r="I79" s="10">
        <f>IFERROR(T79*H79,0)</f>
        <v/>
      </c>
      <c r="J79" s="11" t="n">
        <v>45916</v>
      </c>
      <c r="K79" s="11" t="n">
        <v>45972</v>
      </c>
      <c r="L79" t="inlineStr">
        <is>
          <t>Ok. Devolvida</t>
        </is>
      </c>
      <c r="M79">
        <f>IF(L79="","",IFERROR(VLOOKUP(L79,mapGrupoStatus,2,0),"Outros"))</f>
        <v/>
      </c>
      <c r="N79">
        <f>IF(O79="","",IF(O79&lt;=30,"0-30 dias",IF(O79&lt;=60,"31-60 dias",IF(O79&lt;=90,"61-90 dias","Mais de 90 dias"))))</f>
        <v/>
      </c>
      <c r="O79">
        <f>IF(OR(M79="Pendente",M79="Em andamento"),IF(J79="","",TODAY()-J79),"")</f>
        <v/>
      </c>
      <c r="P79" t="n">
        <v>11677</v>
      </c>
      <c r="Q79" t="inlineStr">
        <is>
          <t>Cool Service Manutenção (11677)</t>
        </is>
      </c>
      <c r="R79" t="inlineStr">
        <is>
          <t>PC-0023</t>
        </is>
      </c>
      <c r="S79" t="inlineStr">
        <is>
          <t>Relé de partida modelo 01</t>
        </is>
      </c>
      <c r="T79" t="n">
        <v>1</v>
      </c>
      <c r="U79" t="n">
        <v>143</v>
      </c>
      <c r="V79">
        <f>IF(J79="","",MONTH(J79))</f>
        <v/>
      </c>
      <c r="W79">
        <f>IF(J79="","",YEAR(J79))</f>
        <v/>
      </c>
      <c r="X79" t="inlineStr">
        <is>
          <t>ViaCargo</t>
        </is>
      </c>
      <c r="Y79">
        <f>IFERROR(INDEX(Rastreio!$H$2:$H$200,MATCH(X79&amp;"|"&amp;U79,Rastreio!$A$2:$A$200,0)),"")</f>
        <v/>
      </c>
    </row>
    <row r="80">
      <c r="A80">
        <f>IFERROR(INDEX(STAs!$G$2:$G$61,MATCH(P80,STAs!$F$2:$F$61,0))&amp;"","")</f>
        <v/>
      </c>
      <c r="B80" t="n">
        <v>20037398</v>
      </c>
      <c r="C80" t="inlineStr">
        <is>
          <t>Não</t>
        </is>
      </c>
      <c r="D80" t="inlineStr">
        <is>
          <t>PE</t>
        </is>
      </c>
      <c r="E80" t="inlineStr">
        <is>
          <t>NORDESTE</t>
        </is>
      </c>
      <c r="F80" t="inlineStr">
        <is>
          <t>Cliente A - Refrigerador</t>
        </is>
      </c>
      <c r="G80" t="inlineStr">
        <is>
          <t>Misturadores</t>
        </is>
      </c>
      <c r="H80" s="10" t="n">
        <v>50</v>
      </c>
      <c r="I80" s="10">
        <f>IFERROR(T80*H80,0)</f>
        <v/>
      </c>
      <c r="J80" s="11" t="n">
        <v>45916</v>
      </c>
      <c r="K80" s="11" t="n">
        <v>45948</v>
      </c>
      <c r="L80" t="inlineStr">
        <is>
          <t>Ok. Devolvida</t>
        </is>
      </c>
      <c r="M80">
        <f>IF(L80="","",IFERROR(VLOOKUP(L80,mapGrupoStatus,2,0),"Outros"))</f>
        <v/>
      </c>
      <c r="N80">
        <f>IF(O80="","",IF(O80&lt;=30,"0-30 dias",IF(O80&lt;=60,"31-60 dias",IF(O80&lt;=90,"61-90 dias","Mais de 90 dias"))))</f>
        <v/>
      </c>
      <c r="O80">
        <f>IF(OR(M80="Pendente",M80="Em andamento"),IF(J80="","",TODAY()-J80),"")</f>
        <v/>
      </c>
      <c r="P80" t="n">
        <v>11352</v>
      </c>
      <c r="Q80" t="inlineStr">
        <is>
          <t>Frio Express (11352)</t>
        </is>
      </c>
      <c r="R80" t="inlineStr">
        <is>
          <t>PC-0044</t>
        </is>
      </c>
      <c r="S80" t="inlineStr">
        <is>
          <t>Bico dosador modelo 03</t>
        </is>
      </c>
      <c r="T80" t="n">
        <v>1</v>
      </c>
      <c r="U80" t="n">
        <v>171</v>
      </c>
      <c r="V80">
        <f>IF(J80="","",MONTH(J80))</f>
        <v/>
      </c>
      <c r="W80">
        <f>IF(J80="","",YEAR(J80))</f>
        <v/>
      </c>
      <c r="X80" t="inlineStr">
        <is>
          <t>RotaSul</t>
        </is>
      </c>
      <c r="Y80">
        <f>IFERROR(INDEX(Rastreio!$H$2:$H$200,MATCH(X80&amp;"|"&amp;U80,Rastreio!$A$2:$A$200,0)),"")</f>
        <v/>
      </c>
    </row>
    <row r="81">
      <c r="A81">
        <f>IFERROR(INDEX(STAs!$G$2:$G$61,MATCH(P81,STAs!$F$2:$F$61,0))&amp;"","")</f>
        <v/>
      </c>
      <c r="B81" t="n">
        <v>20040429</v>
      </c>
      <c r="C81" t="inlineStr">
        <is>
          <t>Não</t>
        </is>
      </c>
      <c r="D81" t="inlineStr">
        <is>
          <t>MG</t>
        </is>
      </c>
      <c r="E81" t="inlineStr">
        <is>
          <t>SUDESTE MG</t>
        </is>
      </c>
      <c r="F81" t="inlineStr">
        <is>
          <t>Cliente C - Misturador</t>
        </is>
      </c>
      <c r="G81" t="inlineStr">
        <is>
          <t>Misturadores</t>
        </is>
      </c>
      <c r="H81" s="10" t="n">
        <v>185</v>
      </c>
      <c r="I81" s="10">
        <f>IFERROR(T81*H81,0)</f>
        <v/>
      </c>
      <c r="J81" s="11" t="n">
        <v>45916</v>
      </c>
      <c r="K81" s="11" t="n">
        <v>45945</v>
      </c>
      <c r="L81" t="inlineStr">
        <is>
          <t>Ok. Devolvida</t>
        </is>
      </c>
      <c r="M81">
        <f>IF(L81="","",IFERROR(VLOOKUP(L81,mapGrupoStatus,2,0),"Outros"))</f>
        <v/>
      </c>
      <c r="N81">
        <f>IF(O81="","",IF(O81&lt;=30,"0-30 dias",IF(O81&lt;=60,"31-60 dias",IF(O81&lt;=90,"61-90 dias","Mais de 90 dias"))))</f>
        <v/>
      </c>
      <c r="O81">
        <f>IF(OR(M81="Pendente",M81="Em andamento"),IF(J81="","",TODAY()-J81),"")</f>
        <v/>
      </c>
      <c r="P81" t="n">
        <v>11494</v>
      </c>
      <c r="Q81" t="inlineStr">
        <is>
          <t>Clima Técnica (11494)</t>
        </is>
      </c>
      <c r="R81" t="inlineStr">
        <is>
          <t>PC-0041</t>
        </is>
      </c>
      <c r="S81" t="inlineStr">
        <is>
          <t>Motor agitador modelo 02</t>
        </is>
      </c>
      <c r="T81" t="n">
        <v>1</v>
      </c>
      <c r="U81" t="n">
        <v>177</v>
      </c>
      <c r="V81">
        <f>IF(J81="","",MONTH(J81))</f>
        <v/>
      </c>
      <c r="W81">
        <f>IF(J81="","",YEAR(J81))</f>
        <v/>
      </c>
      <c r="X81" t="inlineStr">
        <is>
          <t>RotaSul</t>
        </is>
      </c>
      <c r="Y81">
        <f>IFERROR(INDEX(Rastreio!$H$2:$H$200,MATCH(X81&amp;"|"&amp;U81,Rastreio!$A$2:$A$200,0)),"")</f>
        <v/>
      </c>
    </row>
    <row r="82">
      <c r="A82">
        <f>IFERROR(INDEX(STAs!$G$2:$G$61,MATCH(P82,STAs!$F$2:$F$61,0))&amp;"","")</f>
        <v/>
      </c>
      <c r="B82" t="n">
        <v>20004454</v>
      </c>
      <c r="C82" t="inlineStr">
        <is>
          <t>Não</t>
        </is>
      </c>
      <c r="D82" t="inlineStr">
        <is>
          <t>RO</t>
        </is>
      </c>
      <c r="E82" t="inlineStr">
        <is>
          <t>NORTE</t>
        </is>
      </c>
      <c r="F82" t="inlineStr">
        <is>
          <t>Cliente A - Refrigerador</t>
        </is>
      </c>
      <c r="G82" t="inlineStr">
        <is>
          <t>Refrigeradores</t>
        </is>
      </c>
      <c r="H82" s="10" t="n">
        <v>40</v>
      </c>
      <c r="I82" s="10">
        <f>IFERROR(T82*H82,0)</f>
        <v/>
      </c>
      <c r="J82" s="11" t="n">
        <v>45917</v>
      </c>
      <c r="K82" s="11" t="n"/>
      <c r="L82" t="inlineStr">
        <is>
          <t>Não Devolve-Norte</t>
        </is>
      </c>
      <c r="M82">
        <f>IF(L82="","",IFERROR(VLOOKUP(L82,mapGrupoStatus,2,0),"Outros"))</f>
        <v/>
      </c>
      <c r="N82">
        <f>IF(O82="","",IF(O82&lt;=30,"0-30 dias",IF(O82&lt;=60,"31-60 dias",IF(O82&lt;=90,"61-90 dias","Mais de 90 dias"))))</f>
        <v/>
      </c>
      <c r="O82">
        <f>IF(OR(M82="Pendente",M82="Em andamento"),IF(J82="","",TODAY()-J82),"")</f>
        <v/>
      </c>
      <c r="P82" t="n">
        <v>10172</v>
      </c>
      <c r="Q82" t="inlineStr">
        <is>
          <t>Frigo Serviços (10172)</t>
        </is>
      </c>
      <c r="R82" t="inlineStr">
        <is>
          <t>PC-0005</t>
        </is>
      </c>
      <c r="S82" t="inlineStr">
        <is>
          <t>Termostato modelo 02</t>
        </is>
      </c>
      <c r="T82" t="n">
        <v>1</v>
      </c>
      <c r="U82" t="inlineStr"/>
      <c r="V82">
        <f>IF(J82="","",MONTH(J82))</f>
        <v/>
      </c>
      <c r="W82">
        <f>IF(J82="","",YEAR(J82))</f>
        <v/>
      </c>
      <c r="X82" t="inlineStr"/>
      <c r="Y82">
        <f>IFERROR(INDEX(Rastreio!$H$2:$H$200,MATCH(X82&amp;"|"&amp;U82,Rastreio!$A$2:$A$200,0)),"")</f>
        <v/>
      </c>
    </row>
    <row r="83">
      <c r="A83">
        <f>IFERROR(INDEX(STAs!$G$2:$G$61,MATCH(P83,STAs!$F$2:$F$61,0))&amp;"","")</f>
        <v/>
      </c>
      <c r="B83" t="n">
        <v>20004561</v>
      </c>
      <c r="C83" t="inlineStr">
        <is>
          <t>Sim</t>
        </is>
      </c>
      <c r="D83" t="inlineStr">
        <is>
          <t>PR</t>
        </is>
      </c>
      <c r="E83" t="inlineStr">
        <is>
          <t>SUL</t>
        </is>
      </c>
      <c r="F83" t="inlineStr">
        <is>
          <t>Cliente B - Chopeira</t>
        </is>
      </c>
      <c r="G83" t="inlineStr">
        <is>
          <t>Misturadores</t>
        </is>
      </c>
      <c r="H83" s="10" t="n">
        <v>50</v>
      </c>
      <c r="I83" s="10">
        <f>IFERROR(T83*H83,0)</f>
        <v/>
      </c>
      <c r="J83" s="11" t="n">
        <v>45917</v>
      </c>
      <c r="K83" s="11" t="n"/>
      <c r="L83" t="inlineStr">
        <is>
          <t>Aguardando devolução</t>
        </is>
      </c>
      <c r="M83">
        <f>IF(L83="","",IFERROR(VLOOKUP(L83,mapGrupoStatus,2,0),"Outros"))</f>
        <v/>
      </c>
      <c r="N83">
        <f>IF(O83="","",IF(O83&lt;=30,"0-30 dias",IF(O83&lt;=60,"31-60 dias",IF(O83&lt;=90,"61-90 dias","Mais de 90 dias"))))</f>
        <v/>
      </c>
      <c r="O83">
        <f>IF(OR(M83="Pendente",M83="Em andamento"),IF(J83="","",TODAY()-J83),"")</f>
        <v/>
      </c>
      <c r="P83" t="n">
        <v>12724</v>
      </c>
      <c r="Q83" t="inlineStr">
        <is>
          <t>Cool Service &amp; Cia (12724)</t>
        </is>
      </c>
      <c r="R83" t="inlineStr">
        <is>
          <t>PC-0047</t>
        </is>
      </c>
      <c r="S83" t="inlineStr">
        <is>
          <t>Sensor de nível modelo 03</t>
        </is>
      </c>
      <c r="T83" t="n">
        <v>1</v>
      </c>
      <c r="U83" t="inlineStr"/>
      <c r="V83">
        <f>IF(J83="","",MONTH(J83))</f>
        <v/>
      </c>
      <c r="W83">
        <f>IF(J83="","",YEAR(J83))</f>
        <v/>
      </c>
      <c r="X83" t="inlineStr"/>
      <c r="Y83">
        <f>IFERROR(INDEX(Rastreio!$H$2:$H$200,MATCH(X83&amp;"|"&amp;U83,Rastreio!$A$2:$A$200,0)),"")</f>
        <v/>
      </c>
    </row>
    <row r="84">
      <c r="A84">
        <f>IFERROR(INDEX(STAs!$G$2:$G$61,MATCH(P84,STAs!$F$2:$F$61,0))&amp;"","")</f>
        <v/>
      </c>
      <c r="B84" t="n">
        <v>20006055</v>
      </c>
      <c r="C84" t="inlineStr">
        <is>
          <t>Não</t>
        </is>
      </c>
      <c r="D84" t="inlineStr">
        <is>
          <t>RJ</t>
        </is>
      </c>
      <c r="E84" t="inlineStr">
        <is>
          <t>SUDESTE RJ e ES</t>
        </is>
      </c>
      <c r="F84" t="inlineStr">
        <is>
          <t>Cliente B - Chopeira</t>
        </is>
      </c>
      <c r="G84" t="inlineStr">
        <is>
          <t>Refrigeradores</t>
        </is>
      </c>
      <c r="H84" s="10" t="n">
        <v>25</v>
      </c>
      <c r="I84" s="10">
        <f>IFERROR(T84*H84,0)</f>
        <v/>
      </c>
      <c r="J84" s="11" t="n">
        <v>45917</v>
      </c>
      <c r="K84" s="11" t="n">
        <v>45956</v>
      </c>
      <c r="L84" t="inlineStr">
        <is>
          <t>Ok. Devolvida</t>
        </is>
      </c>
      <c r="M84">
        <f>IF(L84="","",IFERROR(VLOOKUP(L84,mapGrupoStatus,2,0),"Outros"))</f>
        <v/>
      </c>
      <c r="N84">
        <f>IF(O84="","",IF(O84&lt;=30,"0-30 dias",IF(O84&lt;=60,"31-60 dias",IF(O84&lt;=90,"61-90 dias","Mais de 90 dias"))))</f>
        <v/>
      </c>
      <c r="O84">
        <f>IF(OR(M84="Pendente",M84="Em andamento"),IF(J84="","",TODAY()-J84),"")</f>
        <v/>
      </c>
      <c r="P84" t="n">
        <v>12336</v>
      </c>
      <c r="Q84" t="inlineStr">
        <is>
          <t>Termotec ME (12336)</t>
        </is>
      </c>
      <c r="R84" t="inlineStr">
        <is>
          <t>PC-0015</t>
        </is>
      </c>
      <c r="S84" t="inlineStr">
        <is>
          <t>Filtro secador modelo 01</t>
        </is>
      </c>
      <c r="T84" t="n">
        <v>1</v>
      </c>
      <c r="U84" t="n">
        <v>115</v>
      </c>
      <c r="V84">
        <f>IF(J84="","",MONTH(J84))</f>
        <v/>
      </c>
      <c r="W84">
        <f>IF(J84="","",YEAR(J84))</f>
        <v/>
      </c>
      <c r="X84" t="inlineStr">
        <is>
          <t>ViaCargo</t>
        </is>
      </c>
      <c r="Y84">
        <f>IFERROR(INDEX(Rastreio!$H$2:$H$200,MATCH(X84&amp;"|"&amp;U84,Rastreio!$A$2:$A$200,0)),"")</f>
        <v/>
      </c>
    </row>
    <row r="85">
      <c r="A85">
        <f>IFERROR(INDEX(STAs!$G$2:$G$61,MATCH(P85,STAs!$F$2:$F$61,0))&amp;"","")</f>
        <v/>
      </c>
      <c r="B85" t="n">
        <v>20006140</v>
      </c>
      <c r="C85" t="inlineStr">
        <is>
          <t>Não</t>
        </is>
      </c>
      <c r="D85" t="inlineStr">
        <is>
          <t>AM</t>
        </is>
      </c>
      <c r="E85" t="inlineStr">
        <is>
          <t>NORTE</t>
        </is>
      </c>
      <c r="F85" t="inlineStr">
        <is>
          <t>Cliente A - Refrigerador</t>
        </is>
      </c>
      <c r="G85" t="inlineStr">
        <is>
          <t>Refrigeradores</t>
        </is>
      </c>
      <c r="H85" s="10" t="n">
        <v>35</v>
      </c>
      <c r="I85" s="10">
        <f>IFERROR(T85*H85,0)</f>
        <v/>
      </c>
      <c r="J85" s="11" t="n">
        <v>45917</v>
      </c>
      <c r="K85" s="11" t="n"/>
      <c r="L85" t="inlineStr">
        <is>
          <t>Não Devolve-Norte</t>
        </is>
      </c>
      <c r="M85">
        <f>IF(L85="","",IFERROR(VLOOKUP(L85,mapGrupoStatus,2,0),"Outros"))</f>
        <v/>
      </c>
      <c r="N85">
        <f>IF(O85="","",IF(O85&lt;=30,"0-30 dias",IF(O85&lt;=60,"31-60 dias",IF(O85&lt;=90,"61-90 dias","Mais de 90 dias"))))</f>
        <v/>
      </c>
      <c r="O85">
        <f>IF(OR(M85="Pendente",M85="Em andamento"),IF(J85="","",TODAY()-J85),"")</f>
        <v/>
      </c>
      <c r="P85" t="n">
        <v>12269</v>
      </c>
      <c r="Q85" t="inlineStr">
        <is>
          <t>Polar Técnica (12269)</t>
        </is>
      </c>
      <c r="R85" t="inlineStr">
        <is>
          <t>PC-0016</t>
        </is>
      </c>
      <c r="S85" t="inlineStr">
        <is>
          <t>Filtro secador modelo 02</t>
        </is>
      </c>
      <c r="T85" t="n">
        <v>1</v>
      </c>
      <c r="U85" t="inlineStr"/>
      <c r="V85">
        <f>IF(J85="","",MONTH(J85))</f>
        <v/>
      </c>
      <c r="W85">
        <f>IF(J85="","",YEAR(J85))</f>
        <v/>
      </c>
      <c r="X85" t="inlineStr"/>
      <c r="Y85">
        <f>IFERROR(INDEX(Rastreio!$H$2:$H$200,MATCH(X85&amp;"|"&amp;U85,Rastreio!$A$2:$A$200,0)),"")</f>
        <v/>
      </c>
    </row>
    <row r="86">
      <c r="A86">
        <f>IFERROR(INDEX(STAs!$G$2:$G$61,MATCH(P86,STAs!$F$2:$F$61,0))&amp;"","")</f>
        <v/>
      </c>
      <c r="B86" t="n">
        <v>20022962</v>
      </c>
      <c r="C86" t="inlineStr">
        <is>
          <t>Não</t>
        </is>
      </c>
      <c r="D86" t="inlineStr">
        <is>
          <t>RJ</t>
        </is>
      </c>
      <c r="E86" t="inlineStr">
        <is>
          <t>SUDESTE RJ e ES</t>
        </is>
      </c>
      <c r="F86" t="inlineStr">
        <is>
          <t>Cliente C - Misturador</t>
        </is>
      </c>
      <c r="G86" t="inlineStr">
        <is>
          <t>Misturadores</t>
        </is>
      </c>
      <c r="H86" s="10" t="n">
        <v>60</v>
      </c>
      <c r="I86" s="10">
        <f>IFERROR(T86*H86,0)</f>
        <v/>
      </c>
      <c r="J86" s="11" t="n">
        <v>45917</v>
      </c>
      <c r="K86" s="11" t="n">
        <v>45972</v>
      </c>
      <c r="L86" t="inlineStr">
        <is>
          <t>Ok. Devolvida</t>
        </is>
      </c>
      <c r="M86">
        <f>IF(L86="","",IFERROR(VLOOKUP(L86,mapGrupoStatus,2,0),"Outros"))</f>
        <v/>
      </c>
      <c r="N86">
        <f>IF(O86="","",IF(O86&lt;=30,"0-30 dias",IF(O86&lt;=60,"31-60 dias",IF(O86&lt;=90,"61-90 dias","Mais de 90 dias"))))</f>
        <v/>
      </c>
      <c r="O86">
        <f>IF(OR(M86="Pendente",M86="Em andamento"),IF(J86="","",TODAY()-J86),"")</f>
        <v/>
      </c>
      <c r="P86" t="n">
        <v>12336</v>
      </c>
      <c r="Q86" t="inlineStr">
        <is>
          <t>Termotec ME (12336)</t>
        </is>
      </c>
      <c r="R86" t="inlineStr">
        <is>
          <t>PC-0046</t>
        </is>
      </c>
      <c r="S86" t="inlineStr">
        <is>
          <t>Sensor de nível modelo 02</t>
        </is>
      </c>
      <c r="T86" t="n">
        <v>3</v>
      </c>
      <c r="U86" t="n">
        <v>140</v>
      </c>
      <c r="V86">
        <f>IF(J86="","",MONTH(J86))</f>
        <v/>
      </c>
      <c r="W86">
        <f>IF(J86="","",YEAR(J86))</f>
        <v/>
      </c>
      <c r="X86" t="inlineStr">
        <is>
          <t>LogExpress</t>
        </is>
      </c>
      <c r="Y86">
        <f>IFERROR(INDEX(Rastreio!$H$2:$H$200,MATCH(X86&amp;"|"&amp;U86,Rastreio!$A$2:$A$200,0)),"")</f>
        <v/>
      </c>
    </row>
    <row r="87">
      <c r="A87">
        <f>IFERROR(INDEX(STAs!$G$2:$G$61,MATCH(P87,STAs!$F$2:$F$61,0))&amp;"","")</f>
        <v/>
      </c>
      <c r="B87" t="n">
        <v>20031951</v>
      </c>
      <c r="C87" t="inlineStr">
        <is>
          <t>Não</t>
        </is>
      </c>
      <c r="D87" t="inlineStr">
        <is>
          <t>MG</t>
        </is>
      </c>
      <c r="E87" t="inlineStr">
        <is>
          <t>SUDESTE MG</t>
        </is>
      </c>
      <c r="F87" t="inlineStr">
        <is>
          <t>Cliente B - Chopeira</t>
        </is>
      </c>
      <c r="G87" t="inlineStr">
        <is>
          <t>Refrigeradores</t>
        </is>
      </c>
      <c r="H87" s="10" t="n">
        <v>40</v>
      </c>
      <c r="I87" s="10">
        <f>IFERROR(T87*H87,0)</f>
        <v/>
      </c>
      <c r="J87" s="11" t="n">
        <v>45917</v>
      </c>
      <c r="K87" s="11" t="n"/>
      <c r="L87" t="inlineStr">
        <is>
          <t>Em andamento</t>
        </is>
      </c>
      <c r="M87">
        <f>IF(L87="","",IFERROR(VLOOKUP(L87,mapGrupoStatus,2,0),"Outros"))</f>
        <v/>
      </c>
      <c r="N87">
        <f>IF(O87="","",IF(O87&lt;=30,"0-30 dias",IF(O87&lt;=60,"31-60 dias",IF(O87&lt;=90,"61-90 dias","Mais de 90 dias"))))</f>
        <v/>
      </c>
      <c r="O87">
        <f>IF(OR(M87="Pendente",M87="Em andamento"),IF(J87="","",TODAY()-J87),"")</f>
        <v/>
      </c>
      <c r="P87" t="n">
        <v>12158</v>
      </c>
      <c r="Q87" t="inlineStr">
        <is>
          <t>Gelo Serviços (12158)</t>
        </is>
      </c>
      <c r="R87" t="inlineStr">
        <is>
          <t>PC-0005</t>
        </is>
      </c>
      <c r="S87" t="inlineStr">
        <is>
          <t>Termostato modelo 02</t>
        </is>
      </c>
      <c r="T87" t="n">
        <v>2</v>
      </c>
      <c r="U87" t="n">
        <v>155</v>
      </c>
      <c r="V87">
        <f>IF(J87="","",MONTH(J87))</f>
        <v/>
      </c>
      <c r="W87">
        <f>IF(J87="","",YEAR(J87))</f>
        <v/>
      </c>
      <c r="X87" t="inlineStr">
        <is>
          <t>RotaSul</t>
        </is>
      </c>
      <c r="Y87">
        <f>IFERROR(INDEX(Rastreio!$H$2:$H$200,MATCH(X87&amp;"|"&amp;U87,Rastreio!$A$2:$A$200,0)),"")</f>
        <v/>
      </c>
    </row>
    <row r="88">
      <c r="A88">
        <f>IFERROR(INDEX(STAs!$G$2:$G$61,MATCH(P88,STAs!$F$2:$F$61,0))&amp;"","")</f>
        <v/>
      </c>
      <c r="B88" t="n">
        <v>20014976</v>
      </c>
      <c r="C88" t="inlineStr">
        <is>
          <t>Não</t>
        </is>
      </c>
      <c r="D88" t="inlineStr">
        <is>
          <t>TO</t>
        </is>
      </c>
      <c r="E88" t="inlineStr">
        <is>
          <t>NORTE</t>
        </is>
      </c>
      <c r="F88" t="inlineStr">
        <is>
          <t>Cliente C - Misturador</t>
        </is>
      </c>
      <c r="G88" t="inlineStr">
        <is>
          <t>Refrigeradores</t>
        </is>
      </c>
      <c r="H88" s="10" t="n">
        <v>30</v>
      </c>
      <c r="I88" s="10">
        <f>IFERROR(T88*H88,0)</f>
        <v/>
      </c>
      <c r="J88" s="11" t="n">
        <v>45918</v>
      </c>
      <c r="K88" s="11" t="n"/>
      <c r="L88" t="inlineStr">
        <is>
          <t>Não Devolve-Norte</t>
        </is>
      </c>
      <c r="M88">
        <f>IF(L88="","",IFERROR(VLOOKUP(L88,mapGrupoStatus,2,0),"Outros"))</f>
        <v/>
      </c>
      <c r="N88">
        <f>IF(O88="","",IF(O88&lt;=30,"0-30 dias",IF(O88&lt;=60,"31-60 dias",IF(O88&lt;=90,"61-90 dias","Mais de 90 dias"))))</f>
        <v/>
      </c>
      <c r="O88">
        <f>IF(OR(M88="Pendente",M88="Em andamento"),IF(J88="","",TODAY()-J88),"")</f>
        <v/>
      </c>
      <c r="P88" t="n">
        <v>10939</v>
      </c>
      <c r="Q88" t="inlineStr">
        <is>
          <t>Zero Grau Manutenção (10939)</t>
        </is>
      </c>
      <c r="R88" t="inlineStr">
        <is>
          <t>PC-0017</t>
        </is>
      </c>
      <c r="S88" t="inlineStr">
        <is>
          <t>Filtro secador modelo 03</t>
        </is>
      </c>
      <c r="T88" t="n">
        <v>1</v>
      </c>
      <c r="U88" t="inlineStr"/>
      <c r="V88">
        <f>IF(J88="","",MONTH(J88))</f>
        <v/>
      </c>
      <c r="W88">
        <f>IF(J88="","",YEAR(J88))</f>
        <v/>
      </c>
      <c r="X88" t="inlineStr"/>
      <c r="Y88">
        <f>IFERROR(INDEX(Rastreio!$H$2:$H$200,MATCH(X88&amp;"|"&amp;U88,Rastreio!$A$2:$A$200,0)),"")</f>
        <v/>
      </c>
    </row>
    <row r="89">
      <c r="A89">
        <f>IFERROR(INDEX(STAs!$G$2:$G$61,MATCH(P89,STAs!$F$2:$F$61,0))&amp;"","")</f>
        <v/>
      </c>
      <c r="B89" t="n">
        <v>20020770</v>
      </c>
      <c r="C89" t="inlineStr">
        <is>
          <t>Não</t>
        </is>
      </c>
      <c r="D89" t="inlineStr">
        <is>
          <t>AC</t>
        </is>
      </c>
      <c r="E89" t="inlineStr">
        <is>
          <t>NORTE</t>
        </is>
      </c>
      <c r="F89" t="inlineStr">
        <is>
          <t>Cliente A - Refrigerador</t>
        </is>
      </c>
      <c r="G89" t="inlineStr">
        <is>
          <t>Refrigeradores</t>
        </is>
      </c>
      <c r="H89" s="10" t="n">
        <v>50</v>
      </c>
      <c r="I89" s="10">
        <f>IFERROR(T89*H89,0)</f>
        <v/>
      </c>
      <c r="J89" s="11" t="n">
        <v>45918</v>
      </c>
      <c r="K89" s="11" t="n">
        <v>45967</v>
      </c>
      <c r="L89" t="inlineStr">
        <is>
          <t>Ok. Devolvida</t>
        </is>
      </c>
      <c r="M89">
        <f>IF(L89="","",IFERROR(VLOOKUP(L89,mapGrupoStatus,2,0),"Outros"))</f>
        <v/>
      </c>
      <c r="N89">
        <f>IF(O89="","",IF(O89&lt;=30,"0-30 dias",IF(O89&lt;=60,"31-60 dias",IF(O89&lt;=90,"61-90 dias","Mais de 90 dias"))))</f>
        <v/>
      </c>
      <c r="O89">
        <f>IF(OR(M89="Pendente",M89="Em andamento"),IF(J89="","",TODAY()-J89),"")</f>
        <v/>
      </c>
      <c r="P89" t="n">
        <v>10372</v>
      </c>
      <c r="Q89" t="inlineStr">
        <is>
          <t>Zero Grau ME (10372)</t>
        </is>
      </c>
      <c r="R89" t="inlineStr">
        <is>
          <t>PC-0006</t>
        </is>
      </c>
      <c r="S89" t="inlineStr">
        <is>
          <t>Termostato modelo 03</t>
        </is>
      </c>
      <c r="T89" t="n">
        <v>2</v>
      </c>
      <c r="U89" t="n">
        <v>135</v>
      </c>
      <c r="V89">
        <f>IF(J89="","",MONTH(J89))</f>
        <v/>
      </c>
      <c r="W89">
        <f>IF(J89="","",YEAR(J89))</f>
        <v/>
      </c>
      <c r="X89" t="inlineStr">
        <is>
          <t>LogExpress</t>
        </is>
      </c>
      <c r="Y89">
        <f>IFERROR(INDEX(Rastreio!$H$2:$H$200,MATCH(X89&amp;"|"&amp;U89,Rastreio!$A$2:$A$200,0)),"")</f>
        <v/>
      </c>
    </row>
    <row r="90">
      <c r="A90">
        <f>IFERROR(INDEX(STAs!$G$2:$G$61,MATCH(P90,STAs!$F$2:$F$61,0))&amp;"","")</f>
        <v/>
      </c>
      <c r="B90" t="n">
        <v>20033395</v>
      </c>
      <c r="C90" t="inlineStr">
        <is>
          <t>Não</t>
        </is>
      </c>
      <c r="D90" t="inlineStr">
        <is>
          <t>ES</t>
        </is>
      </c>
      <c r="E90" t="inlineStr">
        <is>
          <t>SUDESTE RJ e ES</t>
        </is>
      </c>
      <c r="F90" t="inlineStr">
        <is>
          <t>Cliente A - Refrigerador</t>
        </is>
      </c>
      <c r="G90" t="inlineStr">
        <is>
          <t>Refrigeradores</t>
        </is>
      </c>
      <c r="H90" s="10" t="n">
        <v>315</v>
      </c>
      <c r="I90" s="10">
        <f>IFERROR(T90*H90,0)</f>
        <v/>
      </c>
      <c r="J90" s="11" t="n">
        <v>45918</v>
      </c>
      <c r="K90" s="11" t="n"/>
      <c r="L90" t="inlineStr">
        <is>
          <t>Aguardando Transporte</t>
        </is>
      </c>
      <c r="M90">
        <f>IF(L90="","",IFERROR(VLOOKUP(L90,mapGrupoStatus,2,0),"Outros"))</f>
        <v/>
      </c>
      <c r="N90">
        <f>IF(O90="","",IF(O90&lt;=30,"0-30 dias",IF(O90&lt;=60,"31-60 dias",IF(O90&lt;=90,"61-90 dias","Mais de 90 dias"))))</f>
        <v/>
      </c>
      <c r="O90">
        <f>IF(OR(M90="Pendente",M90="Em andamento"),IF(J90="","",TODAY()-J90),"")</f>
        <v/>
      </c>
      <c r="P90" t="n">
        <v>11099</v>
      </c>
      <c r="Q90" t="inlineStr">
        <is>
          <t>Refrigel Serviços (11099)</t>
        </is>
      </c>
      <c r="R90" t="inlineStr">
        <is>
          <t>PC-0002</t>
        </is>
      </c>
      <c r="S90" t="inlineStr">
        <is>
          <t>Compressor modelo 02</t>
        </is>
      </c>
      <c r="T90" t="n">
        <v>1</v>
      </c>
      <c r="U90" t="n">
        <v>160</v>
      </c>
      <c r="V90">
        <f>IF(J90="","",MONTH(J90))</f>
        <v/>
      </c>
      <c r="W90">
        <f>IF(J90="","",YEAR(J90))</f>
        <v/>
      </c>
      <c r="X90" t="inlineStr">
        <is>
          <t>TransNorte</t>
        </is>
      </c>
      <c r="Y90">
        <f>IFERROR(INDEX(Rastreio!$H$2:$H$200,MATCH(X90&amp;"|"&amp;U90,Rastreio!$A$2:$A$200,0)),"")</f>
        <v/>
      </c>
    </row>
    <row r="91">
      <c r="A91">
        <f>IFERROR(INDEX(STAs!$G$2:$G$61,MATCH(P91,STAs!$F$2:$F$61,0))&amp;"","")</f>
        <v/>
      </c>
      <c r="B91" t="n">
        <v>20038019</v>
      </c>
      <c r="C91" t="inlineStr">
        <is>
          <t>Não</t>
        </is>
      </c>
      <c r="D91" t="inlineStr">
        <is>
          <t>GO</t>
        </is>
      </c>
      <c r="E91" t="inlineStr">
        <is>
          <t>CENTRO OESTE</t>
        </is>
      </c>
      <c r="F91" t="inlineStr">
        <is>
          <t>Cliente A - Refrigerador</t>
        </is>
      </c>
      <c r="G91" t="inlineStr">
        <is>
          <t>Chopeiras</t>
        </is>
      </c>
      <c r="H91" s="10" t="n">
        <v>100</v>
      </c>
      <c r="I91" s="10">
        <f>IFERROR(T91*H91,0)</f>
        <v/>
      </c>
      <c r="J91" s="11" t="n">
        <v>45918</v>
      </c>
      <c r="K91" s="11" t="n">
        <v>45958</v>
      </c>
      <c r="L91" t="inlineStr">
        <is>
          <t>Ok. Devolvida</t>
        </is>
      </c>
      <c r="M91">
        <f>IF(L91="","",IFERROR(VLOOKUP(L91,mapGrupoStatus,2,0),"Outros"))</f>
        <v/>
      </c>
      <c r="N91">
        <f>IF(O91="","",IF(O91&lt;=30,"0-30 dias",IF(O91&lt;=60,"31-60 dias",IF(O91&lt;=90,"61-90 dias","Mais de 90 dias"))))</f>
        <v/>
      </c>
      <c r="O91">
        <f>IF(OR(M91="Pendente",M91="Em andamento"),IF(J91="","",TODAY()-J91),"")</f>
        <v/>
      </c>
      <c r="P91" t="n">
        <v>10317</v>
      </c>
      <c r="Q91" t="inlineStr">
        <is>
          <t>Termotec Manutenção (10317)</t>
        </is>
      </c>
      <c r="R91" t="inlineStr">
        <is>
          <t>PC-0027</t>
        </is>
      </c>
      <c r="S91" t="inlineStr">
        <is>
          <t>Torneira de chopp modelo 02</t>
        </is>
      </c>
      <c r="T91" t="n">
        <v>1</v>
      </c>
      <c r="U91" t="n">
        <v>156</v>
      </c>
      <c r="V91">
        <f>IF(J91="","",MONTH(J91))</f>
        <v/>
      </c>
      <c r="W91">
        <f>IF(J91="","",YEAR(J91))</f>
        <v/>
      </c>
      <c r="X91" t="inlineStr">
        <is>
          <t>EntregaJá</t>
        </is>
      </c>
      <c r="Y91">
        <f>IFERROR(INDEX(Rastreio!$H$2:$H$200,MATCH(X91&amp;"|"&amp;U91,Rastreio!$A$2:$A$200,0)),"")</f>
        <v/>
      </c>
    </row>
    <row r="92">
      <c r="A92">
        <f>IFERROR(INDEX(STAs!$G$2:$G$61,MATCH(P92,STAs!$F$2:$F$61,0))&amp;"","")</f>
        <v/>
      </c>
      <c r="B92" t="n">
        <v>20001109</v>
      </c>
      <c r="C92" t="inlineStr">
        <is>
          <t>Não</t>
        </is>
      </c>
      <c r="D92" t="inlineStr">
        <is>
          <t>AM</t>
        </is>
      </c>
      <c r="E92" t="inlineStr">
        <is>
          <t>NORTE</t>
        </is>
      </c>
      <c r="F92" t="inlineStr">
        <is>
          <t>Cliente C - Misturador</t>
        </is>
      </c>
      <c r="G92" t="inlineStr">
        <is>
          <t>Chopeiras</t>
        </is>
      </c>
      <c r="H92" s="10" t="n">
        <v>120</v>
      </c>
      <c r="I92" s="10">
        <f>IFERROR(T92*H92,0)</f>
        <v/>
      </c>
      <c r="J92" s="11" t="n">
        <v>45919</v>
      </c>
      <c r="K92" s="11" t="n"/>
      <c r="L92" t="inlineStr">
        <is>
          <t>Não Devolve-Norte</t>
        </is>
      </c>
      <c r="M92">
        <f>IF(L92="","",IFERROR(VLOOKUP(L92,mapGrupoStatus,2,0),"Outros"))</f>
        <v/>
      </c>
      <c r="N92">
        <f>IF(O92="","",IF(O92&lt;=30,"0-30 dias",IF(O92&lt;=60,"31-60 dias",IF(O92&lt;=90,"61-90 dias","Mais de 90 dias"))))</f>
        <v/>
      </c>
      <c r="O92">
        <f>IF(OR(M92="Pendente",M92="Em andamento"),IF(J92="","",TODAY()-J92),"")</f>
        <v/>
      </c>
      <c r="P92" t="n">
        <v>12269</v>
      </c>
      <c r="Q92" t="inlineStr">
        <is>
          <t>Polar Técnica (12269)</t>
        </is>
      </c>
      <c r="R92" t="inlineStr">
        <is>
          <t>PC-0032</t>
        </is>
      </c>
      <c r="S92" t="inlineStr">
        <is>
          <t>Regulador de pressão modelo 01</t>
        </is>
      </c>
      <c r="T92" t="n">
        <v>2</v>
      </c>
      <c r="U92" t="inlineStr"/>
      <c r="V92">
        <f>IF(J92="","",MONTH(J92))</f>
        <v/>
      </c>
      <c r="W92">
        <f>IF(J92="","",YEAR(J92))</f>
        <v/>
      </c>
      <c r="X92" t="inlineStr"/>
      <c r="Y92">
        <f>IFERROR(INDEX(Rastreio!$H$2:$H$200,MATCH(X92&amp;"|"&amp;U92,Rastreio!$A$2:$A$200,0)),"")</f>
        <v/>
      </c>
    </row>
    <row r="93">
      <c r="A93">
        <f>IFERROR(INDEX(STAs!$G$2:$G$61,MATCH(P93,STAs!$F$2:$F$61,0))&amp;"","")</f>
        <v/>
      </c>
      <c r="B93" t="n">
        <v>20015271</v>
      </c>
      <c r="C93" t="inlineStr">
        <is>
          <t>Não</t>
        </is>
      </c>
      <c r="D93" t="inlineStr">
        <is>
          <t>ES</t>
        </is>
      </c>
      <c r="E93" t="inlineStr">
        <is>
          <t>SUDESTE RJ e ES</t>
        </is>
      </c>
      <c r="F93" t="inlineStr">
        <is>
          <t>Cliente A - Refrigerador</t>
        </is>
      </c>
      <c r="G93" t="inlineStr">
        <is>
          <t>Chopeiras</t>
        </is>
      </c>
      <c r="H93" s="10" t="n">
        <v>210</v>
      </c>
      <c r="I93" s="10">
        <f>IFERROR(T93*H93,0)</f>
        <v/>
      </c>
      <c r="J93" s="11" t="n">
        <v>45919</v>
      </c>
      <c r="K93" s="11" t="n">
        <v>45945</v>
      </c>
      <c r="L93" t="inlineStr">
        <is>
          <t>Ok. Devolvida</t>
        </is>
      </c>
      <c r="M93">
        <f>IF(L93="","",IFERROR(VLOOKUP(L93,mapGrupoStatus,2,0),"Outros"))</f>
        <v/>
      </c>
      <c r="N93">
        <f>IF(O93="","",IF(O93&lt;=30,"0-30 dias",IF(O93&lt;=60,"31-60 dias",IF(O93&lt;=90,"61-90 dias","Mais de 90 dias"))))</f>
        <v/>
      </c>
      <c r="O93">
        <f>IF(OR(M93="Pendente",M93="Em andamento"),IF(J93="","",TODAY()-J93),"")</f>
        <v/>
      </c>
      <c r="P93" t="n">
        <v>12555</v>
      </c>
      <c r="Q93" t="inlineStr">
        <is>
          <t>Cool Service Serviços (12555)</t>
        </is>
      </c>
      <c r="R93" t="inlineStr">
        <is>
          <t>PC-0029</t>
        </is>
      </c>
      <c r="S93" t="inlineStr">
        <is>
          <t>Serpentina modelo 01</t>
        </is>
      </c>
      <c r="T93" t="n">
        <v>1</v>
      </c>
      <c r="U93" t="n">
        <v>126</v>
      </c>
      <c r="V93">
        <f>IF(J93="","",MONTH(J93))</f>
        <v/>
      </c>
      <c r="W93">
        <f>IF(J93="","",YEAR(J93))</f>
        <v/>
      </c>
      <c r="X93" t="inlineStr">
        <is>
          <t>EntregaJá</t>
        </is>
      </c>
      <c r="Y93">
        <f>IFERROR(INDEX(Rastreio!$H$2:$H$200,MATCH(X93&amp;"|"&amp;U93,Rastreio!$A$2:$A$200,0)),"")</f>
        <v/>
      </c>
    </row>
    <row r="94">
      <c r="A94">
        <f>IFERROR(INDEX(STAs!$G$2:$G$61,MATCH(P94,STAs!$F$2:$F$61,0))&amp;"","")</f>
        <v/>
      </c>
      <c r="B94" t="n">
        <v>20015310</v>
      </c>
      <c r="C94" t="inlineStr">
        <is>
          <t>Não</t>
        </is>
      </c>
      <c r="D94" t="inlineStr">
        <is>
          <t>RR</t>
        </is>
      </c>
      <c r="E94" t="inlineStr">
        <is>
          <t>NORTE</t>
        </is>
      </c>
      <c r="F94" t="inlineStr">
        <is>
          <t>Cliente A - Refrigerador</t>
        </is>
      </c>
      <c r="G94" t="inlineStr">
        <is>
          <t>Refrigeradores</t>
        </is>
      </c>
      <c r="H94" s="10" t="n">
        <v>25</v>
      </c>
      <c r="I94" s="10">
        <f>IFERROR(T94*H94,0)</f>
        <v/>
      </c>
      <c r="J94" s="11" t="n">
        <v>45919</v>
      </c>
      <c r="K94" s="11" t="n"/>
      <c r="L94" t="inlineStr">
        <is>
          <t>Não Devolve-Norte</t>
        </is>
      </c>
      <c r="M94">
        <f>IF(L94="","",IFERROR(VLOOKUP(L94,mapGrupoStatus,2,0),"Outros"))</f>
        <v/>
      </c>
      <c r="N94">
        <f>IF(O94="","",IF(O94&lt;=30,"0-30 dias",IF(O94&lt;=60,"31-60 dias",IF(O94&lt;=90,"61-90 dias","Mais de 90 dias"))))</f>
        <v/>
      </c>
      <c r="O94">
        <f>IF(OR(M94="Pendente",M94="Em andamento"),IF(J94="","",TODAY()-J94),"")</f>
        <v/>
      </c>
      <c r="P94" t="n">
        <v>11818</v>
      </c>
      <c r="Q94" t="inlineStr">
        <is>
          <t>Termotec Ltda (11818)</t>
        </is>
      </c>
      <c r="R94" t="inlineStr">
        <is>
          <t>PC-0015</t>
        </is>
      </c>
      <c r="S94" t="inlineStr">
        <is>
          <t>Filtro secador modelo 01</t>
        </is>
      </c>
      <c r="T94" t="n">
        <v>1</v>
      </c>
      <c r="U94" t="inlineStr"/>
      <c r="V94">
        <f>IF(J94="","",MONTH(J94))</f>
        <v/>
      </c>
      <c r="W94">
        <f>IF(J94="","",YEAR(J94))</f>
        <v/>
      </c>
      <c r="X94" t="inlineStr"/>
      <c r="Y94">
        <f>IFERROR(INDEX(Rastreio!$H$2:$H$200,MATCH(X94&amp;"|"&amp;U94,Rastreio!$A$2:$A$200,0)),"")</f>
        <v/>
      </c>
    </row>
    <row r="95">
      <c r="A95">
        <f>IFERROR(INDEX(STAs!$G$2:$G$61,MATCH(P95,STAs!$F$2:$F$61,0))&amp;"","")</f>
        <v/>
      </c>
      <c r="B95" t="n">
        <v>20019125</v>
      </c>
      <c r="C95" t="inlineStr">
        <is>
          <t>Não</t>
        </is>
      </c>
      <c r="D95" t="inlineStr">
        <is>
          <t>MG</t>
        </is>
      </c>
      <c r="E95" t="inlineStr">
        <is>
          <t>SUDESTE MG</t>
        </is>
      </c>
      <c r="F95" t="inlineStr">
        <is>
          <t>Cliente C - Misturador</t>
        </is>
      </c>
      <c r="G95" t="inlineStr">
        <is>
          <t>Chopeiras</t>
        </is>
      </c>
      <c r="H95" s="10" t="n">
        <v>85</v>
      </c>
      <c r="I95" s="10">
        <f>IFERROR(T95*H95,0)</f>
        <v/>
      </c>
      <c r="J95" s="11" t="n">
        <v>45919</v>
      </c>
      <c r="K95" s="11" t="n">
        <v>45955</v>
      </c>
      <c r="L95" t="inlineStr">
        <is>
          <t>Ok. Devolvida</t>
        </is>
      </c>
      <c r="M95">
        <f>IF(L95="","",IFERROR(VLOOKUP(L95,mapGrupoStatus,2,0),"Outros"))</f>
        <v/>
      </c>
      <c r="N95">
        <f>IF(O95="","",IF(O95&lt;=30,"0-30 dias",IF(O95&lt;=60,"31-60 dias",IF(O95&lt;=90,"61-90 dias","Mais de 90 dias"))))</f>
        <v/>
      </c>
      <c r="O95">
        <f>IF(OR(M95="Pendente",M95="Em andamento"),IF(J95="","",TODAY()-J95),"")</f>
        <v/>
      </c>
      <c r="P95" t="n">
        <v>12158</v>
      </c>
      <c r="Q95" t="inlineStr">
        <is>
          <t>Gelo Serviços (12158)</t>
        </is>
      </c>
      <c r="R95" t="inlineStr">
        <is>
          <t>PC-0036</t>
        </is>
      </c>
      <c r="S95" t="inlineStr">
        <is>
          <t>Válvula extratora modelo 02</t>
        </is>
      </c>
      <c r="T95" t="n">
        <v>2</v>
      </c>
      <c r="U95" t="n">
        <v>136</v>
      </c>
      <c r="V95">
        <f>IF(J95="","",MONTH(J95))</f>
        <v/>
      </c>
      <c r="W95">
        <f>IF(J95="","",YEAR(J95))</f>
        <v/>
      </c>
      <c r="X95" t="inlineStr">
        <is>
          <t>CargoMax</t>
        </is>
      </c>
      <c r="Y95">
        <f>IFERROR(INDEX(Rastreio!$H$2:$H$200,MATCH(X95&amp;"|"&amp;U95,Rastreio!$A$2:$A$200,0)),"")</f>
        <v/>
      </c>
    </row>
    <row r="96">
      <c r="A96">
        <f>IFERROR(INDEX(STAs!$G$2:$G$61,MATCH(P96,STAs!$F$2:$F$61,0))&amp;"","")</f>
        <v/>
      </c>
      <c r="B96" t="n">
        <v>20025788</v>
      </c>
      <c r="C96" t="inlineStr">
        <is>
          <t>Não</t>
        </is>
      </c>
      <c r="D96" t="inlineStr">
        <is>
          <t>PA</t>
        </is>
      </c>
      <c r="E96" t="inlineStr">
        <is>
          <t>NORTE</t>
        </is>
      </c>
      <c r="F96" t="inlineStr">
        <is>
          <t>Cliente A - Refrigerador</t>
        </is>
      </c>
      <c r="G96" t="inlineStr">
        <is>
          <t>Misturadores</t>
        </is>
      </c>
      <c r="H96" s="10" t="n">
        <v>265</v>
      </c>
      <c r="I96" s="10">
        <f>IFERROR(T96*H96,0)</f>
        <v/>
      </c>
      <c r="J96" s="11" t="n">
        <v>45919</v>
      </c>
      <c r="K96" s="11" t="n">
        <v>45950</v>
      </c>
      <c r="L96" t="inlineStr">
        <is>
          <t>Ok. Devolvida</t>
        </is>
      </c>
      <c r="M96">
        <f>IF(L96="","",IFERROR(VLOOKUP(L96,mapGrupoStatus,2,0),"Outros"))</f>
        <v/>
      </c>
      <c r="N96">
        <f>IF(O96="","",IF(O96&lt;=30,"0-30 dias",IF(O96&lt;=60,"31-60 dias",IF(O96&lt;=90,"61-90 dias","Mais de 90 dias"))))</f>
        <v/>
      </c>
      <c r="O96">
        <f>IF(OR(M96="Pendente",M96="Em andamento"),IF(J96="","",TODAY()-J96),"")</f>
        <v/>
      </c>
      <c r="P96" t="n">
        <v>11986</v>
      </c>
      <c r="Q96" t="inlineStr">
        <is>
          <t>Polar Serviços (11986)</t>
        </is>
      </c>
      <c r="R96" t="inlineStr">
        <is>
          <t>PC-0038</t>
        </is>
      </c>
      <c r="S96" t="inlineStr">
        <is>
          <t>Bomba de recirculação modelo 02</t>
        </is>
      </c>
      <c r="T96" t="n">
        <v>1</v>
      </c>
      <c r="U96" t="n">
        <v>138</v>
      </c>
      <c r="V96">
        <f>IF(J96="","",MONTH(J96))</f>
        <v/>
      </c>
      <c r="W96">
        <f>IF(J96="","",YEAR(J96))</f>
        <v/>
      </c>
      <c r="X96" t="inlineStr">
        <is>
          <t>EntregaJá</t>
        </is>
      </c>
      <c r="Y96">
        <f>IFERROR(INDEX(Rastreio!$H$2:$H$200,MATCH(X96&amp;"|"&amp;U96,Rastreio!$A$2:$A$200,0)),"")</f>
        <v/>
      </c>
    </row>
    <row r="97">
      <c r="A97">
        <f>IFERROR(INDEX(STAs!$G$2:$G$61,MATCH(P97,STAs!$F$2:$F$61,0))&amp;"","")</f>
        <v/>
      </c>
      <c r="B97" t="n">
        <v>20030799</v>
      </c>
      <c r="C97" t="inlineStr">
        <is>
          <t>Não</t>
        </is>
      </c>
      <c r="D97" t="inlineStr">
        <is>
          <t>ES</t>
        </is>
      </c>
      <c r="E97" t="inlineStr">
        <is>
          <t>SUDESTE RJ e ES</t>
        </is>
      </c>
      <c r="F97" t="inlineStr">
        <is>
          <t>Cliente C - Misturador</t>
        </is>
      </c>
      <c r="G97" t="inlineStr">
        <is>
          <t>Misturadores</t>
        </is>
      </c>
      <c r="H97" s="10" t="n">
        <v>185</v>
      </c>
      <c r="I97" s="10">
        <f>IFERROR(T97*H97,0)</f>
        <v/>
      </c>
      <c r="J97" s="11" t="n">
        <v>45919</v>
      </c>
      <c r="K97" s="11" t="n"/>
      <c r="L97" t="inlineStr">
        <is>
          <t>Debitar do STA</t>
        </is>
      </c>
      <c r="M97">
        <f>IF(L97="","",IFERROR(VLOOKUP(L97,mapGrupoStatus,2,0),"Outros"))</f>
        <v/>
      </c>
      <c r="N97">
        <f>IF(O97="","",IF(O97&lt;=30,"0-30 dias",IF(O97&lt;=60,"31-60 dias",IF(O97&lt;=90,"61-90 dias","Mais de 90 dias"))))</f>
        <v/>
      </c>
      <c r="O97">
        <f>IF(OR(M97="Pendente",M97="Em andamento"),IF(J97="","",TODAY()-J97),"")</f>
        <v/>
      </c>
      <c r="P97" t="n">
        <v>12555</v>
      </c>
      <c r="Q97" t="inlineStr">
        <is>
          <t>Cool Service Serviços (12555)</t>
        </is>
      </c>
      <c r="R97" t="inlineStr">
        <is>
          <t>PC-0041</t>
        </is>
      </c>
      <c r="S97" t="inlineStr">
        <is>
          <t>Motor agitador modelo 02</t>
        </is>
      </c>
      <c r="T97" t="n">
        <v>1</v>
      </c>
      <c r="U97" t="inlineStr"/>
      <c r="V97">
        <f>IF(J97="","",MONTH(J97))</f>
        <v/>
      </c>
      <c r="W97">
        <f>IF(J97="","",YEAR(J97))</f>
        <v/>
      </c>
      <c r="X97" t="inlineStr"/>
      <c r="Y97">
        <f>IFERROR(INDEX(Rastreio!$H$2:$H$200,MATCH(X97&amp;"|"&amp;U97,Rastreio!$A$2:$A$200,0)),"")</f>
        <v/>
      </c>
    </row>
    <row r="98">
      <c r="A98">
        <f>IFERROR(INDEX(STAs!$G$2:$G$61,MATCH(P98,STAs!$F$2:$F$61,0))&amp;"","")</f>
        <v/>
      </c>
      <c r="B98" t="n">
        <v>20032079</v>
      </c>
      <c r="C98" t="inlineStr">
        <is>
          <t>Não</t>
        </is>
      </c>
      <c r="D98" t="inlineStr">
        <is>
          <t>PB</t>
        </is>
      </c>
      <c r="E98" t="inlineStr">
        <is>
          <t>NORDESTE</t>
        </is>
      </c>
      <c r="F98" t="inlineStr">
        <is>
          <t>Cliente A - Refrigerador</t>
        </is>
      </c>
      <c r="G98" t="inlineStr">
        <is>
          <t>Refrigeradores</t>
        </is>
      </c>
      <c r="H98" s="10" t="n">
        <v>45</v>
      </c>
      <c r="I98" s="10">
        <f>IFERROR(T98*H98,0)</f>
        <v/>
      </c>
      <c r="J98" s="11" t="n">
        <v>45919</v>
      </c>
      <c r="K98" s="11" t="n"/>
      <c r="L98" t="inlineStr">
        <is>
          <t>Aguardando devolução</t>
        </is>
      </c>
      <c r="M98">
        <f>IF(L98="","",IFERROR(VLOOKUP(L98,mapGrupoStatus,2,0),"Outros"))</f>
        <v/>
      </c>
      <c r="N98">
        <f>IF(O98="","",IF(O98&lt;=30,"0-30 dias",IF(O98&lt;=60,"31-60 dias",IF(O98&lt;=90,"61-90 dias","Mais de 90 dias"))))</f>
        <v/>
      </c>
      <c r="O98">
        <f>IF(OR(M98="Pendente",M98="Em andamento"),IF(J98="","",TODAY()-J98),"")</f>
        <v/>
      </c>
      <c r="P98" t="n">
        <v>11741</v>
      </c>
      <c r="Q98" t="inlineStr">
        <is>
          <t>Clima Refrigeração (11741)</t>
        </is>
      </c>
      <c r="R98" t="inlineStr">
        <is>
          <t>PC-0018</t>
        </is>
      </c>
      <c r="S98" t="inlineStr">
        <is>
          <t>Gaxeta da porta modelo 01</t>
        </is>
      </c>
      <c r="T98" t="n">
        <v>1</v>
      </c>
      <c r="U98" t="inlineStr"/>
      <c r="V98">
        <f>IF(J98="","",MONTH(J98))</f>
        <v/>
      </c>
      <c r="W98">
        <f>IF(J98="","",YEAR(J98))</f>
        <v/>
      </c>
      <c r="X98" t="inlineStr"/>
      <c r="Y98">
        <f>IFERROR(INDEX(Rastreio!$H$2:$H$200,MATCH(X98&amp;"|"&amp;U98,Rastreio!$A$2:$A$200,0)),"")</f>
        <v/>
      </c>
    </row>
    <row r="99">
      <c r="A99">
        <f>IFERROR(INDEX(STAs!$G$2:$G$61,MATCH(P99,STAs!$F$2:$F$61,0))&amp;"","")</f>
        <v/>
      </c>
      <c r="B99" t="n">
        <v>20040475</v>
      </c>
      <c r="C99" t="inlineStr">
        <is>
          <t>Não</t>
        </is>
      </c>
      <c r="D99" t="inlineStr">
        <is>
          <t>BA</t>
        </is>
      </c>
      <c r="E99" t="inlineStr">
        <is>
          <t>NORDESTE</t>
        </is>
      </c>
      <c r="F99" t="inlineStr">
        <is>
          <t>Cliente C - Misturador</t>
        </is>
      </c>
      <c r="G99" t="inlineStr">
        <is>
          <t>Refrigeradores</t>
        </is>
      </c>
      <c r="H99" s="10" t="n">
        <v>185</v>
      </c>
      <c r="I99" s="10">
        <f>IFERROR(T99*H99,0)</f>
        <v/>
      </c>
      <c r="J99" s="11" t="n">
        <v>45919</v>
      </c>
      <c r="K99" s="11" t="n">
        <v>45924</v>
      </c>
      <c r="L99" t="inlineStr">
        <is>
          <t>Ok. Devolvida</t>
        </is>
      </c>
      <c r="M99">
        <f>IF(L99="","",IFERROR(VLOOKUP(L99,mapGrupoStatus,2,0),"Outros"))</f>
        <v/>
      </c>
      <c r="N99">
        <f>IF(O99="","",IF(O99&lt;=30,"0-30 dias",IF(O99&lt;=60,"31-60 dias",IF(O99&lt;=90,"61-90 dias","Mais de 90 dias"))))</f>
        <v/>
      </c>
      <c r="O99">
        <f>IF(OR(M99="Pendente",M99="Em andamento"),IF(J99="","",TODAY()-J99),"")</f>
        <v/>
      </c>
      <c r="P99" t="n">
        <v>11244</v>
      </c>
      <c r="Q99" t="inlineStr">
        <is>
          <t>Refrigeração Manutenção (11244)</t>
        </is>
      </c>
      <c r="R99" t="inlineStr">
        <is>
          <t>PC-0013</t>
        </is>
      </c>
      <c r="S99" t="inlineStr">
        <is>
          <t>Placa eletrônica modelo 03</t>
        </is>
      </c>
      <c r="T99" t="n">
        <v>2</v>
      </c>
      <c r="U99" t="n">
        <v>170</v>
      </c>
      <c r="V99">
        <f>IF(J99="","",MONTH(J99))</f>
        <v/>
      </c>
      <c r="W99">
        <f>IF(J99="","",YEAR(J99))</f>
        <v/>
      </c>
      <c r="X99" t="inlineStr">
        <is>
          <t>CargoMax</t>
        </is>
      </c>
      <c r="Y99">
        <f>IFERROR(INDEX(Rastreio!$H$2:$H$200,MATCH(X99&amp;"|"&amp;U99,Rastreio!$A$2:$A$200,0)),"")</f>
        <v/>
      </c>
    </row>
    <row r="100">
      <c r="A100">
        <f>IFERROR(INDEX(STAs!$G$2:$G$61,MATCH(P100,STAs!$F$2:$F$61,0))&amp;"","")</f>
        <v/>
      </c>
      <c r="B100" t="n">
        <v>20002238</v>
      </c>
      <c r="C100" t="inlineStr">
        <is>
          <t>Não</t>
        </is>
      </c>
      <c r="D100" t="inlineStr">
        <is>
          <t>AC</t>
        </is>
      </c>
      <c r="E100" t="inlineStr">
        <is>
          <t>NORTE</t>
        </is>
      </c>
      <c r="F100" t="inlineStr">
        <is>
          <t>Cliente A - Refrigerador</t>
        </is>
      </c>
      <c r="G100" t="inlineStr">
        <is>
          <t>Chopeiras</t>
        </is>
      </c>
      <c r="H100" s="10" t="n">
        <v>215</v>
      </c>
      <c r="I100" s="10">
        <f>IFERROR(T100*H100,0)</f>
        <v/>
      </c>
      <c r="J100" s="11" t="n">
        <v>45920</v>
      </c>
      <c r="K100" s="11" t="n">
        <v>45929</v>
      </c>
      <c r="L100" t="inlineStr">
        <is>
          <t>Ok. Devolvida</t>
        </is>
      </c>
      <c r="M100">
        <f>IF(L100="","",IFERROR(VLOOKUP(L100,mapGrupoStatus,2,0),"Outros"))</f>
        <v/>
      </c>
      <c r="N100">
        <f>IF(O100="","",IF(O100&lt;=30,"0-30 dias",IF(O100&lt;=60,"31-60 dias",IF(O100&lt;=90,"61-90 dias","Mais de 90 dias"))))</f>
        <v/>
      </c>
      <c r="O100">
        <f>IF(OR(M100="Pendente",M100="Em andamento"),IF(J100="","",TODAY()-J100),"")</f>
        <v/>
      </c>
      <c r="P100" t="n">
        <v>11022</v>
      </c>
      <c r="Q100" t="inlineStr">
        <is>
          <t>Brisa Ltda (11022)</t>
        </is>
      </c>
      <c r="R100" t="inlineStr">
        <is>
          <t>PC-0030</t>
        </is>
      </c>
      <c r="S100" t="inlineStr">
        <is>
          <t>Serpentina modelo 02</t>
        </is>
      </c>
      <c r="T100" t="n">
        <v>1</v>
      </c>
      <c r="U100" t="n">
        <v>106</v>
      </c>
      <c r="V100">
        <f>IF(J100="","",MONTH(J100))</f>
        <v/>
      </c>
      <c r="W100">
        <f>IF(J100="","",YEAR(J100))</f>
        <v/>
      </c>
      <c r="X100" t="inlineStr">
        <is>
          <t>EntregaJá</t>
        </is>
      </c>
      <c r="Y100">
        <f>IFERROR(INDEX(Rastreio!$H$2:$H$200,MATCH(X100&amp;"|"&amp;U100,Rastreio!$A$2:$A$200,0)),"")</f>
        <v/>
      </c>
    </row>
    <row r="101">
      <c r="A101">
        <f>IFERROR(INDEX(STAs!$G$2:$G$61,MATCH(P101,STAs!$F$2:$F$61,0))&amp;"","")</f>
        <v/>
      </c>
      <c r="B101" t="n">
        <v>20002481</v>
      </c>
      <c r="C101" t="inlineStr">
        <is>
          <t>Não</t>
        </is>
      </c>
      <c r="D101" t="inlineStr">
        <is>
          <t>SP</t>
        </is>
      </c>
      <c r="E101" t="inlineStr">
        <is>
          <t>SUDESTE SP</t>
        </is>
      </c>
      <c r="F101" t="inlineStr">
        <is>
          <t>Cliente B - Chopeira</t>
        </is>
      </c>
      <c r="G101" t="inlineStr">
        <is>
          <t>Misturadores</t>
        </is>
      </c>
      <c r="H101" s="10" t="n">
        <v>60</v>
      </c>
      <c r="I101" s="10">
        <f>IFERROR(T101*H101,0)</f>
        <v/>
      </c>
      <c r="J101" s="11" t="n">
        <v>45920</v>
      </c>
      <c r="K101" s="11" t="n"/>
      <c r="L101" t="inlineStr">
        <is>
          <t>Em andamento</t>
        </is>
      </c>
      <c r="M101">
        <f>IF(L101="","",IFERROR(VLOOKUP(L101,mapGrupoStatus,2,0),"Outros"))</f>
        <v/>
      </c>
      <c r="N101">
        <f>IF(O101="","",IF(O101&lt;=30,"0-30 dias",IF(O101&lt;=60,"31-60 dias",IF(O101&lt;=90,"61-90 dias","Mais de 90 dias"))))</f>
        <v/>
      </c>
      <c r="O101">
        <f>IF(OR(M101="Pendente",M101="Em andamento"),IF(J101="","",TODAY()-J101),"")</f>
        <v/>
      </c>
      <c r="P101" t="n">
        <v>11710</v>
      </c>
      <c r="Q101" t="inlineStr">
        <is>
          <t>Brisa &amp; Cia (11710)</t>
        </is>
      </c>
      <c r="R101" t="inlineStr">
        <is>
          <t>PC-0048</t>
        </is>
      </c>
      <c r="S101" t="inlineStr">
        <is>
          <t>Sensor de nível modelo 04</t>
        </is>
      </c>
      <c r="T101" t="n">
        <v>1</v>
      </c>
      <c r="U101" t="n">
        <v>103</v>
      </c>
      <c r="V101">
        <f>IF(J101="","",MONTH(J101))</f>
        <v/>
      </c>
      <c r="W101">
        <f>IF(J101="","",YEAR(J101))</f>
        <v/>
      </c>
      <c r="X101" t="inlineStr">
        <is>
          <t>CargoMax</t>
        </is>
      </c>
      <c r="Y101">
        <f>IFERROR(INDEX(Rastreio!$H$2:$H$200,MATCH(X101&amp;"|"&amp;U101,Rastreio!$A$2:$A$200,0)),"")</f>
        <v/>
      </c>
    </row>
    <row r="102">
      <c r="A102">
        <f>IFERROR(INDEX(STAs!$G$2:$G$61,MATCH(P102,STAs!$F$2:$F$61,0))&amp;"","")</f>
        <v/>
      </c>
      <c r="B102" t="n">
        <v>20015139</v>
      </c>
      <c r="C102" t="inlineStr">
        <is>
          <t>Não</t>
        </is>
      </c>
      <c r="D102" t="inlineStr">
        <is>
          <t>RR</t>
        </is>
      </c>
      <c r="E102" t="inlineStr">
        <is>
          <t>NORTE</t>
        </is>
      </c>
      <c r="F102" t="inlineStr">
        <is>
          <t>Cliente C - Misturador</t>
        </is>
      </c>
      <c r="G102" t="inlineStr">
        <is>
          <t>Misturadores</t>
        </is>
      </c>
      <c r="H102" s="10" t="n">
        <v>40</v>
      </c>
      <c r="I102" s="10">
        <f>IFERROR(T102*H102,0)</f>
        <v/>
      </c>
      <c r="J102" s="11" t="n">
        <v>45920</v>
      </c>
      <c r="K102" s="11" t="n"/>
      <c r="L102" t="inlineStr">
        <is>
          <t>Não Devolve-Norte</t>
        </is>
      </c>
      <c r="M102">
        <f>IF(L102="","",IFERROR(VLOOKUP(L102,mapGrupoStatus,2,0),"Outros"))</f>
        <v/>
      </c>
      <c r="N102">
        <f>IF(O102="","",IF(O102&lt;=30,"0-30 dias",IF(O102&lt;=60,"31-60 dias",IF(O102&lt;=90,"61-90 dias","Mais de 90 dias"))))</f>
        <v/>
      </c>
      <c r="O102">
        <f>IF(OR(M102="Pendente",M102="Em andamento"),IF(J102="","",TODAY()-J102),"")</f>
        <v/>
      </c>
      <c r="P102" t="n">
        <v>10468</v>
      </c>
      <c r="Q102" t="inlineStr">
        <is>
          <t>Clima Express (10468)</t>
        </is>
      </c>
      <c r="R102" t="inlineStr">
        <is>
          <t>PC-0042</t>
        </is>
      </c>
      <c r="S102" t="inlineStr">
        <is>
          <t>Bico dosador modelo 01</t>
        </is>
      </c>
      <c r="T102" t="n">
        <v>1</v>
      </c>
      <c r="U102" t="inlineStr"/>
      <c r="V102">
        <f>IF(J102="","",MONTH(J102))</f>
        <v/>
      </c>
      <c r="W102">
        <f>IF(J102="","",YEAR(J102))</f>
        <v/>
      </c>
      <c r="X102" t="inlineStr"/>
      <c r="Y102">
        <f>IFERROR(INDEX(Rastreio!$H$2:$H$200,MATCH(X102&amp;"|"&amp;U102,Rastreio!$A$2:$A$200,0)),"")</f>
        <v/>
      </c>
    </row>
    <row r="103">
      <c r="A103">
        <f>IFERROR(INDEX(STAs!$G$2:$G$61,MATCH(P103,STAs!$F$2:$F$61,0))&amp;"","")</f>
        <v/>
      </c>
      <c r="B103" t="n">
        <v>20029474</v>
      </c>
      <c r="C103" t="inlineStr">
        <is>
          <t>Não</t>
        </is>
      </c>
      <c r="D103" t="inlineStr">
        <is>
          <t>SP</t>
        </is>
      </c>
      <c r="E103" t="inlineStr">
        <is>
          <t>SUDESTE SP</t>
        </is>
      </c>
      <c r="F103" t="inlineStr">
        <is>
          <t>Cliente C - Misturador</t>
        </is>
      </c>
      <c r="G103" t="inlineStr">
        <is>
          <t>Refrigeradores</t>
        </is>
      </c>
      <c r="H103" s="10" t="n">
        <v>40</v>
      </c>
      <c r="I103" s="10">
        <f>IFERROR(T103*H103,0)</f>
        <v/>
      </c>
      <c r="J103" s="11" t="n">
        <v>45920</v>
      </c>
      <c r="K103" s="11" t="n">
        <v>45970</v>
      </c>
      <c r="L103" t="inlineStr">
        <is>
          <t>Ok. Devolvida</t>
        </is>
      </c>
      <c r="M103">
        <f>IF(L103="","",IFERROR(VLOOKUP(L103,mapGrupoStatus,2,0),"Outros"))</f>
        <v/>
      </c>
      <c r="N103">
        <f>IF(O103="","",IF(O103&lt;=30,"0-30 dias",IF(O103&lt;=60,"31-60 dias",IF(O103&lt;=90,"61-90 dias","Mais de 90 dias"))))</f>
        <v/>
      </c>
      <c r="O103">
        <f>IF(OR(M103="Pendente",M103="Em andamento"),IF(J103="","",TODAY()-J103),"")</f>
        <v/>
      </c>
      <c r="P103" t="n">
        <v>12052</v>
      </c>
      <c r="Q103" t="inlineStr">
        <is>
          <t>Brisa Refrigeração (12052)</t>
        </is>
      </c>
      <c r="R103" t="inlineStr">
        <is>
          <t>PC-0005</t>
        </is>
      </c>
      <c r="S103" t="inlineStr">
        <is>
          <t>Termostato modelo 02</t>
        </is>
      </c>
      <c r="T103" t="n">
        <v>1</v>
      </c>
      <c r="U103" t="n">
        <v>152</v>
      </c>
      <c r="V103">
        <f>IF(J103="","",MONTH(J103))</f>
        <v/>
      </c>
      <c r="W103">
        <f>IF(J103="","",YEAR(J103))</f>
        <v/>
      </c>
      <c r="X103" t="inlineStr">
        <is>
          <t>CargoMax</t>
        </is>
      </c>
      <c r="Y103">
        <f>IFERROR(INDEX(Rastreio!$H$2:$H$200,MATCH(X103&amp;"|"&amp;U103,Rastreio!$A$2:$A$200,0)),"")</f>
        <v/>
      </c>
    </row>
    <row r="104">
      <c r="A104">
        <f>IFERROR(INDEX(STAs!$G$2:$G$61,MATCH(P104,STAs!$F$2:$F$61,0))&amp;"","")</f>
        <v/>
      </c>
      <c r="B104" t="n">
        <v>20009595</v>
      </c>
      <c r="C104" t="inlineStr">
        <is>
          <t>Não</t>
        </is>
      </c>
      <c r="D104" t="inlineStr">
        <is>
          <t>MG</t>
        </is>
      </c>
      <c r="E104" t="inlineStr">
        <is>
          <t>SUDESTE MG</t>
        </is>
      </c>
      <c r="F104" t="inlineStr">
        <is>
          <t>Cliente C - Misturador</t>
        </is>
      </c>
      <c r="G104" t="inlineStr">
        <is>
          <t>Misturadores</t>
        </is>
      </c>
      <c r="H104" s="10" t="n">
        <v>60</v>
      </c>
      <c r="I104" s="10">
        <f>IFERROR(T104*H104,0)</f>
        <v/>
      </c>
      <c r="J104" s="11" t="n">
        <v>45921</v>
      </c>
      <c r="K104" s="11" t="n">
        <v>45946</v>
      </c>
      <c r="L104" t="inlineStr">
        <is>
          <t>Ok. Devolvida</t>
        </is>
      </c>
      <c r="M104">
        <f>IF(L104="","",IFERROR(VLOOKUP(L104,mapGrupoStatus,2,0),"Outros"))</f>
        <v/>
      </c>
      <c r="N104">
        <f>IF(O104="","",IF(O104&lt;=30,"0-30 dias",IF(O104&lt;=60,"31-60 dias",IF(O104&lt;=90,"61-90 dias","Mais de 90 dias"))))</f>
        <v/>
      </c>
      <c r="O104">
        <f>IF(OR(M104="Pendente",M104="Em andamento"),IF(J104="","",TODAY()-J104),"")</f>
        <v/>
      </c>
      <c r="P104" t="n">
        <v>11487</v>
      </c>
      <c r="Q104" t="inlineStr">
        <is>
          <t>Assistência Técnica Manutenção (11487)</t>
        </is>
      </c>
      <c r="R104" t="inlineStr">
        <is>
          <t>PC-0046</t>
        </is>
      </c>
      <c r="S104" t="inlineStr">
        <is>
          <t>Sensor de nível modelo 02</t>
        </is>
      </c>
      <c r="T104" t="n">
        <v>1</v>
      </c>
      <c r="U104" t="n">
        <v>118</v>
      </c>
      <c r="V104">
        <f>IF(J104="","",MONTH(J104))</f>
        <v/>
      </c>
      <c r="W104">
        <f>IF(J104="","",YEAR(J104))</f>
        <v/>
      </c>
      <c r="X104" t="inlineStr">
        <is>
          <t>CargoMax</t>
        </is>
      </c>
      <c r="Y104">
        <f>IFERROR(INDEX(Rastreio!$H$2:$H$200,MATCH(X104&amp;"|"&amp;U104,Rastreio!$A$2:$A$200,0)),"")</f>
        <v/>
      </c>
    </row>
    <row r="105">
      <c r="A105">
        <f>IFERROR(INDEX(STAs!$G$2:$G$61,MATCH(P105,STAs!$F$2:$F$61,0))&amp;"","")</f>
        <v/>
      </c>
      <c r="B105" t="n">
        <v>20023475</v>
      </c>
      <c r="C105" t="inlineStr">
        <is>
          <t>Não</t>
        </is>
      </c>
      <c r="D105" t="inlineStr">
        <is>
          <t>RR</t>
        </is>
      </c>
      <c r="E105" t="inlineStr">
        <is>
          <t>NORTE</t>
        </is>
      </c>
      <c r="F105" t="inlineStr">
        <is>
          <t>Cliente A - Refrigerador</t>
        </is>
      </c>
      <c r="G105" t="inlineStr">
        <is>
          <t>Refrigeradores</t>
        </is>
      </c>
      <c r="H105" s="10" t="n">
        <v>155</v>
      </c>
      <c r="I105" s="10">
        <f>IFERROR(T105*H105,0)</f>
        <v/>
      </c>
      <c r="J105" s="11" t="n">
        <v>45921</v>
      </c>
      <c r="K105" s="11" t="n"/>
      <c r="L105" t="inlineStr">
        <is>
          <t>Não Devolve-Norte</t>
        </is>
      </c>
      <c r="M105">
        <f>IF(L105="","",IFERROR(VLOOKUP(L105,mapGrupoStatus,2,0),"Outros"))</f>
        <v/>
      </c>
      <c r="N105">
        <f>IF(O105="","",IF(O105&lt;=30,"0-30 dias",IF(O105&lt;=60,"31-60 dias",IF(O105&lt;=90,"61-90 dias","Mais de 90 dias"))))</f>
        <v/>
      </c>
      <c r="O105">
        <f>IF(OR(M105="Pendente",M105="Em andamento"),IF(J105="","",TODAY()-J105),"")</f>
        <v/>
      </c>
      <c r="P105" t="n">
        <v>12422</v>
      </c>
      <c r="Q105" t="inlineStr">
        <is>
          <t>Assistência Técnica Refrigeração (12422)</t>
        </is>
      </c>
      <c r="R105" t="inlineStr">
        <is>
          <t>PC-0021</t>
        </is>
      </c>
      <c r="S105" t="inlineStr">
        <is>
          <t>Controlador digital modelo 01</t>
        </is>
      </c>
      <c r="T105" t="n">
        <v>1</v>
      </c>
      <c r="U105" t="inlineStr"/>
      <c r="V105">
        <f>IF(J105="","",MONTH(J105))</f>
        <v/>
      </c>
      <c r="W105">
        <f>IF(J105="","",YEAR(J105))</f>
        <v/>
      </c>
      <c r="X105" t="inlineStr"/>
      <c r="Y105">
        <f>IFERROR(INDEX(Rastreio!$H$2:$H$200,MATCH(X105&amp;"|"&amp;U105,Rastreio!$A$2:$A$200,0)),"")</f>
        <v/>
      </c>
    </row>
    <row r="106">
      <c r="A106">
        <f>IFERROR(INDEX(STAs!$G$2:$G$61,MATCH(P106,STAs!$F$2:$F$61,0))&amp;"","")</f>
        <v/>
      </c>
      <c r="B106" t="n">
        <v>20036951</v>
      </c>
      <c r="C106" t="inlineStr">
        <is>
          <t>Não</t>
        </is>
      </c>
      <c r="D106" t="inlineStr">
        <is>
          <t>RJ</t>
        </is>
      </c>
      <c r="E106" t="inlineStr">
        <is>
          <t>SUDESTE RJ e ES</t>
        </is>
      </c>
      <c r="F106" t="inlineStr">
        <is>
          <t>Cliente A - Refrigerador</t>
        </is>
      </c>
      <c r="G106" t="inlineStr">
        <is>
          <t>Misturadores</t>
        </is>
      </c>
      <c r="H106" s="10" t="n">
        <v>255</v>
      </c>
      <c r="I106" s="10">
        <f>IFERROR(T106*H106,0)</f>
        <v/>
      </c>
      <c r="J106" s="11" t="n">
        <v>45921</v>
      </c>
      <c r="K106" s="11" t="n"/>
      <c r="L106" t="inlineStr">
        <is>
          <t>NF Vencida</t>
        </is>
      </c>
      <c r="M106">
        <f>IF(L106="","",IFERROR(VLOOKUP(L106,mapGrupoStatus,2,0),"Outros"))</f>
        <v/>
      </c>
      <c r="N106">
        <f>IF(O106="","",IF(O106&lt;=30,"0-30 dias",IF(O106&lt;=60,"31-60 dias",IF(O106&lt;=90,"61-90 dias","Mais de 90 dias"))))</f>
        <v/>
      </c>
      <c r="O106">
        <f>IF(OR(M106="Pendente",M106="Em andamento"),IF(J106="","",TODAY()-J106),"")</f>
        <v/>
      </c>
      <c r="P106" t="n">
        <v>11059</v>
      </c>
      <c r="Q106" t="inlineStr">
        <is>
          <t>Frio Ltda (11059)</t>
        </is>
      </c>
      <c r="R106" t="inlineStr">
        <is>
          <t>PC-0037</t>
        </is>
      </c>
      <c r="S106" t="inlineStr">
        <is>
          <t>Bomba de recirculação modelo 01</t>
        </is>
      </c>
      <c r="T106" t="n">
        <v>1</v>
      </c>
      <c r="U106" t="inlineStr"/>
      <c r="V106">
        <f>IF(J106="","",MONTH(J106))</f>
        <v/>
      </c>
      <c r="W106">
        <f>IF(J106="","",YEAR(J106))</f>
        <v/>
      </c>
      <c r="X106" t="inlineStr"/>
      <c r="Y106">
        <f>IFERROR(INDEX(Rastreio!$H$2:$H$200,MATCH(X106&amp;"|"&amp;U106,Rastreio!$A$2:$A$200,0)),"")</f>
        <v/>
      </c>
    </row>
    <row r="107">
      <c r="A107">
        <f>IFERROR(INDEX(STAs!$G$2:$G$61,MATCH(P107,STAs!$F$2:$F$61,0))&amp;"","")</f>
        <v/>
      </c>
      <c r="B107" t="n">
        <v>20039821</v>
      </c>
      <c r="C107" t="inlineStr">
        <is>
          <t>Não</t>
        </is>
      </c>
      <c r="D107" t="inlineStr">
        <is>
          <t>SP</t>
        </is>
      </c>
      <c r="E107" t="inlineStr">
        <is>
          <t>SUDESTE SP</t>
        </is>
      </c>
      <c r="F107" t="inlineStr">
        <is>
          <t>Cliente B - Chopeira</t>
        </is>
      </c>
      <c r="G107" t="inlineStr">
        <is>
          <t>Misturadores</t>
        </is>
      </c>
      <c r="H107" s="10" t="n">
        <v>265</v>
      </c>
      <c r="I107" s="10">
        <f>IFERROR(T107*H107,0)</f>
        <v/>
      </c>
      <c r="J107" s="11" t="n">
        <v>45921</v>
      </c>
      <c r="K107" s="11" t="n"/>
      <c r="L107" t="inlineStr">
        <is>
          <t>Em transporte</t>
        </is>
      </c>
      <c r="M107">
        <f>IF(L107="","",IFERROR(VLOOKUP(L107,mapGrupoStatus,2,0),"Outros"))</f>
        <v/>
      </c>
      <c r="N107">
        <f>IF(O107="","",IF(O107&lt;=30,"0-30 dias",IF(O107&lt;=60,"31-60 dias",IF(O107&lt;=90,"61-90 dias","Mais de 90 dias"))))</f>
        <v/>
      </c>
      <c r="O107">
        <f>IF(OR(M107="Pendente",M107="Em andamento"),IF(J107="","",TODAY()-J107),"")</f>
        <v/>
      </c>
      <c r="P107" t="n">
        <v>10111</v>
      </c>
      <c r="Q107" t="inlineStr">
        <is>
          <t>Refrigel Manutenção (10111)</t>
        </is>
      </c>
      <c r="R107" t="inlineStr">
        <is>
          <t>PC-0038</t>
        </is>
      </c>
      <c r="S107" t="inlineStr">
        <is>
          <t>Bomba de recirculação modelo 02</t>
        </is>
      </c>
      <c r="T107" t="n">
        <v>2</v>
      </c>
      <c r="U107" t="n">
        <v>170</v>
      </c>
      <c r="V107">
        <f>IF(J107="","",MONTH(J107))</f>
        <v/>
      </c>
      <c r="W107">
        <f>IF(J107="","",YEAR(J107))</f>
        <v/>
      </c>
      <c r="X107" t="inlineStr">
        <is>
          <t>TransNorte</t>
        </is>
      </c>
      <c r="Y107">
        <f>IFERROR(INDEX(Rastreio!$H$2:$H$200,MATCH(X107&amp;"|"&amp;U107,Rastreio!$A$2:$A$200,0)),"")</f>
        <v/>
      </c>
    </row>
    <row r="108">
      <c r="A108">
        <f>IFERROR(INDEX(STAs!$G$2:$G$61,MATCH(P108,STAs!$F$2:$F$61,0))&amp;"","")</f>
        <v/>
      </c>
      <c r="B108" t="n">
        <v>20040197</v>
      </c>
      <c r="C108" t="inlineStr">
        <is>
          <t>Sim</t>
        </is>
      </c>
      <c r="D108" t="inlineStr">
        <is>
          <t>SP</t>
        </is>
      </c>
      <c r="E108" t="inlineStr">
        <is>
          <t>SUDESTE SP</t>
        </is>
      </c>
      <c r="F108" t="inlineStr">
        <is>
          <t>Cliente A - Refrigerador</t>
        </is>
      </c>
      <c r="G108" t="inlineStr">
        <is>
          <t>Chopeiras</t>
        </is>
      </c>
      <c r="H108" s="10" t="n">
        <v>115</v>
      </c>
      <c r="I108" s="10">
        <f>IFERROR(T108*H108,0)</f>
        <v/>
      </c>
      <c r="J108" s="11" t="n">
        <v>45921</v>
      </c>
      <c r="K108" s="11" t="n">
        <v>45978</v>
      </c>
      <c r="L108" t="inlineStr">
        <is>
          <t>Ok. Devolvida</t>
        </is>
      </c>
      <c r="M108">
        <f>IF(L108="","",IFERROR(VLOOKUP(L108,mapGrupoStatus,2,0),"Outros"))</f>
        <v/>
      </c>
      <c r="N108">
        <f>IF(O108="","",IF(O108&lt;=30,"0-30 dias",IF(O108&lt;=60,"31-60 dias",IF(O108&lt;=90,"61-90 dias","Mais de 90 dias"))))</f>
        <v/>
      </c>
      <c r="O108">
        <f>IF(OR(M108="Pendente",M108="Em andamento"),IF(J108="","",TODAY()-J108),"")</f>
        <v/>
      </c>
      <c r="P108" t="n">
        <v>10010</v>
      </c>
      <c r="Q108" t="inlineStr">
        <is>
          <t>Cool Service ME (10010)</t>
        </is>
      </c>
      <c r="R108" t="inlineStr">
        <is>
          <t>PC-0034</t>
        </is>
      </c>
      <c r="S108" t="inlineStr">
        <is>
          <t>Regulador de pressão modelo 03</t>
        </is>
      </c>
      <c r="T108" t="n">
        <v>1</v>
      </c>
      <c r="U108" t="n">
        <v>175</v>
      </c>
      <c r="V108">
        <f>IF(J108="","",MONTH(J108))</f>
        <v/>
      </c>
      <c r="W108">
        <f>IF(J108="","",YEAR(J108))</f>
        <v/>
      </c>
      <c r="X108" t="inlineStr">
        <is>
          <t>RotaSul</t>
        </is>
      </c>
      <c r="Y108">
        <f>IFERROR(INDEX(Rastreio!$H$2:$H$200,MATCH(X108&amp;"|"&amp;U108,Rastreio!$A$2:$A$200,0)),"")</f>
        <v/>
      </c>
    </row>
    <row r="109">
      <c r="A109">
        <f>IFERROR(INDEX(STAs!$G$2:$G$61,MATCH(P109,STAs!$F$2:$F$61,0))&amp;"","")</f>
        <v/>
      </c>
      <c r="B109" t="n">
        <v>20016855</v>
      </c>
      <c r="C109" t="inlineStr">
        <is>
          <t>Não</t>
        </is>
      </c>
      <c r="D109" t="inlineStr">
        <is>
          <t>MS</t>
        </is>
      </c>
      <c r="E109" t="inlineStr">
        <is>
          <t>CENTRO OESTE</t>
        </is>
      </c>
      <c r="F109" t="inlineStr">
        <is>
          <t>Cliente A - Refrigerador</t>
        </is>
      </c>
      <c r="G109" t="inlineStr">
        <is>
          <t>Chopeiras</t>
        </is>
      </c>
      <c r="H109" s="10" t="n">
        <v>205</v>
      </c>
      <c r="I109" s="10">
        <f>IFERROR(T109*H109,0)</f>
        <v/>
      </c>
      <c r="J109" s="11" t="n">
        <v>45922</v>
      </c>
      <c r="K109" s="11" t="n">
        <v>45929</v>
      </c>
      <c r="L109" t="inlineStr">
        <is>
          <t>Ok. Devolvida</t>
        </is>
      </c>
      <c r="M109">
        <f>IF(L109="","",IFERROR(VLOOKUP(L109,mapGrupoStatus,2,0),"Outros"))</f>
        <v/>
      </c>
      <c r="N109">
        <f>IF(O109="","",IF(O109&lt;=30,"0-30 dias",IF(O109&lt;=60,"31-60 dias",IF(O109&lt;=90,"61-90 dias","Mais de 90 dias"))))</f>
        <v/>
      </c>
      <c r="O109">
        <f>IF(OR(M109="Pendente",M109="Em andamento"),IF(J109="","",TODAY()-J109),"")</f>
        <v/>
      </c>
      <c r="P109" t="n">
        <v>12280</v>
      </c>
      <c r="Q109" t="inlineStr">
        <is>
          <t>Termotec &amp; Cia (12280)</t>
        </is>
      </c>
      <c r="R109" t="inlineStr">
        <is>
          <t>PC-0031</t>
        </is>
      </c>
      <c r="S109" t="inlineStr">
        <is>
          <t>Serpentina modelo 03</t>
        </is>
      </c>
      <c r="T109" t="n">
        <v>1</v>
      </c>
      <c r="U109" t="n">
        <v>127</v>
      </c>
      <c r="V109">
        <f>IF(J109="","",MONTH(J109))</f>
        <v/>
      </c>
      <c r="W109">
        <f>IF(J109="","",YEAR(J109))</f>
        <v/>
      </c>
      <c r="X109" t="inlineStr">
        <is>
          <t>EntregaJá</t>
        </is>
      </c>
      <c r="Y109">
        <f>IFERROR(INDEX(Rastreio!$H$2:$H$200,MATCH(X109&amp;"|"&amp;U109,Rastreio!$A$2:$A$200,0)),"")</f>
        <v/>
      </c>
    </row>
    <row r="110">
      <c r="A110">
        <f>IFERROR(INDEX(STAs!$G$2:$G$61,MATCH(P110,STAs!$F$2:$F$61,0))&amp;"","")</f>
        <v/>
      </c>
      <c r="B110" t="n">
        <v>20022767</v>
      </c>
      <c r="C110" t="inlineStr">
        <is>
          <t>Sim</t>
        </is>
      </c>
      <c r="D110" t="inlineStr">
        <is>
          <t>SP</t>
        </is>
      </c>
      <c r="E110" t="inlineStr">
        <is>
          <t>SUDESTE SP</t>
        </is>
      </c>
      <c r="F110" t="inlineStr">
        <is>
          <t>Cliente C - Misturador</t>
        </is>
      </c>
      <c r="G110" t="inlineStr">
        <is>
          <t>Misturadores</t>
        </is>
      </c>
      <c r="H110" s="10" t="n">
        <v>35</v>
      </c>
      <c r="I110" s="10">
        <f>IFERROR(T110*H110,0)</f>
        <v/>
      </c>
      <c r="J110" s="11" t="n">
        <v>45922</v>
      </c>
      <c r="K110" s="11" t="n">
        <v>45960</v>
      </c>
      <c r="L110" t="inlineStr">
        <is>
          <t>Ok. Devolvida</t>
        </is>
      </c>
      <c r="M110">
        <f>IF(L110="","",IFERROR(VLOOKUP(L110,mapGrupoStatus,2,0),"Outros"))</f>
        <v/>
      </c>
      <c r="N110">
        <f>IF(O110="","",IF(O110&lt;=30,"0-30 dias",IF(O110&lt;=60,"31-60 dias",IF(O110&lt;=90,"61-90 dias","Mais de 90 dias"))))</f>
        <v/>
      </c>
      <c r="O110">
        <f>IF(OR(M110="Pendente",M110="Em andamento"),IF(J110="","",TODAY()-J110),"")</f>
        <v/>
      </c>
      <c r="P110" t="n">
        <v>10010</v>
      </c>
      <c r="Q110" t="inlineStr">
        <is>
          <t>Cool Service ME (10010)</t>
        </is>
      </c>
      <c r="R110" t="inlineStr">
        <is>
          <t>PC-0043</t>
        </is>
      </c>
      <c r="S110" t="inlineStr">
        <is>
          <t>Bico dosador modelo 02</t>
        </is>
      </c>
      <c r="T110" t="n">
        <v>3</v>
      </c>
      <c r="U110" t="n">
        <v>140</v>
      </c>
      <c r="V110">
        <f>IF(J110="","",MONTH(J110))</f>
        <v/>
      </c>
      <c r="W110">
        <f>IF(J110="","",YEAR(J110))</f>
        <v/>
      </c>
      <c r="X110" t="inlineStr">
        <is>
          <t>LogExpress</t>
        </is>
      </c>
      <c r="Y110">
        <f>IFERROR(INDEX(Rastreio!$H$2:$H$200,MATCH(X110&amp;"|"&amp;U110,Rastreio!$A$2:$A$200,0)),"")</f>
        <v/>
      </c>
    </row>
    <row r="111">
      <c r="A111">
        <f>IFERROR(INDEX(STAs!$G$2:$G$61,MATCH(P111,STAs!$F$2:$F$61,0))&amp;"","")</f>
        <v/>
      </c>
      <c r="B111" t="n">
        <v>20035619</v>
      </c>
      <c r="C111" t="inlineStr">
        <is>
          <t>Não</t>
        </is>
      </c>
      <c r="D111" t="inlineStr">
        <is>
          <t>ES</t>
        </is>
      </c>
      <c r="E111" t="inlineStr">
        <is>
          <t>SUDESTE RJ e ES</t>
        </is>
      </c>
      <c r="F111" t="inlineStr">
        <is>
          <t>Cliente B - Chopeira</t>
        </is>
      </c>
      <c r="G111" t="inlineStr">
        <is>
          <t>Refrigeradores</t>
        </is>
      </c>
      <c r="H111" s="10" t="n">
        <v>35</v>
      </c>
      <c r="I111" s="10">
        <f>IFERROR(T111*H111,0)</f>
        <v/>
      </c>
      <c r="J111" s="11" t="n">
        <v>45922</v>
      </c>
      <c r="K111" s="11" t="n">
        <v>45972</v>
      </c>
      <c r="L111" t="inlineStr">
        <is>
          <t>Ok. Devolvida</t>
        </is>
      </c>
      <c r="M111">
        <f>IF(L111="","",IFERROR(VLOOKUP(L111,mapGrupoStatus,2,0),"Outros"))</f>
        <v/>
      </c>
      <c r="N111">
        <f>IF(O111="","",IF(O111&lt;=30,"0-30 dias",IF(O111&lt;=60,"31-60 dias",IF(O111&lt;=90,"61-90 dias","Mais de 90 dias"))))</f>
        <v/>
      </c>
      <c r="O111">
        <f>IF(OR(M111="Pendente",M111="Em andamento"),IF(J111="","",TODAY()-J111),"")</f>
        <v/>
      </c>
      <c r="P111" t="n">
        <v>11396</v>
      </c>
      <c r="Q111" t="inlineStr">
        <is>
          <t>Frio Manutenção (11396)</t>
        </is>
      </c>
      <c r="R111" t="inlineStr">
        <is>
          <t>PC-0020</t>
        </is>
      </c>
      <c r="S111" t="inlineStr">
        <is>
          <t>Gaxeta da porta modelo 03</t>
        </is>
      </c>
      <c r="T111" t="n">
        <v>1</v>
      </c>
      <c r="U111" t="n">
        <v>162</v>
      </c>
      <c r="V111">
        <f>IF(J111="","",MONTH(J111))</f>
        <v/>
      </c>
      <c r="W111">
        <f>IF(J111="","",YEAR(J111))</f>
        <v/>
      </c>
      <c r="X111" t="inlineStr">
        <is>
          <t>CargoMax</t>
        </is>
      </c>
      <c r="Y111">
        <f>IFERROR(INDEX(Rastreio!$H$2:$H$200,MATCH(X111&amp;"|"&amp;U111,Rastreio!$A$2:$A$200,0)),"")</f>
        <v/>
      </c>
    </row>
    <row r="112">
      <c r="A112">
        <f>IFERROR(INDEX(STAs!$G$2:$G$61,MATCH(P112,STAs!$F$2:$F$61,0))&amp;"","")</f>
        <v/>
      </c>
      <c r="B112" t="n">
        <v>20037811</v>
      </c>
      <c r="C112" t="inlineStr">
        <is>
          <t>Não</t>
        </is>
      </c>
      <c r="D112" t="inlineStr">
        <is>
          <t>PA</t>
        </is>
      </c>
      <c r="E112" t="inlineStr">
        <is>
          <t>NORTE</t>
        </is>
      </c>
      <c r="F112" t="inlineStr">
        <is>
          <t>Cliente A - Refrigerador</t>
        </is>
      </c>
      <c r="G112" t="inlineStr">
        <is>
          <t>Misturadores</t>
        </is>
      </c>
      <c r="H112" s="10" t="n">
        <v>200</v>
      </c>
      <c r="I112" s="10">
        <f>IFERROR(T112*H112,0)</f>
        <v/>
      </c>
      <c r="J112" s="11" t="n">
        <v>45922</v>
      </c>
      <c r="K112" s="11" t="n"/>
      <c r="L112" t="inlineStr">
        <is>
          <t>Em andamento</t>
        </is>
      </c>
      <c r="M112">
        <f>IF(L112="","",IFERROR(VLOOKUP(L112,mapGrupoStatus,2,0),"Outros"))</f>
        <v/>
      </c>
      <c r="N112">
        <f>IF(O112="","",IF(O112&lt;=30,"0-30 dias",IF(O112&lt;=60,"31-60 dias",IF(O112&lt;=90,"61-90 dias","Mais de 90 dias"))))</f>
        <v/>
      </c>
      <c r="O112">
        <f>IF(OR(M112="Pendente",M112="Em andamento"),IF(J112="","",TODAY()-J112),"")</f>
        <v/>
      </c>
      <c r="P112" t="n">
        <v>11986</v>
      </c>
      <c r="Q112" t="inlineStr">
        <is>
          <t>Polar Serviços (11986)</t>
        </is>
      </c>
      <c r="R112" t="inlineStr">
        <is>
          <t>PC-0040</t>
        </is>
      </c>
      <c r="S112" t="inlineStr">
        <is>
          <t>Motor agitador modelo 01</t>
        </is>
      </c>
      <c r="T112" t="n">
        <v>1</v>
      </c>
      <c r="U112" t="n">
        <v>171</v>
      </c>
      <c r="V112">
        <f>IF(J112="","",MONTH(J112))</f>
        <v/>
      </c>
      <c r="W112">
        <f>IF(J112="","",YEAR(J112))</f>
        <v/>
      </c>
      <c r="X112" t="inlineStr">
        <is>
          <t>RotaSul</t>
        </is>
      </c>
      <c r="Y112">
        <f>IFERROR(INDEX(Rastreio!$H$2:$H$200,MATCH(X112&amp;"|"&amp;U112,Rastreio!$A$2:$A$200,0)),"")</f>
        <v/>
      </c>
    </row>
    <row r="113">
      <c r="A113">
        <f>IFERROR(INDEX(STAs!$G$2:$G$61,MATCH(P113,STAs!$F$2:$F$61,0))&amp;"","")</f>
        <v/>
      </c>
      <c r="B113" t="n">
        <v>20005738</v>
      </c>
      <c r="C113" t="inlineStr">
        <is>
          <t>Não</t>
        </is>
      </c>
      <c r="D113" t="inlineStr">
        <is>
          <t>ES</t>
        </is>
      </c>
      <c r="E113" t="inlineStr">
        <is>
          <t>SUDESTE RJ e ES</t>
        </is>
      </c>
      <c r="F113" t="inlineStr">
        <is>
          <t>Cliente B - Chopeira</t>
        </is>
      </c>
      <c r="G113" t="inlineStr">
        <is>
          <t>Refrigeradores</t>
        </is>
      </c>
      <c r="H113" s="10" t="n">
        <v>190</v>
      </c>
      <c r="I113" s="10">
        <f>IFERROR(T113*H113,0)</f>
        <v/>
      </c>
      <c r="J113" s="11" t="n">
        <v>45923</v>
      </c>
      <c r="K113" s="11" t="n"/>
      <c r="L113" t="inlineStr">
        <is>
          <t>Em transporte</t>
        </is>
      </c>
      <c r="M113">
        <f>IF(L113="","",IFERROR(VLOOKUP(L113,mapGrupoStatus,2,0),"Outros"))</f>
        <v/>
      </c>
      <c r="N113">
        <f>IF(O113="","",IF(O113&lt;=30,"0-30 dias",IF(O113&lt;=60,"31-60 dias",IF(O113&lt;=90,"61-90 dias","Mais de 90 dias"))))</f>
        <v/>
      </c>
      <c r="O113">
        <f>IF(OR(M113="Pendente",M113="Em andamento"),IF(J113="","",TODAY()-J113),"")</f>
        <v/>
      </c>
      <c r="P113" t="n">
        <v>11162</v>
      </c>
      <c r="Q113" t="inlineStr">
        <is>
          <t>Ártico Refrigeração (11162)</t>
        </is>
      </c>
      <c r="R113" t="inlineStr">
        <is>
          <t>PC-0011</t>
        </is>
      </c>
      <c r="S113" t="inlineStr">
        <is>
          <t>Placa eletrônica modelo 01</t>
        </is>
      </c>
      <c r="T113" t="n">
        <v>3</v>
      </c>
      <c r="U113" t="n">
        <v>110</v>
      </c>
      <c r="V113">
        <f>IF(J113="","",MONTH(J113))</f>
        <v/>
      </c>
      <c r="W113">
        <f>IF(J113="","",YEAR(J113))</f>
        <v/>
      </c>
      <c r="X113" t="inlineStr">
        <is>
          <t>EntregaJá</t>
        </is>
      </c>
      <c r="Y113">
        <f>IFERROR(INDEX(Rastreio!$H$2:$H$200,MATCH(X113&amp;"|"&amp;U113,Rastreio!$A$2:$A$200,0)),"")</f>
        <v/>
      </c>
    </row>
    <row r="114">
      <c r="A114">
        <f>IFERROR(INDEX(STAs!$G$2:$G$61,MATCH(P114,STAs!$F$2:$F$61,0))&amp;"","")</f>
        <v/>
      </c>
      <c r="B114" t="n">
        <v>20009802</v>
      </c>
      <c r="C114" t="inlineStr">
        <is>
          <t>Não</t>
        </is>
      </c>
      <c r="D114" t="inlineStr">
        <is>
          <t>MG</t>
        </is>
      </c>
      <c r="E114" t="inlineStr">
        <is>
          <t>SUDESTE MG</t>
        </is>
      </c>
      <c r="F114" t="inlineStr">
        <is>
          <t>Cliente A - Refrigerador</t>
        </is>
      </c>
      <c r="G114" t="inlineStr">
        <is>
          <t>Chopeiras</t>
        </is>
      </c>
      <c r="H114" s="10" t="n">
        <v>210</v>
      </c>
      <c r="I114" s="10">
        <f>IFERROR(T114*H114,0)</f>
        <v/>
      </c>
      <c r="J114" s="11" t="n">
        <v>45923</v>
      </c>
      <c r="K114" s="11" t="n">
        <v>45969</v>
      </c>
      <c r="L114" t="inlineStr">
        <is>
          <t>Ok. Devolvida</t>
        </is>
      </c>
      <c r="M114">
        <f>IF(L114="","",IFERROR(VLOOKUP(L114,mapGrupoStatus,2,0),"Outros"))</f>
        <v/>
      </c>
      <c r="N114">
        <f>IF(O114="","",IF(O114&lt;=30,"0-30 dias",IF(O114&lt;=60,"31-60 dias",IF(O114&lt;=90,"61-90 dias","Mais de 90 dias"))))</f>
        <v/>
      </c>
      <c r="O114">
        <f>IF(OR(M114="Pendente",M114="Em andamento"),IF(J114="","",TODAY()-J114),"")</f>
        <v/>
      </c>
      <c r="P114" t="n">
        <v>11619</v>
      </c>
      <c r="Q114" t="inlineStr">
        <is>
          <t>Refrigeração Ltda (11619)</t>
        </is>
      </c>
      <c r="R114" t="inlineStr">
        <is>
          <t>PC-0029</t>
        </is>
      </c>
      <c r="S114" t="inlineStr">
        <is>
          <t>Serpentina modelo 01</t>
        </is>
      </c>
      <c r="T114" t="n">
        <v>2</v>
      </c>
      <c r="U114" t="n">
        <v>117</v>
      </c>
      <c r="V114">
        <f>IF(J114="","",MONTH(J114))</f>
        <v/>
      </c>
      <c r="W114">
        <f>IF(J114="","",YEAR(J114))</f>
        <v/>
      </c>
      <c r="X114" t="inlineStr">
        <is>
          <t>TransNorte</t>
        </is>
      </c>
      <c r="Y114">
        <f>IFERROR(INDEX(Rastreio!$H$2:$H$200,MATCH(X114&amp;"|"&amp;U114,Rastreio!$A$2:$A$200,0)),"")</f>
        <v/>
      </c>
    </row>
    <row r="115">
      <c r="A115">
        <f>IFERROR(INDEX(STAs!$G$2:$G$61,MATCH(P115,STAs!$F$2:$F$61,0))&amp;"","")</f>
        <v/>
      </c>
      <c r="B115" t="n">
        <v>20010650</v>
      </c>
      <c r="C115" t="inlineStr">
        <is>
          <t>Sim</t>
        </is>
      </c>
      <c r="D115" t="inlineStr">
        <is>
          <t>GO</t>
        </is>
      </c>
      <c r="E115" t="inlineStr">
        <is>
          <t>CENTRO OESTE</t>
        </is>
      </c>
      <c r="F115" t="inlineStr">
        <is>
          <t>Cliente B - Chopeira</t>
        </is>
      </c>
      <c r="G115" t="inlineStr">
        <is>
          <t>Chopeiras</t>
        </is>
      </c>
      <c r="H115" s="10" t="n">
        <v>100</v>
      </c>
      <c r="I115" s="10">
        <f>IFERROR(T115*H115,0)</f>
        <v/>
      </c>
      <c r="J115" s="11" t="n">
        <v>45923</v>
      </c>
      <c r="K115" s="11" t="n"/>
      <c r="L115" t="inlineStr">
        <is>
          <t>Em andamento</t>
        </is>
      </c>
      <c r="M115">
        <f>IF(L115="","",IFERROR(VLOOKUP(L115,mapGrupoStatus,2,0),"Outros"))</f>
        <v/>
      </c>
      <c r="N115">
        <f>IF(O115="","",IF(O115&lt;=30,"0-30 dias",IF(O115&lt;=60,"31-60 dias",IF(O115&lt;=90,"61-90 dias","Mais de 90 dias"))))</f>
        <v/>
      </c>
      <c r="O115">
        <f>IF(OR(M115="Pendente",M115="Em andamento"),IF(J115="","",TODAY()-J115),"")</f>
        <v/>
      </c>
      <c r="P115" t="n">
        <v>11677</v>
      </c>
      <c r="Q115" t="inlineStr">
        <is>
          <t>Cool Service Manutenção (11677)</t>
        </is>
      </c>
      <c r="R115" t="inlineStr">
        <is>
          <t>PC-0027</t>
        </is>
      </c>
      <c r="S115" t="inlineStr">
        <is>
          <t>Torneira de chopp modelo 02</t>
        </is>
      </c>
      <c r="T115" t="n">
        <v>1</v>
      </c>
      <c r="U115" t="n">
        <v>118</v>
      </c>
      <c r="V115">
        <f>IF(J115="","",MONTH(J115))</f>
        <v/>
      </c>
      <c r="W115">
        <f>IF(J115="","",YEAR(J115))</f>
        <v/>
      </c>
      <c r="X115" t="inlineStr">
        <is>
          <t>RotaSul</t>
        </is>
      </c>
      <c r="Y115">
        <f>IFERROR(INDEX(Rastreio!$H$2:$H$200,MATCH(X115&amp;"|"&amp;U115,Rastreio!$A$2:$A$200,0)),"")</f>
        <v/>
      </c>
    </row>
    <row r="116">
      <c r="A116">
        <f>IFERROR(INDEX(STAs!$G$2:$G$61,MATCH(P116,STAs!$F$2:$F$61,0))&amp;"","")</f>
        <v/>
      </c>
      <c r="B116" t="n">
        <v>20012192</v>
      </c>
      <c r="C116" t="inlineStr">
        <is>
          <t>Sim</t>
        </is>
      </c>
      <c r="D116" t="inlineStr">
        <is>
          <t>GO</t>
        </is>
      </c>
      <c r="E116" t="inlineStr">
        <is>
          <t>CENTRO OESTE</t>
        </is>
      </c>
      <c r="F116" t="inlineStr">
        <is>
          <t>Cliente A - Refrigerador</t>
        </is>
      </c>
      <c r="G116" t="inlineStr">
        <is>
          <t>Misturadores</t>
        </is>
      </c>
      <c r="H116" s="10" t="n">
        <v>35</v>
      </c>
      <c r="I116" s="10">
        <f>IFERROR(T116*H116,0)</f>
        <v/>
      </c>
      <c r="J116" s="11" t="n">
        <v>45923</v>
      </c>
      <c r="K116" s="11" t="n"/>
      <c r="L116" t="inlineStr">
        <is>
          <t>Aguardando devolução</t>
        </is>
      </c>
      <c r="M116">
        <f>IF(L116="","",IFERROR(VLOOKUP(L116,mapGrupoStatus,2,0),"Outros"))</f>
        <v/>
      </c>
      <c r="N116">
        <f>IF(O116="","",IF(O116&lt;=30,"0-30 dias",IF(O116&lt;=60,"31-60 dias",IF(O116&lt;=90,"61-90 dias","Mais de 90 dias"))))</f>
        <v/>
      </c>
      <c r="O116">
        <f>IF(OR(M116="Pendente",M116="Em andamento"),IF(J116="","",TODAY()-J116),"")</f>
        <v/>
      </c>
      <c r="P116" t="n">
        <v>11677</v>
      </c>
      <c r="Q116" t="inlineStr">
        <is>
          <t>Cool Service Manutenção (11677)</t>
        </is>
      </c>
      <c r="R116" t="inlineStr">
        <is>
          <t>PC-0043</t>
        </is>
      </c>
      <c r="S116" t="inlineStr">
        <is>
          <t>Bico dosador modelo 02</t>
        </is>
      </c>
      <c r="T116" t="n">
        <v>1</v>
      </c>
      <c r="U116" t="inlineStr"/>
      <c r="V116">
        <f>IF(J116="","",MONTH(J116))</f>
        <v/>
      </c>
      <c r="W116">
        <f>IF(J116="","",YEAR(J116))</f>
        <v/>
      </c>
      <c r="X116" t="inlineStr"/>
      <c r="Y116">
        <f>IFERROR(INDEX(Rastreio!$H$2:$H$200,MATCH(X116&amp;"|"&amp;U116,Rastreio!$A$2:$A$200,0)),"")</f>
        <v/>
      </c>
    </row>
    <row r="117">
      <c r="A117">
        <f>IFERROR(INDEX(STAs!$G$2:$G$61,MATCH(P117,STAs!$F$2:$F$61,0))&amp;"","")</f>
        <v/>
      </c>
      <c r="B117" t="n">
        <v>20021153</v>
      </c>
      <c r="C117" t="inlineStr">
        <is>
          <t>Não</t>
        </is>
      </c>
      <c r="D117" t="inlineStr">
        <is>
          <t>PA</t>
        </is>
      </c>
      <c r="E117" t="inlineStr">
        <is>
          <t>NORTE</t>
        </is>
      </c>
      <c r="F117" t="inlineStr">
        <is>
          <t>Cliente B - Chopeira</t>
        </is>
      </c>
      <c r="G117" t="inlineStr">
        <is>
          <t>Misturadores</t>
        </is>
      </c>
      <c r="H117" s="10" t="n">
        <v>265</v>
      </c>
      <c r="I117" s="10">
        <f>IFERROR(T117*H117,0)</f>
        <v/>
      </c>
      <c r="J117" s="11" t="n">
        <v>45923</v>
      </c>
      <c r="K117" s="11" t="n"/>
      <c r="L117" t="inlineStr">
        <is>
          <t>Não Devolve-Norte</t>
        </is>
      </c>
      <c r="M117">
        <f>IF(L117="","",IFERROR(VLOOKUP(L117,mapGrupoStatus,2,0),"Outros"))</f>
        <v/>
      </c>
      <c r="N117">
        <f>IF(O117="","",IF(O117&lt;=30,"0-30 dias",IF(O117&lt;=60,"31-60 dias",IF(O117&lt;=90,"61-90 dias","Mais de 90 dias"))))</f>
        <v/>
      </c>
      <c r="O117">
        <f>IF(OR(M117="Pendente",M117="Em andamento"),IF(J117="","",TODAY()-J117),"")</f>
        <v/>
      </c>
      <c r="P117" t="n">
        <v>11986</v>
      </c>
      <c r="Q117" t="inlineStr">
        <is>
          <t>Polar Serviços (11986)</t>
        </is>
      </c>
      <c r="R117" t="inlineStr">
        <is>
          <t>PC-0038</t>
        </is>
      </c>
      <c r="S117" t="inlineStr">
        <is>
          <t>Bomba de recirculação modelo 02</t>
        </is>
      </c>
      <c r="T117" t="n">
        <v>1</v>
      </c>
      <c r="U117" t="inlineStr"/>
      <c r="V117">
        <f>IF(J117="","",MONTH(J117))</f>
        <v/>
      </c>
      <c r="W117">
        <f>IF(J117="","",YEAR(J117))</f>
        <v/>
      </c>
      <c r="X117" t="inlineStr"/>
      <c r="Y117">
        <f>IFERROR(INDEX(Rastreio!$H$2:$H$200,MATCH(X117&amp;"|"&amp;U117,Rastreio!$A$2:$A$200,0)),"")</f>
        <v/>
      </c>
    </row>
    <row r="118">
      <c r="A118">
        <f>IFERROR(INDEX(STAs!$G$2:$G$61,MATCH(P118,STAs!$F$2:$F$61,0))&amp;"","")</f>
        <v/>
      </c>
      <c r="B118" t="n">
        <v>20031145</v>
      </c>
      <c r="C118" t="inlineStr">
        <is>
          <t>Não</t>
        </is>
      </c>
      <c r="D118" t="inlineStr">
        <is>
          <t>SP</t>
        </is>
      </c>
      <c r="E118" t="inlineStr">
        <is>
          <t>SUDESTE SP</t>
        </is>
      </c>
      <c r="F118" t="inlineStr">
        <is>
          <t>Cliente C - Misturador</t>
        </is>
      </c>
      <c r="G118" t="inlineStr">
        <is>
          <t>Chopeiras</t>
        </is>
      </c>
      <c r="H118" s="10" t="n">
        <v>120</v>
      </c>
      <c r="I118" s="10">
        <f>IFERROR(T118*H118,0)</f>
        <v/>
      </c>
      <c r="J118" s="11" t="n">
        <v>45923</v>
      </c>
      <c r="K118" s="11" t="n">
        <v>45955</v>
      </c>
      <c r="L118" t="inlineStr">
        <is>
          <t>Ok. Devolvida</t>
        </is>
      </c>
      <c r="M118">
        <f>IF(L118="","",IFERROR(VLOOKUP(L118,mapGrupoStatus,2,0),"Outros"))</f>
        <v/>
      </c>
      <c r="N118">
        <f>IF(O118="","",IF(O118&lt;=30,"0-30 dias",IF(O118&lt;=60,"31-60 dias",IF(O118&lt;=90,"61-90 dias","Mais de 90 dias"))))</f>
        <v/>
      </c>
      <c r="O118">
        <f>IF(OR(M118="Pendente",M118="Em andamento"),IF(J118="","",TODAY()-J118),"")</f>
        <v/>
      </c>
      <c r="P118" t="n">
        <v>10413</v>
      </c>
      <c r="Q118" t="inlineStr">
        <is>
          <t>Polar Manutenção (10413)</t>
        </is>
      </c>
      <c r="R118" t="inlineStr">
        <is>
          <t>PC-0032</t>
        </is>
      </c>
      <c r="S118" t="inlineStr">
        <is>
          <t>Regulador de pressão modelo 01</t>
        </is>
      </c>
      <c r="T118" t="n">
        <v>1</v>
      </c>
      <c r="U118" t="n">
        <v>158</v>
      </c>
      <c r="V118">
        <f>IF(J118="","",MONTH(J118))</f>
        <v/>
      </c>
      <c r="W118">
        <f>IF(J118="","",YEAR(J118))</f>
        <v/>
      </c>
      <c r="X118" t="inlineStr">
        <is>
          <t>LogExpress</t>
        </is>
      </c>
      <c r="Y118">
        <f>IFERROR(INDEX(Rastreio!$H$2:$H$200,MATCH(X118&amp;"|"&amp;U118,Rastreio!$A$2:$A$200,0)),"")</f>
        <v/>
      </c>
    </row>
    <row r="119">
      <c r="A119">
        <f>IFERROR(INDEX(STAs!$G$2:$G$61,MATCH(P119,STAs!$F$2:$F$61,0))&amp;"","")</f>
        <v/>
      </c>
      <c r="B119" t="n">
        <v>20001425</v>
      </c>
      <c r="C119" t="inlineStr">
        <is>
          <t>Não</t>
        </is>
      </c>
      <c r="D119" t="inlineStr">
        <is>
          <t>SP</t>
        </is>
      </c>
      <c r="E119" t="inlineStr">
        <is>
          <t>SUDESTE SP</t>
        </is>
      </c>
      <c r="F119" t="inlineStr">
        <is>
          <t>Cliente B - Chopeira</t>
        </is>
      </c>
      <c r="G119" t="inlineStr">
        <is>
          <t>Refrigeradores</t>
        </is>
      </c>
      <c r="H119" s="10" t="n">
        <v>55</v>
      </c>
      <c r="I119" s="10">
        <f>IFERROR(T119*H119,0)</f>
        <v/>
      </c>
      <c r="J119" s="11" t="n">
        <v>45924</v>
      </c>
      <c r="K119" s="11" t="n"/>
      <c r="L119" t="inlineStr">
        <is>
          <t>Debitar do STA</t>
        </is>
      </c>
      <c r="M119">
        <f>IF(L119="","",IFERROR(VLOOKUP(L119,mapGrupoStatus,2,0),"Outros"))</f>
        <v/>
      </c>
      <c r="N119">
        <f>IF(O119="","",IF(O119&lt;=30,"0-30 dias",IF(O119&lt;=60,"31-60 dias",IF(O119&lt;=90,"61-90 dias","Mais de 90 dias"))))</f>
        <v/>
      </c>
      <c r="O119">
        <f>IF(OR(M119="Pendente",M119="Em andamento"),IF(J119="","",TODAY()-J119),"")</f>
        <v/>
      </c>
      <c r="P119" t="n">
        <v>11365</v>
      </c>
      <c r="Q119" t="inlineStr">
        <is>
          <t>Ártico Express (11365)</t>
        </is>
      </c>
      <c r="R119" t="inlineStr">
        <is>
          <t>PC-0008</t>
        </is>
      </c>
      <c r="S119" t="inlineStr">
        <is>
          <t>Ventilador modelo 02</t>
        </is>
      </c>
      <c r="T119" t="n">
        <v>3</v>
      </c>
      <c r="U119" t="inlineStr"/>
      <c r="V119">
        <f>IF(J119="","",MONTH(J119))</f>
        <v/>
      </c>
      <c r="W119">
        <f>IF(J119="","",YEAR(J119))</f>
        <v/>
      </c>
      <c r="X119" t="inlineStr"/>
      <c r="Y119">
        <f>IFERROR(INDEX(Rastreio!$H$2:$H$200,MATCH(X119&amp;"|"&amp;U119,Rastreio!$A$2:$A$200,0)),"")</f>
        <v/>
      </c>
    </row>
    <row r="120">
      <c r="A120">
        <f>IFERROR(INDEX(STAs!$G$2:$G$61,MATCH(P120,STAs!$F$2:$F$61,0))&amp;"","")</f>
        <v/>
      </c>
      <c r="B120" t="n">
        <v>20003346</v>
      </c>
      <c r="C120" t="inlineStr">
        <is>
          <t>Não</t>
        </is>
      </c>
      <c r="D120" t="inlineStr">
        <is>
          <t>MG</t>
        </is>
      </c>
      <c r="E120" t="inlineStr">
        <is>
          <t>SUDESTE MG</t>
        </is>
      </c>
      <c r="F120" t="inlineStr">
        <is>
          <t>Cliente C - Misturador</t>
        </is>
      </c>
      <c r="G120" t="inlineStr">
        <is>
          <t>Refrigeradores</t>
        </is>
      </c>
      <c r="H120" s="10" t="n">
        <v>315</v>
      </c>
      <c r="I120" s="10">
        <f>IFERROR(T120*H120,0)</f>
        <v/>
      </c>
      <c r="J120" s="11" t="n">
        <v>45924</v>
      </c>
      <c r="K120" s="11" t="n"/>
      <c r="L120" t="inlineStr">
        <is>
          <t>Debitar do STA</t>
        </is>
      </c>
      <c r="M120">
        <f>IF(L120="","",IFERROR(VLOOKUP(L120,mapGrupoStatus,2,0),"Outros"))</f>
        <v/>
      </c>
      <c r="N120">
        <f>IF(O120="","",IF(O120&lt;=30,"0-30 dias",IF(O120&lt;=60,"31-60 dias",IF(O120&lt;=90,"61-90 dias","Mais de 90 dias"))))</f>
        <v/>
      </c>
      <c r="O120">
        <f>IF(OR(M120="Pendente",M120="Em andamento"),IF(J120="","",TODAY()-J120),"")</f>
        <v/>
      </c>
      <c r="P120" t="n">
        <v>12689</v>
      </c>
      <c r="Q120" t="inlineStr">
        <is>
          <t>Norte Frio Manutenção (12689)</t>
        </is>
      </c>
      <c r="R120" t="inlineStr">
        <is>
          <t>PC-0002</t>
        </is>
      </c>
      <c r="S120" t="inlineStr">
        <is>
          <t>Compressor modelo 02</t>
        </is>
      </c>
      <c r="T120" t="n">
        <v>1</v>
      </c>
      <c r="U120" t="inlineStr"/>
      <c r="V120">
        <f>IF(J120="","",MONTH(J120))</f>
        <v/>
      </c>
      <c r="W120">
        <f>IF(J120="","",YEAR(J120))</f>
        <v/>
      </c>
      <c r="X120" t="inlineStr"/>
      <c r="Y120">
        <f>IFERROR(INDEX(Rastreio!$H$2:$H$200,MATCH(X120&amp;"|"&amp;U120,Rastreio!$A$2:$A$200,0)),"")</f>
        <v/>
      </c>
    </row>
    <row r="121">
      <c r="A121">
        <f>IFERROR(INDEX(STAs!$G$2:$G$61,MATCH(P121,STAs!$F$2:$F$61,0))&amp;"","")</f>
        <v/>
      </c>
      <c r="B121" t="n">
        <v>20003625</v>
      </c>
      <c r="C121" t="inlineStr">
        <is>
          <t>Não</t>
        </is>
      </c>
      <c r="D121" t="inlineStr">
        <is>
          <t>PE</t>
        </is>
      </c>
      <c r="E121" t="inlineStr">
        <is>
          <t>NORDESTE</t>
        </is>
      </c>
      <c r="F121" t="inlineStr">
        <is>
          <t>Cliente C - Misturador</t>
        </is>
      </c>
      <c r="G121" t="inlineStr">
        <is>
          <t>Chopeiras</t>
        </is>
      </c>
      <c r="H121" s="10" t="n">
        <v>115</v>
      </c>
      <c r="I121" s="10">
        <f>IFERROR(T121*H121,0)</f>
        <v/>
      </c>
      <c r="J121" s="11" t="n">
        <v>45924</v>
      </c>
      <c r="K121" s="11" t="n">
        <v>45974</v>
      </c>
      <c r="L121" t="inlineStr">
        <is>
          <t>Ok. Devolvida</t>
        </is>
      </c>
      <c r="M121">
        <f>IF(L121="","",IFERROR(VLOOKUP(L121,mapGrupoStatus,2,0),"Outros"))</f>
        <v/>
      </c>
      <c r="N121">
        <f>IF(O121="","",IF(O121&lt;=30,"0-30 dias",IF(O121&lt;=60,"31-60 dias",IF(O121&lt;=90,"61-90 dias","Mais de 90 dias"))))</f>
        <v/>
      </c>
      <c r="O121">
        <f>IF(OR(M121="Pendente",M121="Em andamento"),IF(J121="","",TODAY()-J121),"")</f>
        <v/>
      </c>
      <c r="P121" t="n">
        <v>11352</v>
      </c>
      <c r="Q121" t="inlineStr">
        <is>
          <t>Frio Express (11352)</t>
        </is>
      </c>
      <c r="R121" t="inlineStr">
        <is>
          <t>PC-0033</t>
        </is>
      </c>
      <c r="S121" t="inlineStr">
        <is>
          <t>Regulador de pressão modelo 02</t>
        </is>
      </c>
      <c r="T121" t="n">
        <v>1</v>
      </c>
      <c r="U121" t="n">
        <v>109</v>
      </c>
      <c r="V121">
        <f>IF(J121="","",MONTH(J121))</f>
        <v/>
      </c>
      <c r="W121">
        <f>IF(J121="","",YEAR(J121))</f>
        <v/>
      </c>
      <c r="X121" t="inlineStr">
        <is>
          <t>ViaCargo</t>
        </is>
      </c>
      <c r="Y121">
        <f>IFERROR(INDEX(Rastreio!$H$2:$H$200,MATCH(X121&amp;"|"&amp;U121,Rastreio!$A$2:$A$200,0)),"")</f>
        <v/>
      </c>
    </row>
    <row r="122">
      <c r="A122">
        <f>IFERROR(INDEX(STAs!$G$2:$G$61,MATCH(P122,STAs!$F$2:$F$61,0))&amp;"","")</f>
        <v/>
      </c>
      <c r="B122" t="n">
        <v>20004905</v>
      </c>
      <c r="C122" t="inlineStr">
        <is>
          <t>Não</t>
        </is>
      </c>
      <c r="D122" t="inlineStr">
        <is>
          <t>BA</t>
        </is>
      </c>
      <c r="E122" t="inlineStr">
        <is>
          <t>NORDESTE</t>
        </is>
      </c>
      <c r="F122" t="inlineStr">
        <is>
          <t>Cliente A - Refrigerador</t>
        </is>
      </c>
      <c r="G122" t="inlineStr">
        <is>
          <t>Refrigeradores</t>
        </is>
      </c>
      <c r="H122" s="10" t="n">
        <v>155</v>
      </c>
      <c r="I122" s="10">
        <f>IFERROR(T122*H122,0)</f>
        <v/>
      </c>
      <c r="J122" s="11" t="n">
        <v>45924</v>
      </c>
      <c r="K122" s="11" t="n"/>
      <c r="L122" t="inlineStr">
        <is>
          <t>Em transporte</t>
        </is>
      </c>
      <c r="M122">
        <f>IF(L122="","",IFERROR(VLOOKUP(L122,mapGrupoStatus,2,0),"Outros"))</f>
        <v/>
      </c>
      <c r="N122">
        <f>IF(O122="","",IF(O122&lt;=30,"0-30 dias",IF(O122&lt;=60,"31-60 dias",IF(O122&lt;=90,"61-90 dias","Mais de 90 dias"))))</f>
        <v/>
      </c>
      <c r="O122">
        <f>IF(OR(M122="Pendente",M122="Em andamento"),IF(J122="","",TODAY()-J122),"")</f>
        <v/>
      </c>
      <c r="P122" t="n">
        <v>11244</v>
      </c>
      <c r="Q122" t="inlineStr">
        <is>
          <t>Refrigeração Manutenção (11244)</t>
        </is>
      </c>
      <c r="R122" t="inlineStr">
        <is>
          <t>PC-0021</t>
        </is>
      </c>
      <c r="S122" t="inlineStr">
        <is>
          <t>Controlador digital modelo 01</t>
        </is>
      </c>
      <c r="T122" t="n">
        <v>1</v>
      </c>
      <c r="U122" t="n">
        <v>107</v>
      </c>
      <c r="V122">
        <f>IF(J122="","",MONTH(J122))</f>
        <v/>
      </c>
      <c r="W122">
        <f>IF(J122="","",YEAR(J122))</f>
        <v/>
      </c>
      <c r="X122" t="inlineStr">
        <is>
          <t>TransNorte</t>
        </is>
      </c>
      <c r="Y122">
        <f>IFERROR(INDEX(Rastreio!$H$2:$H$200,MATCH(X122&amp;"|"&amp;U122,Rastreio!$A$2:$A$200,0)),"")</f>
        <v/>
      </c>
    </row>
    <row r="123">
      <c r="A123">
        <f>IFERROR(INDEX(STAs!$G$2:$G$61,MATCH(P123,STAs!$F$2:$F$61,0))&amp;"","")</f>
        <v/>
      </c>
      <c r="B123" t="n">
        <v>20028004</v>
      </c>
      <c r="C123" t="inlineStr">
        <is>
          <t>Não</t>
        </is>
      </c>
      <c r="D123" t="inlineStr">
        <is>
          <t>PR</t>
        </is>
      </c>
      <c r="E123" t="inlineStr">
        <is>
          <t>SUL</t>
        </is>
      </c>
      <c r="F123" t="inlineStr">
        <is>
          <t>Cliente C - Misturador</t>
        </is>
      </c>
      <c r="G123" t="inlineStr">
        <is>
          <t>Chopeiras</t>
        </is>
      </c>
      <c r="H123" s="10" t="n">
        <v>85</v>
      </c>
      <c r="I123" s="10">
        <f>IFERROR(T123*H123,0)</f>
        <v/>
      </c>
      <c r="J123" s="11" t="n">
        <v>45924</v>
      </c>
      <c r="K123" s="11" t="n">
        <v>45975</v>
      </c>
      <c r="L123" t="inlineStr">
        <is>
          <t>Ok. Devolvida</t>
        </is>
      </c>
      <c r="M123">
        <f>IF(L123="","",IFERROR(VLOOKUP(L123,mapGrupoStatus,2,0),"Outros"))</f>
        <v/>
      </c>
      <c r="N123">
        <f>IF(O123="","",IF(O123&lt;=30,"0-30 dias",IF(O123&lt;=60,"31-60 dias",IF(O123&lt;=90,"61-90 dias","Mais de 90 dias"))))</f>
        <v/>
      </c>
      <c r="O123">
        <f>IF(OR(M123="Pendente",M123="Em andamento"),IF(J123="","",TODAY()-J123),"")</f>
        <v/>
      </c>
      <c r="P123" t="n">
        <v>11898</v>
      </c>
      <c r="Q123" t="inlineStr">
        <is>
          <t>Refrigel Express (11898)</t>
        </is>
      </c>
      <c r="R123" t="inlineStr">
        <is>
          <t>PC-0026</t>
        </is>
      </c>
      <c r="S123" t="inlineStr">
        <is>
          <t>Torneira de chopp modelo 01</t>
        </is>
      </c>
      <c r="T123" t="n">
        <v>1</v>
      </c>
      <c r="U123" t="n">
        <v>149</v>
      </c>
      <c r="V123">
        <f>IF(J123="","",MONTH(J123))</f>
        <v/>
      </c>
      <c r="W123">
        <f>IF(J123="","",YEAR(J123))</f>
        <v/>
      </c>
      <c r="X123" t="inlineStr">
        <is>
          <t>TransNorte</t>
        </is>
      </c>
      <c r="Y123">
        <f>IFERROR(INDEX(Rastreio!$H$2:$H$200,MATCH(X123&amp;"|"&amp;U123,Rastreio!$A$2:$A$200,0)),"")</f>
        <v/>
      </c>
    </row>
    <row r="124">
      <c r="A124">
        <f>IFERROR(INDEX(STAs!$G$2:$G$61,MATCH(P124,STAs!$F$2:$F$61,0))&amp;"","")</f>
        <v/>
      </c>
      <c r="B124" t="n">
        <v>20028474</v>
      </c>
      <c r="C124" t="inlineStr">
        <is>
          <t>Não</t>
        </is>
      </c>
      <c r="D124" t="inlineStr">
        <is>
          <t>RR</t>
        </is>
      </c>
      <c r="E124" t="inlineStr">
        <is>
          <t>NORTE</t>
        </is>
      </c>
      <c r="F124" t="inlineStr">
        <is>
          <t>Cliente C - Misturador</t>
        </is>
      </c>
      <c r="G124" t="inlineStr">
        <is>
          <t>Chopeiras</t>
        </is>
      </c>
      <c r="H124" s="10" t="n">
        <v>85</v>
      </c>
      <c r="I124" s="10">
        <f>IFERROR(T124*H124,0)</f>
        <v/>
      </c>
      <c r="J124" s="11" t="n">
        <v>45924</v>
      </c>
      <c r="K124" s="11" t="n"/>
      <c r="L124" t="inlineStr">
        <is>
          <t>Não Devolve-Norte</t>
        </is>
      </c>
      <c r="M124">
        <f>IF(L124="","",IFERROR(VLOOKUP(L124,mapGrupoStatus,2,0),"Outros"))</f>
        <v/>
      </c>
      <c r="N124">
        <f>IF(O124="","",IF(O124&lt;=30,"0-30 dias",IF(O124&lt;=60,"31-60 dias",IF(O124&lt;=90,"61-90 dias","Mais de 90 dias"))))</f>
        <v/>
      </c>
      <c r="O124">
        <f>IF(OR(M124="Pendente",M124="Em andamento"),IF(J124="","",TODAY()-J124),"")</f>
        <v/>
      </c>
      <c r="P124" t="n">
        <v>12422</v>
      </c>
      <c r="Q124" t="inlineStr">
        <is>
          <t>Assistência Técnica Refrigeração (12422)</t>
        </is>
      </c>
      <c r="R124" t="inlineStr">
        <is>
          <t>PC-0035</t>
        </is>
      </c>
      <c r="S124" t="inlineStr">
        <is>
          <t>Válvula extratora modelo 01</t>
        </is>
      </c>
      <c r="T124" t="n">
        <v>1</v>
      </c>
      <c r="U124" t="inlineStr"/>
      <c r="V124">
        <f>IF(J124="","",MONTH(J124))</f>
        <v/>
      </c>
      <c r="W124">
        <f>IF(J124="","",YEAR(J124))</f>
        <v/>
      </c>
      <c r="X124" t="inlineStr"/>
      <c r="Y124">
        <f>IFERROR(INDEX(Rastreio!$H$2:$H$200,MATCH(X124&amp;"|"&amp;U124,Rastreio!$A$2:$A$200,0)),"")</f>
        <v/>
      </c>
    </row>
    <row r="125">
      <c r="A125">
        <f>IFERROR(INDEX(STAs!$G$2:$G$61,MATCH(P125,STAs!$F$2:$F$61,0))&amp;"","")</f>
        <v/>
      </c>
      <c r="B125" t="n">
        <v>20007672</v>
      </c>
      <c r="C125" t="inlineStr">
        <is>
          <t>Não</t>
        </is>
      </c>
      <c r="D125" t="inlineStr">
        <is>
          <t>GO</t>
        </is>
      </c>
      <c r="E125" t="inlineStr">
        <is>
          <t>CENTRO OESTE</t>
        </is>
      </c>
      <c r="F125" t="inlineStr">
        <is>
          <t>Cliente B - Chopeira</t>
        </is>
      </c>
      <c r="G125" t="inlineStr">
        <is>
          <t>Misturadores</t>
        </is>
      </c>
      <c r="H125" s="10" t="n">
        <v>50</v>
      </c>
      <c r="I125" s="10">
        <f>IFERROR(T125*H125,0)</f>
        <v/>
      </c>
      <c r="J125" s="11" t="n">
        <v>45925</v>
      </c>
      <c r="K125" s="11" t="n">
        <v>45976</v>
      </c>
      <c r="L125" t="inlineStr">
        <is>
          <t>Ok. Devolvida</t>
        </is>
      </c>
      <c r="M125">
        <f>IF(L125="","",IFERROR(VLOOKUP(L125,mapGrupoStatus,2,0),"Outros"))</f>
        <v/>
      </c>
      <c r="N125">
        <f>IF(O125="","",IF(O125&lt;=30,"0-30 dias",IF(O125&lt;=60,"31-60 dias",IF(O125&lt;=90,"61-90 dias","Mais de 90 dias"))))</f>
        <v/>
      </c>
      <c r="O125">
        <f>IF(OR(M125="Pendente",M125="Em andamento"),IF(J125="","",TODAY()-J125),"")</f>
        <v/>
      </c>
      <c r="P125" t="n">
        <v>10317</v>
      </c>
      <c r="Q125" t="inlineStr">
        <is>
          <t>Termotec Manutenção (10317)</t>
        </is>
      </c>
      <c r="R125" t="inlineStr">
        <is>
          <t>PC-0047</t>
        </is>
      </c>
      <c r="S125" t="inlineStr">
        <is>
          <t>Sensor de nível modelo 03</t>
        </is>
      </c>
      <c r="T125" t="n">
        <v>1</v>
      </c>
      <c r="U125" t="n">
        <v>113</v>
      </c>
      <c r="V125">
        <f>IF(J125="","",MONTH(J125))</f>
        <v/>
      </c>
      <c r="W125">
        <f>IF(J125="","",YEAR(J125))</f>
        <v/>
      </c>
      <c r="X125" t="inlineStr">
        <is>
          <t>RotaSul</t>
        </is>
      </c>
      <c r="Y125">
        <f>IFERROR(INDEX(Rastreio!$H$2:$H$200,MATCH(X125&amp;"|"&amp;U125,Rastreio!$A$2:$A$200,0)),"")</f>
        <v/>
      </c>
    </row>
    <row r="126">
      <c r="A126">
        <f>IFERROR(INDEX(STAs!$G$2:$G$61,MATCH(P126,STAs!$F$2:$F$61,0))&amp;"","")</f>
        <v/>
      </c>
      <c r="B126" t="n">
        <v>20000014</v>
      </c>
      <c r="C126" t="inlineStr">
        <is>
          <t>Não</t>
        </is>
      </c>
      <c r="D126" t="inlineStr">
        <is>
          <t>MG</t>
        </is>
      </c>
      <c r="E126" t="inlineStr">
        <is>
          <t>SUDESTE MG</t>
        </is>
      </c>
      <c r="F126" t="inlineStr">
        <is>
          <t>Cliente B - Chopeira</t>
        </is>
      </c>
      <c r="G126" t="inlineStr">
        <is>
          <t>Chopeiras</t>
        </is>
      </c>
      <c r="H126" s="10" t="n">
        <v>215</v>
      </c>
      <c r="I126" s="10">
        <f>IFERROR(T126*H126,0)</f>
        <v/>
      </c>
      <c r="J126" s="11" t="n">
        <v>45926</v>
      </c>
      <c r="K126" s="11" t="n">
        <v>45951</v>
      </c>
      <c r="L126" t="inlineStr">
        <is>
          <t>Ok. Devolvida</t>
        </is>
      </c>
      <c r="M126">
        <f>IF(L126="","",IFERROR(VLOOKUP(L126,mapGrupoStatus,2,0),"Outros"))</f>
        <v/>
      </c>
      <c r="N126">
        <f>IF(O126="","",IF(O126&lt;=30,"0-30 dias",IF(O126&lt;=60,"31-60 dias",IF(O126&lt;=90,"61-90 dias","Mais de 90 dias"))))</f>
        <v/>
      </c>
      <c r="O126">
        <f>IF(OR(M126="Pendente",M126="Em andamento"),IF(J126="","",TODAY()-J126),"")</f>
        <v/>
      </c>
      <c r="P126" t="n">
        <v>12689</v>
      </c>
      <c r="Q126" t="inlineStr">
        <is>
          <t>Norte Frio Manutenção (12689)</t>
        </is>
      </c>
      <c r="R126" t="inlineStr">
        <is>
          <t>PC-0030</t>
        </is>
      </c>
      <c r="S126" t="inlineStr">
        <is>
          <t>Serpentina modelo 02</t>
        </is>
      </c>
      <c r="T126" t="n">
        <v>1</v>
      </c>
      <c r="U126" t="n">
        <v>100</v>
      </c>
      <c r="V126">
        <f>IF(J126="","",MONTH(J126))</f>
        <v/>
      </c>
      <c r="W126">
        <f>IF(J126="","",YEAR(J126))</f>
        <v/>
      </c>
      <c r="X126" t="inlineStr">
        <is>
          <t>TransNorte</t>
        </is>
      </c>
      <c r="Y126">
        <f>IFERROR(INDEX(Rastreio!$H$2:$H$200,MATCH(X126&amp;"|"&amp;U126,Rastreio!$A$2:$A$200,0)),"")</f>
        <v/>
      </c>
    </row>
    <row r="127">
      <c r="A127">
        <f>IFERROR(INDEX(STAs!$G$2:$G$61,MATCH(P127,STAs!$F$2:$F$61,0))&amp;"","")</f>
        <v/>
      </c>
      <c r="B127" t="n">
        <v>20008809</v>
      </c>
      <c r="C127" t="inlineStr">
        <is>
          <t>Não</t>
        </is>
      </c>
      <c r="D127" t="inlineStr">
        <is>
          <t>TO</t>
        </is>
      </c>
      <c r="E127" t="inlineStr">
        <is>
          <t>NORTE</t>
        </is>
      </c>
      <c r="F127" t="inlineStr">
        <is>
          <t>Cliente A - Refrigerador</t>
        </is>
      </c>
      <c r="G127" t="inlineStr">
        <is>
          <t>Refrigeradores</t>
        </is>
      </c>
      <c r="H127" s="10" t="n">
        <v>30</v>
      </c>
      <c r="I127" s="10">
        <f>IFERROR(T127*H127,0)</f>
        <v/>
      </c>
      <c r="J127" s="11" t="n">
        <v>45926</v>
      </c>
      <c r="K127" s="11" t="n"/>
      <c r="L127" t="inlineStr">
        <is>
          <t>Não Devolve-Norte</t>
        </is>
      </c>
      <c r="M127">
        <f>IF(L127="","",IFERROR(VLOOKUP(L127,mapGrupoStatus,2,0),"Outros"))</f>
        <v/>
      </c>
      <c r="N127">
        <f>IF(O127="","",IF(O127&lt;=30,"0-30 dias",IF(O127&lt;=60,"31-60 dias",IF(O127&lt;=90,"61-90 dias","Mais de 90 dias"))))</f>
        <v/>
      </c>
      <c r="O127">
        <f>IF(OR(M127="Pendente",M127="Em andamento"),IF(J127="","",TODAY()-J127),"")</f>
        <v/>
      </c>
      <c r="P127" t="n">
        <v>10939</v>
      </c>
      <c r="Q127" t="inlineStr">
        <is>
          <t>Zero Grau Manutenção (10939)</t>
        </is>
      </c>
      <c r="R127" t="inlineStr">
        <is>
          <t>PC-0017</t>
        </is>
      </c>
      <c r="S127" t="inlineStr">
        <is>
          <t>Filtro secador modelo 03</t>
        </is>
      </c>
      <c r="T127" t="n">
        <v>2</v>
      </c>
      <c r="U127" t="inlineStr"/>
      <c r="V127">
        <f>IF(J127="","",MONTH(J127))</f>
        <v/>
      </c>
      <c r="W127">
        <f>IF(J127="","",YEAR(J127))</f>
        <v/>
      </c>
      <c r="X127" t="inlineStr"/>
      <c r="Y127">
        <f>IFERROR(INDEX(Rastreio!$H$2:$H$200,MATCH(X127&amp;"|"&amp;U127,Rastreio!$A$2:$A$200,0)),"")</f>
        <v/>
      </c>
    </row>
    <row r="128">
      <c r="A128">
        <f>IFERROR(INDEX(STAs!$G$2:$G$61,MATCH(P128,STAs!$F$2:$F$61,0))&amp;"","")</f>
        <v/>
      </c>
      <c r="B128" t="n">
        <v>20026548</v>
      </c>
      <c r="C128" t="inlineStr">
        <is>
          <t>Não</t>
        </is>
      </c>
      <c r="D128" t="inlineStr">
        <is>
          <t>RJ</t>
        </is>
      </c>
      <c r="E128" t="inlineStr">
        <is>
          <t>SUDESTE RJ e ES</t>
        </is>
      </c>
      <c r="F128" t="inlineStr">
        <is>
          <t>Cliente B - Chopeira</t>
        </is>
      </c>
      <c r="G128" t="inlineStr">
        <is>
          <t>Refrigeradores</t>
        </is>
      </c>
      <c r="H128" s="10" t="n">
        <v>185</v>
      </c>
      <c r="I128" s="10">
        <f>IFERROR(T128*H128,0)</f>
        <v/>
      </c>
      <c r="J128" s="11" t="n">
        <v>45926</v>
      </c>
      <c r="K128" s="11" t="n"/>
      <c r="L128" t="inlineStr">
        <is>
          <t>Aguardando devolução</t>
        </is>
      </c>
      <c r="M128">
        <f>IF(L128="","",IFERROR(VLOOKUP(L128,mapGrupoStatus,2,0),"Outros"))</f>
        <v/>
      </c>
      <c r="N128">
        <f>IF(O128="","",IF(O128&lt;=30,"0-30 dias",IF(O128&lt;=60,"31-60 dias",IF(O128&lt;=90,"61-90 dias","Mais de 90 dias"))))</f>
        <v/>
      </c>
      <c r="O128">
        <f>IF(OR(M128="Pendente",M128="Em andamento"),IF(J128="","",TODAY()-J128),"")</f>
        <v/>
      </c>
      <c r="P128" t="n">
        <v>11059</v>
      </c>
      <c r="Q128" t="inlineStr">
        <is>
          <t>Frio Ltda (11059)</t>
        </is>
      </c>
      <c r="R128" t="inlineStr">
        <is>
          <t>PC-0013</t>
        </is>
      </c>
      <c r="S128" t="inlineStr">
        <is>
          <t>Placa eletrônica modelo 03</t>
        </is>
      </c>
      <c r="T128" t="n">
        <v>1</v>
      </c>
      <c r="U128" t="inlineStr"/>
      <c r="V128">
        <f>IF(J128="","",MONTH(J128))</f>
        <v/>
      </c>
      <c r="W128">
        <f>IF(J128="","",YEAR(J128))</f>
        <v/>
      </c>
      <c r="X128" t="inlineStr"/>
      <c r="Y128">
        <f>IFERROR(INDEX(Rastreio!$H$2:$H$200,MATCH(X128&amp;"|"&amp;U128,Rastreio!$A$2:$A$200,0)),"")</f>
        <v/>
      </c>
    </row>
    <row r="129">
      <c r="A129">
        <f>IFERROR(INDEX(STAs!$G$2:$G$61,MATCH(P129,STAs!$F$2:$F$61,0))&amp;"","")</f>
        <v/>
      </c>
      <c r="B129" t="n">
        <v>20001941</v>
      </c>
      <c r="C129" t="inlineStr">
        <is>
          <t>Não</t>
        </is>
      </c>
      <c r="D129" t="inlineStr">
        <is>
          <t>PB</t>
        </is>
      </c>
      <c r="E129" t="inlineStr">
        <is>
          <t>NORDESTE</t>
        </is>
      </c>
      <c r="F129" t="inlineStr">
        <is>
          <t>Cliente A - Refrigerador</t>
        </is>
      </c>
      <c r="G129" t="inlineStr">
        <is>
          <t>Misturadores</t>
        </is>
      </c>
      <c r="H129" s="10" t="n">
        <v>255</v>
      </c>
      <c r="I129" s="10">
        <f>IFERROR(T129*H129,0)</f>
        <v/>
      </c>
      <c r="J129" s="11" t="n">
        <v>45927</v>
      </c>
      <c r="K129" s="11" t="n">
        <v>45980</v>
      </c>
      <c r="L129" t="inlineStr">
        <is>
          <t>Ok. Devolvida</t>
        </is>
      </c>
      <c r="M129">
        <f>IF(L129="","",IFERROR(VLOOKUP(L129,mapGrupoStatus,2,0),"Outros"))</f>
        <v/>
      </c>
      <c r="N129">
        <f>IF(O129="","",IF(O129&lt;=30,"0-30 dias",IF(O129&lt;=60,"31-60 dias",IF(O129&lt;=90,"61-90 dias","Mais de 90 dias"))))</f>
        <v/>
      </c>
      <c r="O129">
        <f>IF(OR(M129="Pendente",M129="Em andamento"),IF(J129="","",TODAY()-J129),"")</f>
        <v/>
      </c>
      <c r="P129" t="n">
        <v>11741</v>
      </c>
      <c r="Q129" t="inlineStr">
        <is>
          <t>Clima Refrigeração (11741)</t>
        </is>
      </c>
      <c r="R129" t="inlineStr">
        <is>
          <t>PC-0039</t>
        </is>
      </c>
      <c r="S129" t="inlineStr">
        <is>
          <t>Bomba de recirculação modelo 03</t>
        </is>
      </c>
      <c r="T129" t="n">
        <v>1</v>
      </c>
      <c r="U129" t="n">
        <v>101</v>
      </c>
      <c r="V129">
        <f>IF(J129="","",MONTH(J129))</f>
        <v/>
      </c>
      <c r="W129">
        <f>IF(J129="","",YEAR(J129))</f>
        <v/>
      </c>
      <c r="X129" t="inlineStr">
        <is>
          <t>CargoMax</t>
        </is>
      </c>
      <c r="Y129">
        <f>IFERROR(INDEX(Rastreio!$H$2:$H$200,MATCH(X129&amp;"|"&amp;U129,Rastreio!$A$2:$A$200,0)),"")</f>
        <v/>
      </c>
    </row>
    <row r="130">
      <c r="A130">
        <f>IFERROR(INDEX(STAs!$G$2:$G$61,MATCH(P130,STAs!$F$2:$F$61,0))&amp;"","")</f>
        <v/>
      </c>
      <c r="B130" t="n">
        <v>20006350</v>
      </c>
      <c r="C130" t="inlineStr">
        <is>
          <t>Não</t>
        </is>
      </c>
      <c r="D130" t="inlineStr">
        <is>
          <t>BA</t>
        </is>
      </c>
      <c r="E130" t="inlineStr">
        <is>
          <t>NORDESTE</t>
        </is>
      </c>
      <c r="F130" t="inlineStr">
        <is>
          <t>Cliente A - Refrigerador</t>
        </is>
      </c>
      <c r="G130" t="inlineStr">
        <is>
          <t>Misturadores</t>
        </is>
      </c>
      <c r="H130" s="10" t="n">
        <v>35</v>
      </c>
      <c r="I130" s="10">
        <f>IFERROR(T130*H130,0)</f>
        <v/>
      </c>
      <c r="J130" s="11" t="n">
        <v>45927</v>
      </c>
      <c r="K130" s="11" t="n">
        <v>45951</v>
      </c>
      <c r="L130" t="inlineStr">
        <is>
          <t>Ok. Devolvida</t>
        </is>
      </c>
      <c r="M130">
        <f>IF(L130="","",IFERROR(VLOOKUP(L130,mapGrupoStatus,2,0),"Outros"))</f>
        <v/>
      </c>
      <c r="N130">
        <f>IF(O130="","",IF(O130&lt;=30,"0-30 dias",IF(O130&lt;=60,"31-60 dias",IF(O130&lt;=90,"61-90 dias","Mais de 90 dias"))))</f>
        <v/>
      </c>
      <c r="O130">
        <f>IF(OR(M130="Pendente",M130="Em andamento"),IF(J130="","",TODAY()-J130),"")</f>
        <v/>
      </c>
      <c r="P130" t="n">
        <v>11244</v>
      </c>
      <c r="Q130" t="inlineStr">
        <is>
          <t>Refrigeração Manutenção (11244)</t>
        </is>
      </c>
      <c r="R130" t="inlineStr">
        <is>
          <t>PC-0043</t>
        </is>
      </c>
      <c r="S130" t="inlineStr">
        <is>
          <t>Bico dosador modelo 02</t>
        </is>
      </c>
      <c r="T130" t="n">
        <v>1</v>
      </c>
      <c r="U130" t="n">
        <v>113</v>
      </c>
      <c r="V130">
        <f>IF(J130="","",MONTH(J130))</f>
        <v/>
      </c>
      <c r="W130">
        <f>IF(J130="","",YEAR(J130))</f>
        <v/>
      </c>
      <c r="X130" t="inlineStr">
        <is>
          <t>EntregaJá</t>
        </is>
      </c>
      <c r="Y130">
        <f>IFERROR(INDEX(Rastreio!$H$2:$H$200,MATCH(X130&amp;"|"&amp;U130,Rastreio!$A$2:$A$200,0)),"")</f>
        <v/>
      </c>
    </row>
    <row r="131">
      <c r="A131">
        <f>IFERROR(INDEX(STAs!$G$2:$G$61,MATCH(P131,STAs!$F$2:$F$61,0))&amp;"","")</f>
        <v/>
      </c>
      <c r="B131" t="n">
        <v>20024173</v>
      </c>
      <c r="C131" t="inlineStr">
        <is>
          <t>Não</t>
        </is>
      </c>
      <c r="D131" t="inlineStr">
        <is>
          <t>MS</t>
        </is>
      </c>
      <c r="E131" t="inlineStr">
        <is>
          <t>CENTRO OESTE</t>
        </is>
      </c>
      <c r="F131" t="inlineStr">
        <is>
          <t>Cliente C - Misturador</t>
        </is>
      </c>
      <c r="G131" t="inlineStr">
        <is>
          <t>Misturadores</t>
        </is>
      </c>
      <c r="H131" s="10" t="n">
        <v>50</v>
      </c>
      <c r="I131" s="10">
        <f>IFERROR(T131*H131,0)</f>
        <v/>
      </c>
      <c r="J131" s="11" t="n">
        <v>45927</v>
      </c>
      <c r="K131" s="11" t="n"/>
      <c r="L131" t="inlineStr">
        <is>
          <t>Em andamento</t>
        </is>
      </c>
      <c r="M131">
        <f>IF(L131="","",IFERROR(VLOOKUP(L131,mapGrupoStatus,2,0),"Outros"))</f>
        <v/>
      </c>
      <c r="N131">
        <f>IF(O131="","",IF(O131&lt;=30,"0-30 dias",IF(O131&lt;=60,"31-60 dias",IF(O131&lt;=90,"61-90 dias","Mais de 90 dias"))))</f>
        <v/>
      </c>
      <c r="O131">
        <f>IF(OR(M131="Pendente",M131="Em andamento"),IF(J131="","",TODAY()-J131),"")</f>
        <v/>
      </c>
      <c r="P131" t="n">
        <v>12280</v>
      </c>
      <c r="Q131" t="inlineStr">
        <is>
          <t>Termotec &amp; Cia (12280)</t>
        </is>
      </c>
      <c r="R131" t="inlineStr">
        <is>
          <t>PC-0044</t>
        </is>
      </c>
      <c r="S131" t="inlineStr">
        <is>
          <t>Bico dosador modelo 03</t>
        </is>
      </c>
      <c r="T131" t="n">
        <v>1</v>
      </c>
      <c r="U131" t="n">
        <v>140</v>
      </c>
      <c r="V131">
        <f>IF(J131="","",MONTH(J131))</f>
        <v/>
      </c>
      <c r="W131">
        <f>IF(J131="","",YEAR(J131))</f>
        <v/>
      </c>
      <c r="X131" t="inlineStr">
        <is>
          <t>ViaCargo</t>
        </is>
      </c>
      <c r="Y131">
        <f>IFERROR(INDEX(Rastreio!$H$2:$H$200,MATCH(X131&amp;"|"&amp;U131,Rastreio!$A$2:$A$200,0)),"")</f>
        <v/>
      </c>
    </row>
    <row r="132">
      <c r="A132">
        <f>IFERROR(INDEX(STAs!$G$2:$G$61,MATCH(P132,STAs!$F$2:$F$61,0))&amp;"","")</f>
        <v/>
      </c>
      <c r="B132" t="n">
        <v>20015616</v>
      </c>
      <c r="C132" t="inlineStr">
        <is>
          <t>Não</t>
        </is>
      </c>
      <c r="D132" t="inlineStr">
        <is>
          <t>RO</t>
        </is>
      </c>
      <c r="E132" t="inlineStr">
        <is>
          <t>NORTE</t>
        </is>
      </c>
      <c r="F132" t="inlineStr">
        <is>
          <t>Cliente A - Refrigerador</t>
        </is>
      </c>
      <c r="G132" t="inlineStr">
        <is>
          <t>Refrigeradores</t>
        </is>
      </c>
      <c r="H132" s="10" t="n">
        <v>190</v>
      </c>
      <c r="I132" s="10">
        <f>IFERROR(T132*H132,0)</f>
        <v/>
      </c>
      <c r="J132" s="11" t="n">
        <v>45928</v>
      </c>
      <c r="K132" s="11" t="n">
        <v>45976</v>
      </c>
      <c r="L132" t="inlineStr">
        <is>
          <t>Ok. Devolvida</t>
        </is>
      </c>
      <c r="M132">
        <f>IF(L132="","",IFERROR(VLOOKUP(L132,mapGrupoStatus,2,0),"Outros"))</f>
        <v/>
      </c>
      <c r="N132">
        <f>IF(O132="","",IF(O132&lt;=30,"0-30 dias",IF(O132&lt;=60,"31-60 dias",IF(O132&lt;=90,"61-90 dias","Mais de 90 dias"))))</f>
        <v/>
      </c>
      <c r="O132">
        <f>IF(OR(M132="Pendente",M132="Em andamento"),IF(J132="","",TODAY()-J132),"")</f>
        <v/>
      </c>
      <c r="P132" t="n">
        <v>12019</v>
      </c>
      <c r="Q132" t="inlineStr">
        <is>
          <t>Ártico Serviços (12019)</t>
        </is>
      </c>
      <c r="R132" t="inlineStr">
        <is>
          <t>PC-0014</t>
        </is>
      </c>
      <c r="S132" t="inlineStr">
        <is>
          <t>Placa eletrônica modelo 04</t>
        </is>
      </c>
      <c r="T132" t="n">
        <v>1</v>
      </c>
      <c r="U132" t="n">
        <v>122</v>
      </c>
      <c r="V132">
        <f>IF(J132="","",MONTH(J132))</f>
        <v/>
      </c>
      <c r="W132">
        <f>IF(J132="","",YEAR(J132))</f>
        <v/>
      </c>
      <c r="X132" t="inlineStr">
        <is>
          <t>RotaSul</t>
        </is>
      </c>
      <c r="Y132">
        <f>IFERROR(INDEX(Rastreio!$H$2:$H$200,MATCH(X132&amp;"|"&amp;U132,Rastreio!$A$2:$A$200,0)),"")</f>
        <v/>
      </c>
    </row>
    <row r="133">
      <c r="A133">
        <f>IFERROR(INDEX(STAs!$G$2:$G$61,MATCH(P133,STAs!$F$2:$F$61,0))&amp;"","")</f>
        <v/>
      </c>
      <c r="B133" t="n">
        <v>20018487</v>
      </c>
      <c r="C133" t="inlineStr">
        <is>
          <t>Não</t>
        </is>
      </c>
      <c r="D133" t="inlineStr">
        <is>
          <t>PI</t>
        </is>
      </c>
      <c r="E133" t="inlineStr">
        <is>
          <t>NORDESTE</t>
        </is>
      </c>
      <c r="F133" t="inlineStr">
        <is>
          <t>Cliente B - Chopeira</t>
        </is>
      </c>
      <c r="G133" t="inlineStr">
        <is>
          <t>Misturadores</t>
        </is>
      </c>
      <c r="H133" s="10" t="n">
        <v>35</v>
      </c>
      <c r="I133" s="10">
        <f>IFERROR(T133*H133,0)</f>
        <v/>
      </c>
      <c r="J133" s="11" t="n">
        <v>45928</v>
      </c>
      <c r="K133" s="11" t="n">
        <v>45936</v>
      </c>
      <c r="L133" t="inlineStr">
        <is>
          <t>Ok. Devolvida</t>
        </is>
      </c>
      <c r="M133">
        <f>IF(L133="","",IFERROR(VLOOKUP(L133,mapGrupoStatus,2,0),"Outros"))</f>
        <v/>
      </c>
      <c r="N133">
        <f>IF(O133="","",IF(O133&lt;=30,"0-30 dias",IF(O133&lt;=60,"31-60 dias",IF(O133&lt;=90,"61-90 dias","Mais de 90 dias"))))</f>
        <v/>
      </c>
      <c r="O133">
        <f>IF(OR(M133="Pendente",M133="Em andamento"),IF(J133="","",TODAY()-J133),"")</f>
        <v/>
      </c>
      <c r="P133" t="n">
        <v>12936</v>
      </c>
      <c r="Q133" t="inlineStr">
        <is>
          <t>Frigo Técnica (12936)</t>
        </is>
      </c>
      <c r="R133" t="inlineStr">
        <is>
          <t>PC-0043</t>
        </is>
      </c>
      <c r="S133" t="inlineStr">
        <is>
          <t>Bico dosador modelo 02</t>
        </is>
      </c>
      <c r="T133" t="n">
        <v>1</v>
      </c>
      <c r="U133" t="n">
        <v>130</v>
      </c>
      <c r="V133">
        <f>IF(J133="","",MONTH(J133))</f>
        <v/>
      </c>
      <c r="W133">
        <f>IF(J133="","",YEAR(J133))</f>
        <v/>
      </c>
      <c r="X133" t="inlineStr">
        <is>
          <t>TransNorte</t>
        </is>
      </c>
      <c r="Y133">
        <f>IFERROR(INDEX(Rastreio!$H$2:$H$200,MATCH(X133&amp;"|"&amp;U133,Rastreio!$A$2:$A$200,0)),"")</f>
        <v/>
      </c>
    </row>
    <row r="134">
      <c r="A134">
        <f>IFERROR(INDEX(STAs!$G$2:$G$61,MATCH(P134,STAs!$F$2:$F$61,0))&amp;"","")</f>
        <v/>
      </c>
      <c r="B134" t="n">
        <v>20020726</v>
      </c>
      <c r="C134" t="inlineStr">
        <is>
          <t>Não</t>
        </is>
      </c>
      <c r="D134" t="inlineStr">
        <is>
          <t>MG</t>
        </is>
      </c>
      <c r="E134" t="inlineStr">
        <is>
          <t>SUDESTE MG</t>
        </is>
      </c>
      <c r="F134" t="inlineStr">
        <is>
          <t>Cliente C - Misturador</t>
        </is>
      </c>
      <c r="G134" t="inlineStr">
        <is>
          <t>Refrigeradores</t>
        </is>
      </c>
      <c r="H134" s="10" t="n">
        <v>35</v>
      </c>
      <c r="I134" s="10">
        <f>IFERROR(T134*H134,0)</f>
        <v/>
      </c>
      <c r="J134" s="11" t="n">
        <v>45928</v>
      </c>
      <c r="K134" s="11" t="n"/>
      <c r="L134" t="inlineStr">
        <is>
          <t>Aguardando devolução</t>
        </is>
      </c>
      <c r="M134">
        <f>IF(L134="","",IFERROR(VLOOKUP(L134,mapGrupoStatus,2,0),"Outros"))</f>
        <v/>
      </c>
      <c r="N134">
        <f>IF(O134="","",IF(O134&lt;=30,"0-30 dias",IF(O134&lt;=60,"31-60 dias",IF(O134&lt;=90,"61-90 dias","Mais de 90 dias"))))</f>
        <v/>
      </c>
      <c r="O134">
        <f>IF(OR(M134="Pendente",M134="Em andamento"),IF(J134="","",TODAY()-J134),"")</f>
        <v/>
      </c>
      <c r="P134" t="n">
        <v>11494</v>
      </c>
      <c r="Q134" t="inlineStr">
        <is>
          <t>Clima Técnica (11494)</t>
        </is>
      </c>
      <c r="R134" t="inlineStr">
        <is>
          <t>PC-0016</t>
        </is>
      </c>
      <c r="S134" t="inlineStr">
        <is>
          <t>Filtro secador modelo 02</t>
        </is>
      </c>
      <c r="T134" t="n">
        <v>1</v>
      </c>
      <c r="U134" t="inlineStr"/>
      <c r="V134">
        <f>IF(J134="","",MONTH(J134))</f>
        <v/>
      </c>
      <c r="W134">
        <f>IF(J134="","",YEAR(J134))</f>
        <v/>
      </c>
      <c r="X134" t="inlineStr"/>
      <c r="Y134">
        <f>IFERROR(INDEX(Rastreio!$H$2:$H$200,MATCH(X134&amp;"|"&amp;U134,Rastreio!$A$2:$A$200,0)),"")</f>
        <v/>
      </c>
    </row>
    <row r="135">
      <c r="A135">
        <f>IFERROR(INDEX(STAs!$G$2:$G$61,MATCH(P135,STAs!$F$2:$F$61,0))&amp;"","")</f>
        <v/>
      </c>
      <c r="B135" t="n">
        <v>20021261</v>
      </c>
      <c r="C135" t="inlineStr">
        <is>
          <t>Não</t>
        </is>
      </c>
      <c r="D135" t="inlineStr">
        <is>
          <t>RR</t>
        </is>
      </c>
      <c r="E135" t="inlineStr">
        <is>
          <t>NORTE</t>
        </is>
      </c>
      <c r="F135" t="inlineStr">
        <is>
          <t>Cliente A - Refrigerador</t>
        </is>
      </c>
      <c r="G135" t="inlineStr">
        <is>
          <t>Refrigeradores</t>
        </is>
      </c>
      <c r="H135" s="10" t="n">
        <v>155</v>
      </c>
      <c r="I135" s="10">
        <f>IFERROR(T135*H135,0)</f>
        <v/>
      </c>
      <c r="J135" s="11" t="n">
        <v>45928</v>
      </c>
      <c r="K135" s="11" t="n"/>
      <c r="L135" t="inlineStr">
        <is>
          <t>Não Devolve-Norte</t>
        </is>
      </c>
      <c r="M135">
        <f>IF(L135="","",IFERROR(VLOOKUP(L135,mapGrupoStatus,2,0),"Outros"))</f>
        <v/>
      </c>
      <c r="N135">
        <f>IF(O135="","",IF(O135&lt;=30,"0-30 dias",IF(O135&lt;=60,"31-60 dias",IF(O135&lt;=90,"61-90 dias","Mais de 90 dias"))))</f>
        <v/>
      </c>
      <c r="O135">
        <f>IF(OR(M135="Pendente",M135="Em andamento"),IF(J135="","",TODAY()-J135),"")</f>
        <v/>
      </c>
      <c r="P135" t="n">
        <v>10468</v>
      </c>
      <c r="Q135" t="inlineStr">
        <is>
          <t>Clima Express (10468)</t>
        </is>
      </c>
      <c r="R135" t="inlineStr">
        <is>
          <t>PC-0021</t>
        </is>
      </c>
      <c r="S135" t="inlineStr">
        <is>
          <t>Controlador digital modelo 01</t>
        </is>
      </c>
      <c r="T135" t="n">
        <v>2</v>
      </c>
      <c r="U135" t="inlineStr"/>
      <c r="V135">
        <f>IF(J135="","",MONTH(J135))</f>
        <v/>
      </c>
      <c r="W135">
        <f>IF(J135="","",YEAR(J135))</f>
        <v/>
      </c>
      <c r="X135" t="inlineStr"/>
      <c r="Y135">
        <f>IFERROR(INDEX(Rastreio!$H$2:$H$200,MATCH(X135&amp;"|"&amp;U135,Rastreio!$A$2:$A$200,0)),"")</f>
        <v/>
      </c>
    </row>
    <row r="136">
      <c r="A136">
        <f>IFERROR(INDEX(STAs!$G$2:$G$61,MATCH(P136,STAs!$F$2:$F$61,0))&amp;"","")</f>
        <v/>
      </c>
      <c r="B136" t="n">
        <v>20003299</v>
      </c>
      <c r="C136" t="inlineStr">
        <is>
          <t>Não</t>
        </is>
      </c>
      <c r="D136" t="inlineStr">
        <is>
          <t>SP</t>
        </is>
      </c>
      <c r="E136" t="inlineStr">
        <is>
          <t>SUDESTE SP</t>
        </is>
      </c>
      <c r="F136" t="inlineStr">
        <is>
          <t>Cliente C - Misturador</t>
        </is>
      </c>
      <c r="G136" t="inlineStr">
        <is>
          <t>Chopeiras</t>
        </is>
      </c>
      <c r="H136" s="10" t="n">
        <v>85</v>
      </c>
      <c r="I136" s="10">
        <f>IFERROR(T136*H136,0)</f>
        <v/>
      </c>
      <c r="J136" s="11" t="n">
        <v>45929</v>
      </c>
      <c r="K136" s="11" t="n"/>
      <c r="L136" t="inlineStr">
        <is>
          <t>Aguardando devolução</t>
        </is>
      </c>
      <c r="M136">
        <f>IF(L136="","",IFERROR(VLOOKUP(L136,mapGrupoStatus,2,0),"Outros"))</f>
        <v/>
      </c>
      <c r="N136">
        <f>IF(O136="","",IF(O136&lt;=30,"0-30 dias",IF(O136&lt;=60,"31-60 dias",IF(O136&lt;=90,"61-90 dias","Mais de 90 dias"))))</f>
        <v/>
      </c>
      <c r="O136">
        <f>IF(OR(M136="Pendente",M136="Em andamento"),IF(J136="","",TODAY()-J136),"")</f>
        <v/>
      </c>
      <c r="P136" t="n">
        <v>10413</v>
      </c>
      <c r="Q136" t="inlineStr">
        <is>
          <t>Polar Manutenção (10413)</t>
        </is>
      </c>
      <c r="R136" t="inlineStr">
        <is>
          <t>PC-0028</t>
        </is>
      </c>
      <c r="S136" t="inlineStr">
        <is>
          <t>Torneira de chopp modelo 03</t>
        </is>
      </c>
      <c r="T136" t="n">
        <v>1</v>
      </c>
      <c r="U136" t="inlineStr"/>
      <c r="V136">
        <f>IF(J136="","",MONTH(J136))</f>
        <v/>
      </c>
      <c r="W136">
        <f>IF(J136="","",YEAR(J136))</f>
        <v/>
      </c>
      <c r="X136" t="inlineStr"/>
      <c r="Y136">
        <f>IFERROR(INDEX(Rastreio!$H$2:$H$200,MATCH(X136&amp;"|"&amp;U136,Rastreio!$A$2:$A$200,0)),"")</f>
        <v/>
      </c>
    </row>
    <row r="137">
      <c r="A137">
        <f>IFERROR(INDEX(STAs!$G$2:$G$61,MATCH(P137,STAs!$F$2:$F$61,0))&amp;"","")</f>
        <v/>
      </c>
      <c r="B137" t="n">
        <v>20006759</v>
      </c>
      <c r="C137" t="inlineStr">
        <is>
          <t>Não</t>
        </is>
      </c>
      <c r="D137" t="inlineStr">
        <is>
          <t>MG</t>
        </is>
      </c>
      <c r="E137" t="inlineStr">
        <is>
          <t>SUDESTE MG</t>
        </is>
      </c>
      <c r="F137" t="inlineStr">
        <is>
          <t>Cliente B - Chopeira</t>
        </is>
      </c>
      <c r="G137" t="inlineStr">
        <is>
          <t>Chopeiras</t>
        </is>
      </c>
      <c r="H137" s="10" t="n">
        <v>115</v>
      </c>
      <c r="I137" s="10">
        <f>IFERROR(T137*H137,0)</f>
        <v/>
      </c>
      <c r="J137" s="11" t="n">
        <v>45929</v>
      </c>
      <c r="K137" s="11" t="n">
        <v>45970</v>
      </c>
      <c r="L137" t="inlineStr">
        <is>
          <t>Ok. Devolvida</t>
        </is>
      </c>
      <c r="M137">
        <f>IF(L137="","",IFERROR(VLOOKUP(L137,mapGrupoStatus,2,0),"Outros"))</f>
        <v/>
      </c>
      <c r="N137">
        <f>IF(O137="","",IF(O137&lt;=30,"0-30 dias",IF(O137&lt;=60,"31-60 dias",IF(O137&lt;=90,"61-90 dias","Mais de 90 dias"))))</f>
        <v/>
      </c>
      <c r="O137">
        <f>IF(OR(M137="Pendente",M137="Em andamento"),IF(J137="","",TODAY()-J137),"")</f>
        <v/>
      </c>
      <c r="P137" t="n">
        <v>11487</v>
      </c>
      <c r="Q137" t="inlineStr">
        <is>
          <t>Assistência Técnica Manutenção (11487)</t>
        </is>
      </c>
      <c r="R137" t="inlineStr">
        <is>
          <t>PC-0033</t>
        </is>
      </c>
      <c r="S137" t="inlineStr">
        <is>
          <t>Regulador de pressão modelo 02</t>
        </is>
      </c>
      <c r="T137" t="n">
        <v>1</v>
      </c>
      <c r="U137" t="n">
        <v>111</v>
      </c>
      <c r="V137">
        <f>IF(J137="","",MONTH(J137))</f>
        <v/>
      </c>
      <c r="W137">
        <f>IF(J137="","",YEAR(J137))</f>
        <v/>
      </c>
      <c r="X137" t="inlineStr">
        <is>
          <t>TransNorte</t>
        </is>
      </c>
      <c r="Y137">
        <f>IFERROR(INDEX(Rastreio!$H$2:$H$200,MATCH(X137&amp;"|"&amp;U137,Rastreio!$A$2:$A$200,0)),"")</f>
        <v/>
      </c>
    </row>
    <row r="138">
      <c r="A138">
        <f>IFERROR(INDEX(STAs!$G$2:$G$61,MATCH(P138,STAs!$F$2:$F$61,0))&amp;"","")</f>
        <v/>
      </c>
      <c r="B138" t="n">
        <v>20016052</v>
      </c>
      <c r="C138" t="inlineStr">
        <is>
          <t>Não</t>
        </is>
      </c>
      <c r="D138" t="inlineStr">
        <is>
          <t>MS</t>
        </is>
      </c>
      <c r="E138" t="inlineStr">
        <is>
          <t>CENTRO OESTE</t>
        </is>
      </c>
      <c r="F138" t="inlineStr">
        <is>
          <t>Cliente A - Refrigerador</t>
        </is>
      </c>
      <c r="G138" t="inlineStr">
        <is>
          <t>Misturadores</t>
        </is>
      </c>
      <c r="H138" s="10" t="n">
        <v>200</v>
      </c>
      <c r="I138" s="10">
        <f>IFERROR(T138*H138,0)</f>
        <v/>
      </c>
      <c r="J138" s="11" t="n">
        <v>45929</v>
      </c>
      <c r="K138" s="11" t="n">
        <v>45977</v>
      </c>
      <c r="L138" t="inlineStr">
        <is>
          <t>Ok. Devolvida</t>
        </is>
      </c>
      <c r="M138">
        <f>IF(L138="","",IFERROR(VLOOKUP(L138,mapGrupoStatus,2,0),"Outros"))</f>
        <v/>
      </c>
      <c r="N138">
        <f>IF(O138="","",IF(O138&lt;=30,"0-30 dias",IF(O138&lt;=60,"31-60 dias",IF(O138&lt;=90,"61-90 dias","Mais de 90 dias"))))</f>
        <v/>
      </c>
      <c r="O138">
        <f>IF(OR(M138="Pendente",M138="Em andamento"),IF(J138="","",TODAY()-J138),"")</f>
        <v/>
      </c>
      <c r="P138" t="n">
        <v>10302</v>
      </c>
      <c r="Q138" t="inlineStr">
        <is>
          <t>Ice Tech Express (10302)</t>
        </is>
      </c>
      <c r="R138" t="inlineStr">
        <is>
          <t>PC-0040</t>
        </is>
      </c>
      <c r="S138" t="inlineStr">
        <is>
          <t>Motor agitador modelo 01</t>
        </is>
      </c>
      <c r="T138" t="n">
        <v>1</v>
      </c>
      <c r="U138" t="n">
        <v>131</v>
      </c>
      <c r="V138">
        <f>IF(J138="","",MONTH(J138))</f>
        <v/>
      </c>
      <c r="W138">
        <f>IF(J138="","",YEAR(J138))</f>
        <v/>
      </c>
      <c r="X138" t="inlineStr">
        <is>
          <t>ViaCargo</t>
        </is>
      </c>
      <c r="Y138">
        <f>IFERROR(INDEX(Rastreio!$H$2:$H$200,MATCH(X138&amp;"|"&amp;U138,Rastreio!$A$2:$A$200,0)),"")</f>
        <v/>
      </c>
    </row>
    <row r="139">
      <c r="A139">
        <f>IFERROR(INDEX(STAs!$G$2:$G$61,MATCH(P139,STAs!$F$2:$F$61,0))&amp;"","")</f>
        <v/>
      </c>
      <c r="B139" t="n">
        <v>20023301</v>
      </c>
      <c r="C139" t="inlineStr">
        <is>
          <t>Não</t>
        </is>
      </c>
      <c r="D139" t="inlineStr">
        <is>
          <t>ES</t>
        </is>
      </c>
      <c r="E139" t="inlineStr">
        <is>
          <t>SUDESTE RJ e ES</t>
        </is>
      </c>
      <c r="F139" t="inlineStr">
        <is>
          <t>Cliente A - Refrigerador</t>
        </is>
      </c>
      <c r="G139" t="inlineStr">
        <is>
          <t>Misturadores</t>
        </is>
      </c>
      <c r="H139" s="10" t="n">
        <v>50</v>
      </c>
      <c r="I139" s="10">
        <f>IFERROR(T139*H139,0)</f>
        <v/>
      </c>
      <c r="J139" s="11" t="n">
        <v>45929</v>
      </c>
      <c r="K139" s="11" t="n">
        <v>45964</v>
      </c>
      <c r="L139" t="inlineStr">
        <is>
          <t>Ok. Devolvida</t>
        </is>
      </c>
      <c r="M139">
        <f>IF(L139="","",IFERROR(VLOOKUP(L139,mapGrupoStatus,2,0),"Outros"))</f>
        <v/>
      </c>
      <c r="N139">
        <f>IF(O139="","",IF(O139&lt;=30,"0-30 dias",IF(O139&lt;=60,"31-60 dias",IF(O139&lt;=90,"61-90 dias","Mais de 90 dias"))))</f>
        <v/>
      </c>
      <c r="O139">
        <f>IF(OR(M139="Pendente",M139="Em andamento"),IF(J139="","",TODAY()-J139),"")</f>
        <v/>
      </c>
      <c r="P139" t="n">
        <v>11396</v>
      </c>
      <c r="Q139" t="inlineStr">
        <is>
          <t>Frio Manutenção (11396)</t>
        </is>
      </c>
      <c r="R139" t="inlineStr">
        <is>
          <t>PC-0044</t>
        </is>
      </c>
      <c r="S139" t="inlineStr">
        <is>
          <t>Bico dosador modelo 03</t>
        </is>
      </c>
      <c r="T139" t="n">
        <v>3</v>
      </c>
      <c r="U139" t="n">
        <v>138</v>
      </c>
      <c r="V139">
        <f>IF(J139="","",MONTH(J139))</f>
        <v/>
      </c>
      <c r="W139">
        <f>IF(J139="","",YEAR(J139))</f>
        <v/>
      </c>
      <c r="X139" t="inlineStr">
        <is>
          <t>TransNorte</t>
        </is>
      </c>
      <c r="Y139">
        <f>IFERROR(INDEX(Rastreio!$H$2:$H$200,MATCH(X139&amp;"|"&amp;U139,Rastreio!$A$2:$A$200,0)),"")</f>
        <v/>
      </c>
    </row>
    <row r="140">
      <c r="A140">
        <f>IFERROR(INDEX(STAs!$G$2:$G$61,MATCH(P140,STAs!$F$2:$F$61,0))&amp;"","")</f>
        <v/>
      </c>
      <c r="B140" t="n">
        <v>20024730</v>
      </c>
      <c r="C140" t="inlineStr">
        <is>
          <t>Não</t>
        </is>
      </c>
      <c r="D140" t="inlineStr">
        <is>
          <t>MG</t>
        </is>
      </c>
      <c r="E140" t="inlineStr">
        <is>
          <t>SUDESTE MG</t>
        </is>
      </c>
      <c r="F140" t="inlineStr">
        <is>
          <t>Cliente A - Refrigerador</t>
        </is>
      </c>
      <c r="G140" t="inlineStr">
        <is>
          <t>Refrigeradores</t>
        </is>
      </c>
      <c r="H140" s="10" t="n">
        <v>65</v>
      </c>
      <c r="I140" s="10">
        <f>IFERROR(T140*H140,0)</f>
        <v/>
      </c>
      <c r="J140" s="11" t="n">
        <v>45929</v>
      </c>
      <c r="K140" s="11" t="n">
        <v>45951</v>
      </c>
      <c r="L140" t="inlineStr">
        <is>
          <t>Ok. Devolvida</t>
        </is>
      </c>
      <c r="M140">
        <f>IF(L140="","",IFERROR(VLOOKUP(L140,mapGrupoStatus,2,0),"Outros"))</f>
        <v/>
      </c>
      <c r="N140">
        <f>IF(O140="","",IF(O140&lt;=30,"0-30 dias",IF(O140&lt;=60,"31-60 dias",IF(O140&lt;=90,"61-90 dias","Mais de 90 dias"))))</f>
        <v/>
      </c>
      <c r="O140">
        <f>IF(OR(M140="Pendente",M140="Em andamento"),IF(J140="","",TODAY()-J140),"")</f>
        <v/>
      </c>
      <c r="P140" t="n">
        <v>11494</v>
      </c>
      <c r="Q140" t="inlineStr">
        <is>
          <t>Clima Técnica (11494)</t>
        </is>
      </c>
      <c r="R140" t="inlineStr">
        <is>
          <t>PC-0010</t>
        </is>
      </c>
      <c r="S140" t="inlineStr">
        <is>
          <t>Ventilador modelo 04</t>
        </is>
      </c>
      <c r="T140" t="n">
        <v>2</v>
      </c>
      <c r="U140" t="n">
        <v>136</v>
      </c>
      <c r="V140">
        <f>IF(J140="","",MONTH(J140))</f>
        <v/>
      </c>
      <c r="W140">
        <f>IF(J140="","",YEAR(J140))</f>
        <v/>
      </c>
      <c r="X140" t="inlineStr">
        <is>
          <t>EntregaJá</t>
        </is>
      </c>
      <c r="Y140">
        <f>IFERROR(INDEX(Rastreio!$H$2:$H$200,MATCH(X140&amp;"|"&amp;U140,Rastreio!$A$2:$A$200,0)),"")</f>
        <v/>
      </c>
    </row>
    <row r="141">
      <c r="A141">
        <f>IFERROR(INDEX(STAs!$G$2:$G$61,MATCH(P141,STAs!$F$2:$F$61,0))&amp;"","")</f>
        <v/>
      </c>
      <c r="B141" t="n">
        <v>20004409</v>
      </c>
      <c r="C141" t="inlineStr">
        <is>
          <t>Não</t>
        </is>
      </c>
      <c r="D141" t="inlineStr">
        <is>
          <t>SP</t>
        </is>
      </c>
      <c r="E141" t="inlineStr">
        <is>
          <t>SUDESTE SP</t>
        </is>
      </c>
      <c r="F141" t="inlineStr">
        <is>
          <t>Cliente C - Misturador</t>
        </is>
      </c>
      <c r="G141" t="inlineStr">
        <is>
          <t>Chopeiras</t>
        </is>
      </c>
      <c r="H141" s="10" t="n">
        <v>215</v>
      </c>
      <c r="I141" s="10">
        <f>IFERROR(T141*H141,0)</f>
        <v/>
      </c>
      <c r="J141" s="11" t="n">
        <v>45930</v>
      </c>
      <c r="K141" s="11" t="n"/>
      <c r="L141" t="inlineStr">
        <is>
          <t>Em transporte</t>
        </is>
      </c>
      <c r="M141">
        <f>IF(L141="","",IFERROR(VLOOKUP(L141,mapGrupoStatus,2,0),"Outros"))</f>
        <v/>
      </c>
      <c r="N141">
        <f>IF(O141="","",IF(O141&lt;=30,"0-30 dias",IF(O141&lt;=60,"31-60 dias",IF(O141&lt;=90,"61-90 dias","Mais de 90 dias"))))</f>
        <v/>
      </c>
      <c r="O141">
        <f>IF(OR(M141="Pendente",M141="Em andamento"),IF(J141="","",TODAY()-J141),"")</f>
        <v/>
      </c>
      <c r="P141" t="n">
        <v>11365</v>
      </c>
      <c r="Q141" t="inlineStr">
        <is>
          <t>Ártico Express (11365)</t>
        </is>
      </c>
      <c r="R141" t="inlineStr">
        <is>
          <t>PC-0030</t>
        </is>
      </c>
      <c r="S141" t="inlineStr">
        <is>
          <t>Serpentina modelo 02</t>
        </is>
      </c>
      <c r="T141" t="n">
        <v>1</v>
      </c>
      <c r="U141" t="n">
        <v>108</v>
      </c>
      <c r="V141">
        <f>IF(J141="","",MONTH(J141))</f>
        <v/>
      </c>
      <c r="W141">
        <f>IF(J141="","",YEAR(J141))</f>
        <v/>
      </c>
      <c r="X141" t="inlineStr">
        <is>
          <t>EntregaJá</t>
        </is>
      </c>
      <c r="Y141">
        <f>IFERROR(INDEX(Rastreio!$H$2:$H$200,MATCH(X141&amp;"|"&amp;U141,Rastreio!$A$2:$A$200,0)),"")</f>
        <v/>
      </c>
    </row>
    <row r="142">
      <c r="A142">
        <f>IFERROR(INDEX(STAs!$G$2:$G$61,MATCH(P142,STAs!$F$2:$F$61,0))&amp;"","")</f>
        <v/>
      </c>
      <c r="B142" t="n">
        <v>20006168</v>
      </c>
      <c r="C142" t="inlineStr">
        <is>
          <t>Não</t>
        </is>
      </c>
      <c r="D142" t="inlineStr">
        <is>
          <t>RJ</t>
        </is>
      </c>
      <c r="E142" t="inlineStr">
        <is>
          <t>SUDESTE RJ e ES</t>
        </is>
      </c>
      <c r="F142" t="inlineStr">
        <is>
          <t>Cliente C - Misturador</t>
        </is>
      </c>
      <c r="G142" t="inlineStr">
        <is>
          <t>Refrigeradores</t>
        </is>
      </c>
      <c r="H142" s="10" t="n">
        <v>190</v>
      </c>
      <c r="I142" s="10">
        <f>IFERROR(T142*H142,0)</f>
        <v/>
      </c>
      <c r="J142" s="11" t="n">
        <v>45931</v>
      </c>
      <c r="K142" s="11" t="n"/>
      <c r="L142" t="inlineStr">
        <is>
          <t>Em transporte</t>
        </is>
      </c>
      <c r="M142">
        <f>IF(L142="","",IFERROR(VLOOKUP(L142,mapGrupoStatus,2,0),"Outros"))</f>
        <v/>
      </c>
      <c r="N142">
        <f>IF(O142="","",IF(O142&lt;=30,"0-30 dias",IF(O142&lt;=60,"31-60 dias",IF(O142&lt;=90,"61-90 dias","Mais de 90 dias"))))</f>
        <v/>
      </c>
      <c r="O142">
        <f>IF(OR(M142="Pendente",M142="Em andamento"),IF(J142="","",TODAY()-J142),"")</f>
        <v/>
      </c>
      <c r="P142" t="n">
        <v>12336</v>
      </c>
      <c r="Q142" t="inlineStr">
        <is>
          <t>Termotec ME (12336)</t>
        </is>
      </c>
      <c r="R142" t="inlineStr">
        <is>
          <t>PC-0014</t>
        </is>
      </c>
      <c r="S142" t="inlineStr">
        <is>
          <t>Placa eletrônica modelo 04</t>
        </is>
      </c>
      <c r="T142" t="n">
        <v>1</v>
      </c>
      <c r="U142" t="n">
        <v>110</v>
      </c>
      <c r="V142">
        <f>IF(J142="","",MONTH(J142))</f>
        <v/>
      </c>
      <c r="W142">
        <f>IF(J142="","",YEAR(J142))</f>
        <v/>
      </c>
      <c r="X142" t="inlineStr">
        <is>
          <t>CargoMax</t>
        </is>
      </c>
      <c r="Y142">
        <f>IFERROR(INDEX(Rastreio!$H$2:$H$200,MATCH(X142&amp;"|"&amp;U142,Rastreio!$A$2:$A$200,0)),"")</f>
        <v/>
      </c>
    </row>
    <row r="143">
      <c r="A143">
        <f>IFERROR(INDEX(STAs!$G$2:$G$61,MATCH(P143,STAs!$F$2:$F$61,0))&amp;"","")</f>
        <v/>
      </c>
      <c r="B143" t="n">
        <v>20015805</v>
      </c>
      <c r="C143" t="inlineStr">
        <is>
          <t>Não</t>
        </is>
      </c>
      <c r="D143" t="inlineStr">
        <is>
          <t>SP</t>
        </is>
      </c>
      <c r="E143" t="inlineStr">
        <is>
          <t>SUDESTE SP</t>
        </is>
      </c>
      <c r="F143" t="inlineStr">
        <is>
          <t>Cliente A - Refrigerador</t>
        </is>
      </c>
      <c r="G143" t="inlineStr">
        <is>
          <t>Refrigeradores</t>
        </is>
      </c>
      <c r="H143" s="10" t="n">
        <v>330</v>
      </c>
      <c r="I143" s="10">
        <f>IFERROR(T143*H143,0)</f>
        <v/>
      </c>
      <c r="J143" s="11" t="n">
        <v>45931</v>
      </c>
      <c r="K143" s="11" t="n">
        <v>45943</v>
      </c>
      <c r="L143" t="inlineStr">
        <is>
          <t>Ok. Devolvida</t>
        </is>
      </c>
      <c r="M143">
        <f>IF(L143="","",IFERROR(VLOOKUP(L143,mapGrupoStatus,2,0),"Outros"))</f>
        <v/>
      </c>
      <c r="N143">
        <f>IF(O143="","",IF(O143&lt;=30,"0-30 dias",IF(O143&lt;=60,"31-60 dias",IF(O143&lt;=90,"61-90 dias","Mais de 90 dias"))))</f>
        <v/>
      </c>
      <c r="O143">
        <f>IF(OR(M143="Pendente",M143="Em andamento"),IF(J143="","",TODAY()-J143),"")</f>
        <v/>
      </c>
      <c r="P143" t="n">
        <v>10413</v>
      </c>
      <c r="Q143" t="inlineStr">
        <is>
          <t>Polar Manutenção (10413)</t>
        </is>
      </c>
      <c r="R143" t="inlineStr">
        <is>
          <t>PC-0003</t>
        </is>
      </c>
      <c r="S143" t="inlineStr">
        <is>
          <t>Compressor modelo 03</t>
        </is>
      </c>
      <c r="T143" t="n">
        <v>1</v>
      </c>
      <c r="U143" t="n">
        <v>122</v>
      </c>
      <c r="V143">
        <f>IF(J143="","",MONTH(J143))</f>
        <v/>
      </c>
      <c r="W143">
        <f>IF(J143="","",YEAR(J143))</f>
        <v/>
      </c>
      <c r="X143" t="inlineStr">
        <is>
          <t>RotaSul</t>
        </is>
      </c>
      <c r="Y143">
        <f>IFERROR(INDEX(Rastreio!$H$2:$H$200,MATCH(X143&amp;"|"&amp;U143,Rastreio!$A$2:$A$200,0)),"")</f>
        <v/>
      </c>
    </row>
    <row r="144">
      <c r="A144">
        <f>IFERROR(INDEX(STAs!$G$2:$G$61,MATCH(P144,STAs!$F$2:$F$61,0))&amp;"","")</f>
        <v/>
      </c>
      <c r="B144" t="n">
        <v>20022706</v>
      </c>
      <c r="C144" t="inlineStr">
        <is>
          <t>Sim</t>
        </is>
      </c>
      <c r="D144" t="inlineStr">
        <is>
          <t>CE</t>
        </is>
      </c>
      <c r="E144" t="inlineStr">
        <is>
          <t>NORDESTE</t>
        </is>
      </c>
      <c r="F144" t="inlineStr">
        <is>
          <t>Cliente B - Chopeira</t>
        </is>
      </c>
      <c r="G144" t="inlineStr">
        <is>
          <t>Refrigeradores</t>
        </is>
      </c>
      <c r="H144" s="10" t="n">
        <v>175</v>
      </c>
      <c r="I144" s="10">
        <f>IFERROR(T144*H144,0)</f>
        <v/>
      </c>
      <c r="J144" s="11" t="n">
        <v>45931</v>
      </c>
      <c r="K144" s="11" t="n"/>
      <c r="L144" t="inlineStr">
        <is>
          <t>Aguardando Transporte</t>
        </is>
      </c>
      <c r="M144">
        <f>IF(L144="","",IFERROR(VLOOKUP(L144,mapGrupoStatus,2,0),"Outros"))</f>
        <v/>
      </c>
      <c r="N144">
        <f>IF(O144="","",IF(O144&lt;=30,"0-30 dias",IF(O144&lt;=60,"31-60 dias",IF(O144&lt;=90,"61-90 dias","Mais de 90 dias"))))</f>
        <v/>
      </c>
      <c r="O144">
        <f>IF(OR(M144="Pendente",M144="Em andamento"),IF(J144="","",TODAY()-J144),"")</f>
        <v/>
      </c>
      <c r="P144" t="n">
        <v>10615</v>
      </c>
      <c r="Q144" t="inlineStr">
        <is>
          <t>Brisa Técnica (10615)</t>
        </is>
      </c>
      <c r="R144" t="inlineStr">
        <is>
          <t>PC-0012</t>
        </is>
      </c>
      <c r="S144" t="inlineStr">
        <is>
          <t>Placa eletrônica modelo 02</t>
        </is>
      </c>
      <c r="T144" t="n">
        <v>1</v>
      </c>
      <c r="U144" t="n">
        <v>138</v>
      </c>
      <c r="V144">
        <f>IF(J144="","",MONTH(J144))</f>
        <v/>
      </c>
      <c r="W144">
        <f>IF(J144="","",YEAR(J144))</f>
        <v/>
      </c>
      <c r="X144" t="inlineStr">
        <is>
          <t>TransNorte</t>
        </is>
      </c>
      <c r="Y144">
        <f>IFERROR(INDEX(Rastreio!$H$2:$H$200,MATCH(X144&amp;"|"&amp;U144,Rastreio!$A$2:$A$200,0)),"")</f>
        <v/>
      </c>
    </row>
    <row r="145">
      <c r="A145">
        <f>IFERROR(INDEX(STAs!$G$2:$G$61,MATCH(P145,STAs!$F$2:$F$61,0))&amp;"","")</f>
        <v/>
      </c>
      <c r="B145" t="n">
        <v>20023205</v>
      </c>
      <c r="C145" t="inlineStr">
        <is>
          <t>Não</t>
        </is>
      </c>
      <c r="D145" t="inlineStr">
        <is>
          <t>BA</t>
        </is>
      </c>
      <c r="E145" t="inlineStr">
        <is>
          <t>NORDESTE</t>
        </is>
      </c>
      <c r="F145" t="inlineStr">
        <is>
          <t>Cliente B - Chopeira</t>
        </is>
      </c>
      <c r="G145" t="inlineStr">
        <is>
          <t>Refrigeradores</t>
        </is>
      </c>
      <c r="H145" s="10" t="n">
        <v>45</v>
      </c>
      <c r="I145" s="10">
        <f>IFERROR(T145*H145,0)</f>
        <v/>
      </c>
      <c r="J145" s="11" t="n">
        <v>45931</v>
      </c>
      <c r="K145" s="11" t="n"/>
      <c r="L145" t="inlineStr">
        <is>
          <t>NPD</t>
        </is>
      </c>
      <c r="M145">
        <f>IF(L145="","",IFERROR(VLOOKUP(L145,mapGrupoStatus,2,0),"Outros"))</f>
        <v/>
      </c>
      <c r="N145">
        <f>IF(O145="","",IF(O145&lt;=30,"0-30 dias",IF(O145&lt;=60,"31-60 dias",IF(O145&lt;=90,"61-90 dias","Mais de 90 dias"))))</f>
        <v/>
      </c>
      <c r="O145">
        <f>IF(OR(M145="Pendente",M145="Em andamento"),IF(J145="","",TODAY()-J145),"")</f>
        <v/>
      </c>
      <c r="P145" t="n">
        <v>11538</v>
      </c>
      <c r="Q145" t="inlineStr">
        <is>
          <t>Clima Manutenção (11538)</t>
        </is>
      </c>
      <c r="R145" t="inlineStr">
        <is>
          <t>PC-0019</t>
        </is>
      </c>
      <c r="S145" t="inlineStr">
        <is>
          <t>Gaxeta da porta modelo 02</t>
        </is>
      </c>
      <c r="T145" t="n">
        <v>1</v>
      </c>
      <c r="U145" t="inlineStr"/>
      <c r="V145">
        <f>IF(J145="","",MONTH(J145))</f>
        <v/>
      </c>
      <c r="W145">
        <f>IF(J145="","",YEAR(J145))</f>
        <v/>
      </c>
      <c r="X145" t="inlineStr"/>
      <c r="Y145">
        <f>IFERROR(INDEX(Rastreio!$H$2:$H$200,MATCH(X145&amp;"|"&amp;U145,Rastreio!$A$2:$A$200,0)),"")</f>
        <v/>
      </c>
    </row>
    <row r="146">
      <c r="A146">
        <f>IFERROR(INDEX(STAs!$G$2:$G$61,MATCH(P146,STAs!$F$2:$F$61,0))&amp;"","")</f>
        <v/>
      </c>
      <c r="B146" t="n">
        <v>20032984</v>
      </c>
      <c r="C146" t="inlineStr">
        <is>
          <t>Não</t>
        </is>
      </c>
      <c r="D146" t="inlineStr">
        <is>
          <t>RR</t>
        </is>
      </c>
      <c r="E146" t="inlineStr">
        <is>
          <t>NORTE</t>
        </is>
      </c>
      <c r="F146" t="inlineStr">
        <is>
          <t>Cliente A - Refrigerador</t>
        </is>
      </c>
      <c r="G146" t="inlineStr">
        <is>
          <t>Refrigeradores</t>
        </is>
      </c>
      <c r="H146" s="10" t="n">
        <v>40</v>
      </c>
      <c r="I146" s="10">
        <f>IFERROR(T146*H146,0)</f>
        <v/>
      </c>
      <c r="J146" s="11" t="n">
        <v>45931</v>
      </c>
      <c r="K146" s="11" t="n"/>
      <c r="L146" t="inlineStr">
        <is>
          <t>Debitar do STA</t>
        </is>
      </c>
      <c r="M146">
        <f>IF(L146="","",IFERROR(VLOOKUP(L146,mapGrupoStatus,2,0),"Outros"))</f>
        <v/>
      </c>
      <c r="N146">
        <f>IF(O146="","",IF(O146&lt;=30,"0-30 dias",IF(O146&lt;=60,"31-60 dias",IF(O146&lt;=90,"61-90 dias","Mais de 90 dias"))))</f>
        <v/>
      </c>
      <c r="O146">
        <f>IF(OR(M146="Pendente",M146="Em andamento"),IF(J146="","",TODAY()-J146),"")</f>
        <v/>
      </c>
      <c r="P146" t="n">
        <v>12422</v>
      </c>
      <c r="Q146" t="inlineStr">
        <is>
          <t>Assistência Técnica Refrigeração (12422)</t>
        </is>
      </c>
      <c r="R146" t="inlineStr">
        <is>
          <t>PC-0004</t>
        </is>
      </c>
      <c r="S146" t="inlineStr">
        <is>
          <t>Termostato modelo 01</t>
        </is>
      </c>
      <c r="T146" t="n">
        <v>1</v>
      </c>
      <c r="U146" t="inlineStr"/>
      <c r="V146">
        <f>IF(J146="","",MONTH(J146))</f>
        <v/>
      </c>
      <c r="W146">
        <f>IF(J146="","",YEAR(J146))</f>
        <v/>
      </c>
      <c r="X146" t="inlineStr"/>
      <c r="Y146">
        <f>IFERROR(INDEX(Rastreio!$H$2:$H$200,MATCH(X146&amp;"|"&amp;U146,Rastreio!$A$2:$A$200,0)),"")</f>
        <v/>
      </c>
    </row>
    <row r="147">
      <c r="A147">
        <f>IFERROR(INDEX(STAs!$G$2:$G$61,MATCH(P147,STAs!$F$2:$F$61,0))&amp;"","")</f>
        <v/>
      </c>
      <c r="B147" t="n">
        <v>20038576</v>
      </c>
      <c r="C147" t="inlineStr">
        <is>
          <t>Sim</t>
        </is>
      </c>
      <c r="D147" t="inlineStr">
        <is>
          <t>CE</t>
        </is>
      </c>
      <c r="E147" t="inlineStr">
        <is>
          <t>NORDESTE</t>
        </is>
      </c>
      <c r="F147" t="inlineStr">
        <is>
          <t>Cliente B - Chopeira</t>
        </is>
      </c>
      <c r="G147" t="inlineStr">
        <is>
          <t>Refrigeradores</t>
        </is>
      </c>
      <c r="H147" s="10" t="n">
        <v>330</v>
      </c>
      <c r="I147" s="10">
        <f>IFERROR(T147*H147,0)</f>
        <v/>
      </c>
      <c r="J147" s="11" t="n">
        <v>45931</v>
      </c>
      <c r="K147" s="11" t="n">
        <v>45957</v>
      </c>
      <c r="L147" t="inlineStr">
        <is>
          <t>Ok. Devolvida</t>
        </is>
      </c>
      <c r="M147">
        <f>IF(L147="","",IFERROR(VLOOKUP(L147,mapGrupoStatus,2,0),"Outros"))</f>
        <v/>
      </c>
      <c r="N147">
        <f>IF(O147="","",IF(O147&lt;=30,"0-30 dias",IF(O147&lt;=60,"31-60 dias",IF(O147&lt;=90,"61-90 dias","Mais de 90 dias"))))</f>
        <v/>
      </c>
      <c r="O147">
        <f>IF(OR(M147="Pendente",M147="Em andamento"),IF(J147="","",TODAY()-J147),"")</f>
        <v/>
      </c>
      <c r="P147" t="n">
        <v>10615</v>
      </c>
      <c r="Q147" t="inlineStr">
        <is>
          <t>Brisa Técnica (10615)</t>
        </is>
      </c>
      <c r="R147" t="inlineStr">
        <is>
          <t>PC-0003</t>
        </is>
      </c>
      <c r="S147" t="inlineStr">
        <is>
          <t>Compressor modelo 03</t>
        </is>
      </c>
      <c r="T147" t="n">
        <v>1</v>
      </c>
      <c r="U147" t="n">
        <v>167</v>
      </c>
      <c r="V147">
        <f>IF(J147="","",MONTH(J147))</f>
        <v/>
      </c>
      <c r="W147">
        <f>IF(J147="","",YEAR(J147))</f>
        <v/>
      </c>
      <c r="X147" t="inlineStr">
        <is>
          <t>CargoMax</t>
        </is>
      </c>
      <c r="Y147">
        <f>IFERROR(INDEX(Rastreio!$H$2:$H$200,MATCH(X147&amp;"|"&amp;U147,Rastreio!$A$2:$A$200,0)),"")</f>
        <v/>
      </c>
    </row>
    <row r="148">
      <c r="A148">
        <f>IFERROR(INDEX(STAs!$G$2:$G$61,MATCH(P148,STAs!$F$2:$F$61,0))&amp;"","")</f>
        <v/>
      </c>
      <c r="B148" t="n">
        <v>20001648</v>
      </c>
      <c r="C148" t="inlineStr">
        <is>
          <t>Não</t>
        </is>
      </c>
      <c r="D148" t="inlineStr">
        <is>
          <t>MG</t>
        </is>
      </c>
      <c r="E148" t="inlineStr">
        <is>
          <t>SUDESTE MG</t>
        </is>
      </c>
      <c r="F148" t="inlineStr">
        <is>
          <t>Cliente B - Chopeira</t>
        </is>
      </c>
      <c r="G148" t="inlineStr">
        <is>
          <t>Misturadores</t>
        </is>
      </c>
      <c r="H148" s="10" t="n">
        <v>40</v>
      </c>
      <c r="I148" s="10">
        <f>IFERROR(T148*H148,0)</f>
        <v/>
      </c>
      <c r="J148" s="11" t="n">
        <v>45932</v>
      </c>
      <c r="K148" s="11" t="n"/>
      <c r="L148" t="inlineStr">
        <is>
          <t>NPD</t>
        </is>
      </c>
      <c r="M148">
        <f>IF(L148="","",IFERROR(VLOOKUP(L148,mapGrupoStatus,2,0),"Outros"))</f>
        <v/>
      </c>
      <c r="N148">
        <f>IF(O148="","",IF(O148&lt;=30,"0-30 dias",IF(O148&lt;=60,"31-60 dias",IF(O148&lt;=90,"61-90 dias","Mais de 90 dias"))))</f>
        <v/>
      </c>
      <c r="O148">
        <f>IF(OR(M148="Pendente",M148="Em andamento"),IF(J148="","",TODAY()-J148),"")</f>
        <v/>
      </c>
      <c r="P148" t="n">
        <v>11487</v>
      </c>
      <c r="Q148" t="inlineStr">
        <is>
          <t>Assistência Técnica Manutenção (11487)</t>
        </is>
      </c>
      <c r="R148" t="inlineStr">
        <is>
          <t>PC-0042</t>
        </is>
      </c>
      <c r="S148" t="inlineStr">
        <is>
          <t>Bico dosador modelo 01</t>
        </is>
      </c>
      <c r="T148" t="n">
        <v>1</v>
      </c>
      <c r="U148" t="inlineStr"/>
      <c r="V148">
        <f>IF(J148="","",MONTH(J148))</f>
        <v/>
      </c>
      <c r="W148">
        <f>IF(J148="","",YEAR(J148))</f>
        <v/>
      </c>
      <c r="X148" t="inlineStr"/>
      <c r="Y148">
        <f>IFERROR(INDEX(Rastreio!$H$2:$H$200,MATCH(X148&amp;"|"&amp;U148,Rastreio!$A$2:$A$200,0)),"")</f>
        <v/>
      </c>
    </row>
    <row r="149">
      <c r="A149">
        <f>IFERROR(INDEX(STAs!$G$2:$G$61,MATCH(P149,STAs!$F$2:$F$61,0))&amp;"","")</f>
        <v/>
      </c>
      <c r="B149" t="n">
        <v>20003808</v>
      </c>
      <c r="C149" t="inlineStr">
        <is>
          <t>Não</t>
        </is>
      </c>
      <c r="D149" t="inlineStr">
        <is>
          <t>MG</t>
        </is>
      </c>
      <c r="E149" t="inlineStr">
        <is>
          <t>SUDESTE MG</t>
        </is>
      </c>
      <c r="F149" t="inlineStr">
        <is>
          <t>Cliente B - Chopeira</t>
        </is>
      </c>
      <c r="G149" t="inlineStr">
        <is>
          <t>Misturadores</t>
        </is>
      </c>
      <c r="H149" s="10" t="n">
        <v>200</v>
      </c>
      <c r="I149" s="10">
        <f>IFERROR(T149*H149,0)</f>
        <v/>
      </c>
      <c r="J149" s="11" t="n">
        <v>45932</v>
      </c>
      <c r="K149" s="11" t="n"/>
      <c r="L149" t="inlineStr">
        <is>
          <t>Aguardando Transporte</t>
        </is>
      </c>
      <c r="M149">
        <f>IF(L149="","",IFERROR(VLOOKUP(L149,mapGrupoStatus,2,0),"Outros"))</f>
        <v/>
      </c>
      <c r="N149">
        <f>IF(O149="","",IF(O149&lt;=30,"0-30 dias",IF(O149&lt;=60,"31-60 dias",IF(O149&lt;=90,"61-90 dias","Mais de 90 dias"))))</f>
        <v/>
      </c>
      <c r="O149">
        <f>IF(OR(M149="Pendente",M149="Em andamento"),IF(J149="","",TODAY()-J149),"")</f>
        <v/>
      </c>
      <c r="P149" t="n">
        <v>11619</v>
      </c>
      <c r="Q149" t="inlineStr">
        <is>
          <t>Refrigeração Ltda (11619)</t>
        </is>
      </c>
      <c r="R149" t="inlineStr">
        <is>
          <t>PC-0040</t>
        </is>
      </c>
      <c r="S149" t="inlineStr">
        <is>
          <t>Motor agitador modelo 01</t>
        </is>
      </c>
      <c r="T149" t="n">
        <v>3</v>
      </c>
      <c r="U149" t="n">
        <v>105</v>
      </c>
      <c r="V149">
        <f>IF(J149="","",MONTH(J149))</f>
        <v/>
      </c>
      <c r="W149">
        <f>IF(J149="","",YEAR(J149))</f>
        <v/>
      </c>
      <c r="X149" t="inlineStr">
        <is>
          <t>CargoMax</t>
        </is>
      </c>
      <c r="Y149">
        <f>IFERROR(INDEX(Rastreio!$H$2:$H$200,MATCH(X149&amp;"|"&amp;U149,Rastreio!$A$2:$A$200,0)),"")</f>
        <v/>
      </c>
    </row>
    <row r="150">
      <c r="A150">
        <f>IFERROR(INDEX(STAs!$G$2:$G$61,MATCH(P150,STAs!$F$2:$F$61,0))&amp;"","")</f>
        <v/>
      </c>
      <c r="B150" t="n">
        <v>20009459</v>
      </c>
      <c r="C150" t="inlineStr">
        <is>
          <t>Não</t>
        </is>
      </c>
      <c r="D150" t="inlineStr">
        <is>
          <t>SP</t>
        </is>
      </c>
      <c r="E150" t="inlineStr">
        <is>
          <t>SUDESTE SP</t>
        </is>
      </c>
      <c r="F150" t="inlineStr">
        <is>
          <t>Cliente C - Misturador</t>
        </is>
      </c>
      <c r="G150" t="inlineStr">
        <is>
          <t>Refrigeradores</t>
        </is>
      </c>
      <c r="H150" s="10" t="n">
        <v>30</v>
      </c>
      <c r="I150" s="10">
        <f>IFERROR(T150*H150,0)</f>
        <v/>
      </c>
      <c r="J150" s="11" t="n">
        <v>45932</v>
      </c>
      <c r="K150" s="11" t="n"/>
      <c r="L150" t="inlineStr">
        <is>
          <t>Em andamento</t>
        </is>
      </c>
      <c r="M150">
        <f>IF(L150="","",IFERROR(VLOOKUP(L150,mapGrupoStatus,2,0),"Outros"))</f>
        <v/>
      </c>
      <c r="N150">
        <f>IF(O150="","",IF(O150&lt;=30,"0-30 dias",IF(O150&lt;=60,"31-60 dias",IF(O150&lt;=90,"61-90 dias","Mais de 90 dias"))))</f>
        <v/>
      </c>
      <c r="O150">
        <f>IF(OR(M150="Pendente",M150="Em andamento"),IF(J150="","",TODAY()-J150),"")</f>
        <v/>
      </c>
      <c r="P150" t="n">
        <v>12052</v>
      </c>
      <c r="Q150" t="inlineStr">
        <is>
          <t>Brisa Refrigeração (12052)</t>
        </is>
      </c>
      <c r="R150" t="inlineStr">
        <is>
          <t>PC-0017</t>
        </is>
      </c>
      <c r="S150" t="inlineStr">
        <is>
          <t>Filtro secador modelo 03</t>
        </is>
      </c>
      <c r="T150" t="n">
        <v>1</v>
      </c>
      <c r="U150" t="n">
        <v>123</v>
      </c>
      <c r="V150">
        <f>IF(J150="","",MONTH(J150))</f>
        <v/>
      </c>
      <c r="W150">
        <f>IF(J150="","",YEAR(J150))</f>
        <v/>
      </c>
      <c r="X150" t="inlineStr">
        <is>
          <t>ViaCargo</t>
        </is>
      </c>
      <c r="Y150">
        <f>IFERROR(INDEX(Rastreio!$H$2:$H$200,MATCH(X150&amp;"|"&amp;U150,Rastreio!$A$2:$A$200,0)),"")</f>
        <v/>
      </c>
    </row>
    <row r="151">
      <c r="A151">
        <f>IFERROR(INDEX(STAs!$G$2:$G$61,MATCH(P151,STAs!$F$2:$F$61,0))&amp;"","")</f>
        <v/>
      </c>
      <c r="B151" t="n">
        <v>20019140</v>
      </c>
      <c r="C151" t="inlineStr">
        <is>
          <t>Não</t>
        </is>
      </c>
      <c r="D151" t="inlineStr">
        <is>
          <t>RJ</t>
        </is>
      </c>
      <c r="E151" t="inlineStr">
        <is>
          <t>SUDESTE RJ e ES</t>
        </is>
      </c>
      <c r="F151" t="inlineStr">
        <is>
          <t>Cliente A - Refrigerador</t>
        </is>
      </c>
      <c r="G151" t="inlineStr">
        <is>
          <t>Chopeiras</t>
        </is>
      </c>
      <c r="H151" s="10" t="n">
        <v>120</v>
      </c>
      <c r="I151" s="10">
        <f>IFERROR(T151*H151,0)</f>
        <v/>
      </c>
      <c r="J151" s="11" t="n">
        <v>45932</v>
      </c>
      <c r="K151" s="11" t="n">
        <v>45964</v>
      </c>
      <c r="L151" t="inlineStr">
        <is>
          <t>Ok. Devolvida</t>
        </is>
      </c>
      <c r="M151">
        <f>IF(L151="","",IFERROR(VLOOKUP(L151,mapGrupoStatus,2,0),"Outros"))</f>
        <v/>
      </c>
      <c r="N151">
        <f>IF(O151="","",IF(O151&lt;=30,"0-30 dias",IF(O151&lt;=60,"31-60 dias",IF(O151&lt;=90,"61-90 dias","Mais de 90 dias"))))</f>
        <v/>
      </c>
      <c r="O151">
        <f>IF(OR(M151="Pendente",M151="Em andamento"),IF(J151="","",TODAY()-J151),"")</f>
        <v/>
      </c>
      <c r="P151" t="n">
        <v>12811</v>
      </c>
      <c r="Q151" t="inlineStr">
        <is>
          <t>Norte Frio Técnica (12811)</t>
        </is>
      </c>
      <c r="R151" t="inlineStr">
        <is>
          <t>PC-0032</t>
        </is>
      </c>
      <c r="S151" t="inlineStr">
        <is>
          <t>Regulador de pressão modelo 01</t>
        </is>
      </c>
      <c r="T151" t="n">
        <v>1</v>
      </c>
      <c r="U151" t="n">
        <v>136</v>
      </c>
      <c r="V151">
        <f>IF(J151="","",MONTH(J151))</f>
        <v/>
      </c>
      <c r="W151">
        <f>IF(J151="","",YEAR(J151))</f>
        <v/>
      </c>
      <c r="X151" t="inlineStr">
        <is>
          <t>CargoMax</t>
        </is>
      </c>
      <c r="Y151">
        <f>IFERROR(INDEX(Rastreio!$H$2:$H$200,MATCH(X151&amp;"|"&amp;U151,Rastreio!$A$2:$A$200,0)),"")</f>
        <v/>
      </c>
    </row>
    <row r="152">
      <c r="A152">
        <f>IFERROR(INDEX(STAs!$G$2:$G$61,MATCH(P152,STAs!$F$2:$F$61,0))&amp;"","")</f>
        <v/>
      </c>
      <c r="B152" t="n">
        <v>20036263</v>
      </c>
      <c r="C152" t="inlineStr">
        <is>
          <t>Não</t>
        </is>
      </c>
      <c r="D152" t="inlineStr">
        <is>
          <t>MG</t>
        </is>
      </c>
      <c r="E152" t="inlineStr">
        <is>
          <t>SUDESTE MG</t>
        </is>
      </c>
      <c r="F152" t="inlineStr">
        <is>
          <t>Cliente A - Refrigerador</t>
        </is>
      </c>
      <c r="G152" t="inlineStr">
        <is>
          <t>Refrigeradores</t>
        </is>
      </c>
      <c r="H152" s="10" t="n">
        <v>45</v>
      </c>
      <c r="I152" s="10">
        <f>IFERROR(T152*H152,0)</f>
        <v/>
      </c>
      <c r="J152" s="11" t="n">
        <v>45932</v>
      </c>
      <c r="K152" s="11" t="n">
        <v>45969</v>
      </c>
      <c r="L152" t="inlineStr">
        <is>
          <t>Ok. Devolvida</t>
        </is>
      </c>
      <c r="M152">
        <f>IF(L152="","",IFERROR(VLOOKUP(L152,mapGrupoStatus,2,0),"Outros"))</f>
        <v/>
      </c>
      <c r="N152">
        <f>IF(O152="","",IF(O152&lt;=30,"0-30 dias",IF(O152&lt;=60,"31-60 dias",IF(O152&lt;=90,"61-90 dias","Mais de 90 dias"))))</f>
        <v/>
      </c>
      <c r="O152">
        <f>IF(OR(M152="Pendente",M152="Em andamento"),IF(J152="","",TODAY()-J152),"")</f>
        <v/>
      </c>
      <c r="P152" t="n">
        <v>11494</v>
      </c>
      <c r="Q152" t="inlineStr">
        <is>
          <t>Clima Técnica (11494)</t>
        </is>
      </c>
      <c r="R152" t="inlineStr">
        <is>
          <t>PC-0019</t>
        </is>
      </c>
      <c r="S152" t="inlineStr">
        <is>
          <t>Gaxeta da porta modelo 02</t>
        </is>
      </c>
      <c r="T152" t="n">
        <v>1</v>
      </c>
      <c r="U152" t="n">
        <v>165</v>
      </c>
      <c r="V152">
        <f>IF(J152="","",MONTH(J152))</f>
        <v/>
      </c>
      <c r="W152">
        <f>IF(J152="","",YEAR(J152))</f>
        <v/>
      </c>
      <c r="X152" t="inlineStr">
        <is>
          <t>LogExpress</t>
        </is>
      </c>
      <c r="Y152">
        <f>IFERROR(INDEX(Rastreio!$H$2:$H$200,MATCH(X152&amp;"|"&amp;U152,Rastreio!$A$2:$A$200,0)),"")</f>
        <v/>
      </c>
    </row>
    <row r="153">
      <c r="A153">
        <f>IFERROR(INDEX(STAs!$G$2:$G$61,MATCH(P153,STAs!$F$2:$F$61,0))&amp;"","")</f>
        <v/>
      </c>
      <c r="B153" t="n">
        <v>20023459</v>
      </c>
      <c r="C153" t="inlineStr">
        <is>
          <t>Não</t>
        </is>
      </c>
      <c r="D153" t="inlineStr">
        <is>
          <t>RJ</t>
        </is>
      </c>
      <c r="E153" t="inlineStr">
        <is>
          <t>SUDESTE RJ e ES</t>
        </is>
      </c>
      <c r="F153" t="inlineStr">
        <is>
          <t>Cliente C - Misturador</t>
        </is>
      </c>
      <c r="G153" t="inlineStr">
        <is>
          <t>Chopeiras</t>
        </is>
      </c>
      <c r="H153" s="10" t="n">
        <v>115</v>
      </c>
      <c r="I153" s="10">
        <f>IFERROR(T153*H153,0)</f>
        <v/>
      </c>
      <c r="J153" s="11" t="n">
        <v>45933</v>
      </c>
      <c r="K153" s="11" t="n">
        <v>45975</v>
      </c>
      <c r="L153" t="inlineStr">
        <is>
          <t>Ok. Devolvida</t>
        </is>
      </c>
      <c r="M153">
        <f>IF(L153="","",IFERROR(VLOOKUP(L153,mapGrupoStatus,2,0),"Outros"))</f>
        <v/>
      </c>
      <c r="N153">
        <f>IF(O153="","",IF(O153&lt;=30,"0-30 dias",IF(O153&lt;=60,"31-60 dias",IF(O153&lt;=90,"61-90 dias","Mais de 90 dias"))))</f>
        <v/>
      </c>
      <c r="O153">
        <f>IF(OR(M153="Pendente",M153="Em andamento"),IF(J153="","",TODAY()-J153),"")</f>
        <v/>
      </c>
      <c r="P153" t="n">
        <v>12336</v>
      </c>
      <c r="Q153" t="inlineStr">
        <is>
          <t>Termotec ME (12336)</t>
        </is>
      </c>
      <c r="R153" t="inlineStr">
        <is>
          <t>PC-0034</t>
        </is>
      </c>
      <c r="S153" t="inlineStr">
        <is>
          <t>Regulador de pressão modelo 03</t>
        </is>
      </c>
      <c r="T153" t="n">
        <v>1</v>
      </c>
      <c r="U153" t="n">
        <v>142</v>
      </c>
      <c r="V153">
        <f>IF(J153="","",MONTH(J153))</f>
        <v/>
      </c>
      <c r="W153">
        <f>IF(J153="","",YEAR(J153))</f>
        <v/>
      </c>
      <c r="X153" t="inlineStr">
        <is>
          <t>CargoMax</t>
        </is>
      </c>
      <c r="Y153">
        <f>IFERROR(INDEX(Rastreio!$H$2:$H$200,MATCH(X153&amp;"|"&amp;U153,Rastreio!$A$2:$A$200,0)),"")</f>
        <v/>
      </c>
    </row>
    <row r="154">
      <c r="A154">
        <f>IFERROR(INDEX(STAs!$G$2:$G$61,MATCH(P154,STAs!$F$2:$F$61,0))&amp;"","")</f>
        <v/>
      </c>
      <c r="B154" t="n">
        <v>20032356</v>
      </c>
      <c r="C154" t="inlineStr">
        <is>
          <t>Sim</t>
        </is>
      </c>
      <c r="D154" t="inlineStr">
        <is>
          <t>PR</t>
        </is>
      </c>
      <c r="E154" t="inlineStr">
        <is>
          <t>SUL</t>
        </is>
      </c>
      <c r="F154" t="inlineStr">
        <is>
          <t>Cliente A - Refrigerador</t>
        </is>
      </c>
      <c r="G154" t="inlineStr">
        <is>
          <t>Refrigeradores</t>
        </is>
      </c>
      <c r="H154" s="10" t="n">
        <v>50</v>
      </c>
      <c r="I154" s="10">
        <f>IFERROR(T154*H154,0)</f>
        <v/>
      </c>
      <c r="J154" s="11" t="n">
        <v>45933</v>
      </c>
      <c r="K154" s="11" t="n"/>
      <c r="L154" t="inlineStr">
        <is>
          <t>NF Vencida</t>
        </is>
      </c>
      <c r="M154">
        <f>IF(L154="","",IFERROR(VLOOKUP(L154,mapGrupoStatus,2,0),"Outros"))</f>
        <v/>
      </c>
      <c r="N154">
        <f>IF(O154="","",IF(O154&lt;=30,"0-30 dias",IF(O154&lt;=60,"31-60 dias",IF(O154&lt;=90,"61-90 dias","Mais de 90 dias"))))</f>
        <v/>
      </c>
      <c r="O154">
        <f>IF(OR(M154="Pendente",M154="Em andamento"),IF(J154="","",TODAY()-J154),"")</f>
        <v/>
      </c>
      <c r="P154" t="n">
        <v>10913</v>
      </c>
      <c r="Q154" t="inlineStr">
        <is>
          <t>Ice Tech &amp; Cia (10913)</t>
        </is>
      </c>
      <c r="R154" t="inlineStr">
        <is>
          <t>PC-0006</t>
        </is>
      </c>
      <c r="S154" t="inlineStr">
        <is>
          <t>Termostato modelo 03</t>
        </is>
      </c>
      <c r="T154" t="n">
        <v>1</v>
      </c>
      <c r="U154" t="inlineStr"/>
      <c r="V154">
        <f>IF(J154="","",MONTH(J154))</f>
        <v/>
      </c>
      <c r="W154">
        <f>IF(J154="","",YEAR(J154))</f>
        <v/>
      </c>
      <c r="X154" t="inlineStr"/>
      <c r="Y154">
        <f>IFERROR(INDEX(Rastreio!$H$2:$H$200,MATCH(X154&amp;"|"&amp;U154,Rastreio!$A$2:$A$200,0)),"")</f>
        <v/>
      </c>
    </row>
    <row r="155">
      <c r="A155">
        <f>IFERROR(INDEX(STAs!$G$2:$G$61,MATCH(P155,STAs!$F$2:$F$61,0))&amp;"","")</f>
        <v/>
      </c>
      <c r="B155" t="n">
        <v>20036983</v>
      </c>
      <c r="C155" t="inlineStr">
        <is>
          <t>Não</t>
        </is>
      </c>
      <c r="D155" t="inlineStr">
        <is>
          <t>SC</t>
        </is>
      </c>
      <c r="E155" t="inlineStr">
        <is>
          <t>SUL</t>
        </is>
      </c>
      <c r="F155" t="inlineStr">
        <is>
          <t>Cliente A - Refrigerador</t>
        </is>
      </c>
      <c r="G155" t="inlineStr">
        <is>
          <t>Refrigeradores</t>
        </is>
      </c>
      <c r="H155" s="10" t="n">
        <v>70</v>
      </c>
      <c r="I155" s="10">
        <f>IFERROR(T155*H155,0)</f>
        <v/>
      </c>
      <c r="J155" s="11" t="n">
        <v>45933</v>
      </c>
      <c r="K155" s="11" t="n"/>
      <c r="L155" t="inlineStr">
        <is>
          <t>Debitar do STA</t>
        </is>
      </c>
      <c r="M155">
        <f>IF(L155="","",IFERROR(VLOOKUP(L155,mapGrupoStatus,2,0),"Outros"))</f>
        <v/>
      </c>
      <c r="N155">
        <f>IF(O155="","",IF(O155&lt;=30,"0-30 dias",IF(O155&lt;=60,"31-60 dias",IF(O155&lt;=90,"61-90 dias","Mais de 90 dias"))))</f>
        <v/>
      </c>
      <c r="O155">
        <f>IF(OR(M155="Pendente",M155="Em andamento"),IF(J155="","",TODAY()-J155),"")</f>
        <v/>
      </c>
      <c r="P155" t="n">
        <v>12138</v>
      </c>
      <c r="Q155" t="inlineStr">
        <is>
          <t>Refrigeração Serviços (12138)</t>
        </is>
      </c>
      <c r="R155" t="inlineStr">
        <is>
          <t>PC-0009</t>
        </is>
      </c>
      <c r="S155" t="inlineStr">
        <is>
          <t>Ventilador modelo 03</t>
        </is>
      </c>
      <c r="T155" t="n">
        <v>1</v>
      </c>
      <c r="U155" t="inlineStr"/>
      <c r="V155">
        <f>IF(J155="","",MONTH(J155))</f>
        <v/>
      </c>
      <c r="W155">
        <f>IF(J155="","",YEAR(J155))</f>
        <v/>
      </c>
      <c r="X155" t="inlineStr"/>
      <c r="Y155">
        <f>IFERROR(INDEX(Rastreio!$H$2:$H$200,MATCH(X155&amp;"|"&amp;U155,Rastreio!$A$2:$A$200,0)),"")</f>
        <v/>
      </c>
    </row>
    <row r="156">
      <c r="A156">
        <f>IFERROR(INDEX(STAs!$G$2:$G$61,MATCH(P156,STAs!$F$2:$F$61,0))&amp;"","")</f>
        <v/>
      </c>
      <c r="B156" t="n">
        <v>20040406</v>
      </c>
      <c r="C156" t="inlineStr">
        <is>
          <t>Não</t>
        </is>
      </c>
      <c r="D156" t="inlineStr">
        <is>
          <t>SP</t>
        </is>
      </c>
      <c r="E156" t="inlineStr">
        <is>
          <t>SUDESTE SP</t>
        </is>
      </c>
      <c r="F156" t="inlineStr">
        <is>
          <t>Cliente C - Misturador</t>
        </is>
      </c>
      <c r="G156" t="inlineStr">
        <is>
          <t>Misturadores</t>
        </is>
      </c>
      <c r="H156" s="10" t="n">
        <v>200</v>
      </c>
      <c r="I156" s="10">
        <f>IFERROR(T156*H156,0)</f>
        <v/>
      </c>
      <c r="J156" s="11" t="n">
        <v>45933</v>
      </c>
      <c r="K156" s="11" t="n">
        <v>45959</v>
      </c>
      <c r="L156" t="inlineStr">
        <is>
          <t>Ok. Devolvida</t>
        </is>
      </c>
      <c r="M156">
        <f>IF(L156="","",IFERROR(VLOOKUP(L156,mapGrupoStatus,2,0),"Outros"))</f>
        <v/>
      </c>
      <c r="N156">
        <f>IF(O156="","",IF(O156&lt;=30,"0-30 dias",IF(O156&lt;=60,"31-60 dias",IF(O156&lt;=90,"61-90 dias","Mais de 90 dias"))))</f>
        <v/>
      </c>
      <c r="O156">
        <f>IF(OR(M156="Pendente",M156="Em andamento"),IF(J156="","",TODAY()-J156),"")</f>
        <v/>
      </c>
      <c r="P156" t="n">
        <v>12901</v>
      </c>
      <c r="Q156" t="inlineStr">
        <is>
          <t>Frio Serviços (12901)</t>
        </is>
      </c>
      <c r="R156" t="inlineStr">
        <is>
          <t>PC-0040</t>
        </is>
      </c>
      <c r="S156" t="inlineStr">
        <is>
          <t>Motor agitador modelo 01</t>
        </is>
      </c>
      <c r="T156" t="n">
        <v>1</v>
      </c>
      <c r="U156" t="n">
        <v>170</v>
      </c>
      <c r="V156">
        <f>IF(J156="","",MONTH(J156))</f>
        <v/>
      </c>
      <c r="W156">
        <f>IF(J156="","",YEAR(J156))</f>
        <v/>
      </c>
      <c r="X156" t="inlineStr">
        <is>
          <t>TransNorte</t>
        </is>
      </c>
      <c r="Y156">
        <f>IFERROR(INDEX(Rastreio!$H$2:$H$200,MATCH(X156&amp;"|"&amp;U156,Rastreio!$A$2:$A$200,0)),"")</f>
        <v/>
      </c>
    </row>
    <row r="157">
      <c r="A157">
        <f>IFERROR(INDEX(STAs!$G$2:$G$61,MATCH(P157,STAs!$F$2:$F$61,0))&amp;"","")</f>
        <v/>
      </c>
      <c r="B157" t="n">
        <v>20002343</v>
      </c>
      <c r="C157" t="inlineStr">
        <is>
          <t>Não</t>
        </is>
      </c>
      <c r="D157" t="inlineStr">
        <is>
          <t>RO</t>
        </is>
      </c>
      <c r="E157" t="inlineStr">
        <is>
          <t>NORTE</t>
        </is>
      </c>
      <c r="F157" t="inlineStr">
        <is>
          <t>Cliente C - Misturador</t>
        </is>
      </c>
      <c r="G157" t="inlineStr">
        <is>
          <t>Misturadores</t>
        </is>
      </c>
      <c r="H157" s="10" t="n">
        <v>185</v>
      </c>
      <c r="I157" s="10">
        <f>IFERROR(T157*H157,0)</f>
        <v/>
      </c>
      <c r="J157" s="11" t="n">
        <v>45934</v>
      </c>
      <c r="K157" s="11" t="n">
        <v>45963</v>
      </c>
      <c r="L157" t="inlineStr">
        <is>
          <t>Ok. Devolvida</t>
        </is>
      </c>
      <c r="M157">
        <f>IF(L157="","",IFERROR(VLOOKUP(L157,mapGrupoStatus,2,0),"Outros"))</f>
        <v/>
      </c>
      <c r="N157">
        <f>IF(O157="","",IF(O157&lt;=30,"0-30 dias",IF(O157&lt;=60,"31-60 dias",IF(O157&lt;=90,"61-90 dias","Mais de 90 dias"))))</f>
        <v/>
      </c>
      <c r="O157">
        <f>IF(OR(M157="Pendente",M157="Em andamento"),IF(J157="","",TODAY()-J157),"")</f>
        <v/>
      </c>
      <c r="P157" t="n">
        <v>10172</v>
      </c>
      <c r="Q157" t="inlineStr">
        <is>
          <t>Frigo Serviços (10172)</t>
        </is>
      </c>
      <c r="R157" t="inlineStr">
        <is>
          <t>PC-0041</t>
        </is>
      </c>
      <c r="S157" t="inlineStr">
        <is>
          <t>Motor agitador modelo 02</t>
        </is>
      </c>
      <c r="T157" t="n">
        <v>3</v>
      </c>
      <c r="U157" t="n">
        <v>106</v>
      </c>
      <c r="V157">
        <f>IF(J157="","",MONTH(J157))</f>
        <v/>
      </c>
      <c r="W157">
        <f>IF(J157="","",YEAR(J157))</f>
        <v/>
      </c>
      <c r="X157" t="inlineStr">
        <is>
          <t>ViaCargo</t>
        </is>
      </c>
      <c r="Y157">
        <f>IFERROR(INDEX(Rastreio!$H$2:$H$200,MATCH(X157&amp;"|"&amp;U157,Rastreio!$A$2:$A$200,0)),"")</f>
        <v/>
      </c>
    </row>
    <row r="158">
      <c r="A158">
        <f>IFERROR(INDEX(STAs!$G$2:$G$61,MATCH(P158,STAs!$F$2:$F$61,0))&amp;"","")</f>
        <v/>
      </c>
      <c r="B158" t="n">
        <v>20014205</v>
      </c>
      <c r="C158" t="inlineStr">
        <is>
          <t>Não</t>
        </is>
      </c>
      <c r="D158" t="inlineStr">
        <is>
          <t>PR</t>
        </is>
      </c>
      <c r="E158" t="inlineStr">
        <is>
          <t>SUL</t>
        </is>
      </c>
      <c r="F158" t="inlineStr">
        <is>
          <t>Cliente B - Chopeira</t>
        </is>
      </c>
      <c r="G158" t="inlineStr">
        <is>
          <t>Chopeiras</t>
        </is>
      </c>
      <c r="H158" s="10" t="n">
        <v>205</v>
      </c>
      <c r="I158" s="10">
        <f>IFERROR(T158*H158,0)</f>
        <v/>
      </c>
      <c r="J158" s="11" t="n">
        <v>45934</v>
      </c>
      <c r="K158" s="11" t="n">
        <v>45991</v>
      </c>
      <c r="L158" t="inlineStr">
        <is>
          <t>Ok. Devolvida</t>
        </is>
      </c>
      <c r="M158">
        <f>IF(L158="","",IFERROR(VLOOKUP(L158,mapGrupoStatus,2,0),"Outros"))</f>
        <v/>
      </c>
      <c r="N158">
        <f>IF(O158="","",IF(O158&lt;=30,"0-30 dias",IF(O158&lt;=60,"31-60 dias",IF(O158&lt;=90,"61-90 dias","Mais de 90 dias"))))</f>
        <v/>
      </c>
      <c r="O158">
        <f>IF(OR(M158="Pendente",M158="Em andamento"),IF(J158="","",TODAY()-J158),"")</f>
        <v/>
      </c>
      <c r="P158" t="n">
        <v>10504</v>
      </c>
      <c r="Q158" t="inlineStr">
        <is>
          <t>Zero Grau Ltda (10504)</t>
        </is>
      </c>
      <c r="R158" t="inlineStr">
        <is>
          <t>PC-0031</t>
        </is>
      </c>
      <c r="S158" t="inlineStr">
        <is>
          <t>Serpentina modelo 03</t>
        </is>
      </c>
      <c r="T158" t="n">
        <v>1</v>
      </c>
      <c r="U158" t="n">
        <v>124</v>
      </c>
      <c r="V158">
        <f>IF(J158="","",MONTH(J158))</f>
        <v/>
      </c>
      <c r="W158">
        <f>IF(J158="","",YEAR(J158))</f>
        <v/>
      </c>
      <c r="X158" t="inlineStr">
        <is>
          <t>EntregaJá</t>
        </is>
      </c>
      <c r="Y158">
        <f>IFERROR(INDEX(Rastreio!$H$2:$H$200,MATCH(X158&amp;"|"&amp;U158,Rastreio!$A$2:$A$200,0)),"")</f>
        <v/>
      </c>
    </row>
    <row r="159">
      <c r="A159">
        <f>IFERROR(INDEX(STAs!$G$2:$G$61,MATCH(P159,STAs!$F$2:$F$61,0))&amp;"","")</f>
        <v/>
      </c>
      <c r="B159" t="n">
        <v>20016858</v>
      </c>
      <c r="C159" t="inlineStr">
        <is>
          <t>Não</t>
        </is>
      </c>
      <c r="D159" t="inlineStr">
        <is>
          <t>SP</t>
        </is>
      </c>
      <c r="E159" t="inlineStr">
        <is>
          <t>SUDESTE SP</t>
        </is>
      </c>
      <c r="F159" t="inlineStr">
        <is>
          <t>Cliente C - Misturador</t>
        </is>
      </c>
      <c r="G159" t="inlineStr">
        <is>
          <t>Refrigeradores</t>
        </is>
      </c>
      <c r="H159" s="10" t="n">
        <v>30</v>
      </c>
      <c r="I159" s="10">
        <f>IFERROR(T159*H159,0)</f>
        <v/>
      </c>
      <c r="J159" s="11" t="n">
        <v>45934</v>
      </c>
      <c r="K159" s="11" t="n">
        <v>45939</v>
      </c>
      <c r="L159" t="inlineStr">
        <is>
          <t>Ok. Devolvida</t>
        </is>
      </c>
      <c r="M159">
        <f>IF(L159="","",IFERROR(VLOOKUP(L159,mapGrupoStatus,2,0),"Outros"))</f>
        <v/>
      </c>
      <c r="N159">
        <f>IF(O159="","",IF(O159&lt;=30,"0-30 dias",IF(O159&lt;=60,"31-60 dias",IF(O159&lt;=90,"61-90 dias","Mais de 90 dias"))))</f>
        <v/>
      </c>
      <c r="O159">
        <f>IF(OR(M159="Pendente",M159="Em andamento"),IF(J159="","",TODAY()-J159),"")</f>
        <v/>
      </c>
      <c r="P159" t="n">
        <v>12901</v>
      </c>
      <c r="Q159" t="inlineStr">
        <is>
          <t>Frio Serviços (12901)</t>
        </is>
      </c>
      <c r="R159" t="inlineStr">
        <is>
          <t>PC-0017</t>
        </is>
      </c>
      <c r="S159" t="inlineStr">
        <is>
          <t>Filtro secador modelo 03</t>
        </is>
      </c>
      <c r="T159" t="n">
        <v>1</v>
      </c>
      <c r="U159" t="n">
        <v>131</v>
      </c>
      <c r="V159">
        <f>IF(J159="","",MONTH(J159))</f>
        <v/>
      </c>
      <c r="W159">
        <f>IF(J159="","",YEAR(J159))</f>
        <v/>
      </c>
      <c r="X159" t="inlineStr">
        <is>
          <t>LogExpress</t>
        </is>
      </c>
      <c r="Y159">
        <f>IFERROR(INDEX(Rastreio!$H$2:$H$200,MATCH(X159&amp;"|"&amp;U159,Rastreio!$A$2:$A$200,0)),"")</f>
        <v/>
      </c>
    </row>
    <row r="160">
      <c r="A160">
        <f>IFERROR(INDEX(STAs!$G$2:$G$61,MATCH(P160,STAs!$F$2:$F$61,0))&amp;"","")</f>
        <v/>
      </c>
      <c r="B160" t="n">
        <v>20020290</v>
      </c>
      <c r="C160" t="inlineStr">
        <is>
          <t>Não</t>
        </is>
      </c>
      <c r="D160" t="inlineStr">
        <is>
          <t>MG</t>
        </is>
      </c>
      <c r="E160" t="inlineStr">
        <is>
          <t>SUDESTE MG</t>
        </is>
      </c>
      <c r="F160" t="inlineStr">
        <is>
          <t>Cliente A - Refrigerador</t>
        </is>
      </c>
      <c r="G160" t="inlineStr">
        <is>
          <t>Chopeiras</t>
        </is>
      </c>
      <c r="H160" s="10" t="n">
        <v>85</v>
      </c>
      <c r="I160" s="10">
        <f>IFERROR(T160*H160,0)</f>
        <v/>
      </c>
      <c r="J160" s="11" t="n">
        <v>45934</v>
      </c>
      <c r="K160" s="11" t="n">
        <v>45965</v>
      </c>
      <c r="L160" t="inlineStr">
        <is>
          <t>Ok. Devolvida</t>
        </is>
      </c>
      <c r="M160">
        <f>IF(L160="","",IFERROR(VLOOKUP(L160,mapGrupoStatus,2,0),"Outros"))</f>
        <v/>
      </c>
      <c r="N160">
        <f>IF(O160="","",IF(O160&lt;=30,"0-30 dias",IF(O160&lt;=60,"31-60 dias",IF(O160&lt;=90,"61-90 dias","Mais de 90 dias"))))</f>
        <v/>
      </c>
      <c r="O160">
        <f>IF(OR(M160="Pendente",M160="Em andamento"),IF(J160="","",TODAY()-J160),"")</f>
        <v/>
      </c>
      <c r="P160" t="n">
        <v>11487</v>
      </c>
      <c r="Q160" t="inlineStr">
        <is>
          <t>Assistência Técnica Manutenção (11487)</t>
        </is>
      </c>
      <c r="R160" t="inlineStr">
        <is>
          <t>PC-0036</t>
        </is>
      </c>
      <c r="S160" t="inlineStr">
        <is>
          <t>Válvula extratora modelo 02</t>
        </is>
      </c>
      <c r="T160" t="n">
        <v>1</v>
      </c>
      <c r="U160" t="n">
        <v>130</v>
      </c>
      <c r="V160">
        <f>IF(J160="","",MONTH(J160))</f>
        <v/>
      </c>
      <c r="W160">
        <f>IF(J160="","",YEAR(J160))</f>
        <v/>
      </c>
      <c r="X160" t="inlineStr">
        <is>
          <t>EntregaJá</t>
        </is>
      </c>
      <c r="Y160">
        <f>IFERROR(INDEX(Rastreio!$H$2:$H$200,MATCH(X160&amp;"|"&amp;U160,Rastreio!$A$2:$A$200,0)),"")</f>
        <v/>
      </c>
    </row>
    <row r="161">
      <c r="A161">
        <f>IFERROR(INDEX(STAs!$G$2:$G$61,MATCH(P161,STAs!$F$2:$F$61,0))&amp;"","")</f>
        <v/>
      </c>
      <c r="B161" t="n">
        <v>20023656</v>
      </c>
      <c r="C161" t="inlineStr">
        <is>
          <t>Não</t>
        </is>
      </c>
      <c r="D161" t="inlineStr">
        <is>
          <t>SP</t>
        </is>
      </c>
      <c r="E161" t="inlineStr">
        <is>
          <t>SUDESTE SP</t>
        </is>
      </c>
      <c r="F161" t="inlineStr">
        <is>
          <t>Cliente B - Chopeira</t>
        </is>
      </c>
      <c r="G161" t="inlineStr">
        <is>
          <t>Chopeiras</t>
        </is>
      </c>
      <c r="H161" s="10" t="n">
        <v>85</v>
      </c>
      <c r="I161" s="10">
        <f>IFERROR(T161*H161,0)</f>
        <v/>
      </c>
      <c r="J161" s="11" t="n">
        <v>45934</v>
      </c>
      <c r="K161" s="11" t="n">
        <v>45944</v>
      </c>
      <c r="L161" t="inlineStr">
        <is>
          <t>Ok. Devolvida</t>
        </is>
      </c>
      <c r="M161">
        <f>IF(L161="","",IFERROR(VLOOKUP(L161,mapGrupoStatus,2,0),"Outros"))</f>
        <v/>
      </c>
      <c r="N161">
        <f>IF(O161="","",IF(O161&lt;=30,"0-30 dias",IF(O161&lt;=60,"31-60 dias",IF(O161&lt;=90,"61-90 dias","Mais de 90 dias"))))</f>
        <v/>
      </c>
      <c r="O161">
        <f>IF(OR(M161="Pendente",M161="Em andamento"),IF(J161="","",TODAY()-J161),"")</f>
        <v/>
      </c>
      <c r="P161" t="n">
        <v>12052</v>
      </c>
      <c r="Q161" t="inlineStr">
        <is>
          <t>Brisa Refrigeração (12052)</t>
        </is>
      </c>
      <c r="R161" t="inlineStr">
        <is>
          <t>PC-0036</t>
        </is>
      </c>
      <c r="S161" t="inlineStr">
        <is>
          <t>Válvula extratora modelo 02</t>
        </is>
      </c>
      <c r="T161" t="n">
        <v>1</v>
      </c>
      <c r="U161" t="n">
        <v>139</v>
      </c>
      <c r="V161">
        <f>IF(J161="","",MONTH(J161))</f>
        <v/>
      </c>
      <c r="W161">
        <f>IF(J161="","",YEAR(J161))</f>
        <v/>
      </c>
      <c r="X161" t="inlineStr">
        <is>
          <t>ViaCargo</t>
        </is>
      </c>
      <c r="Y161">
        <f>IFERROR(INDEX(Rastreio!$H$2:$H$200,MATCH(X161&amp;"|"&amp;U161,Rastreio!$A$2:$A$200,0)),"")</f>
        <v/>
      </c>
    </row>
    <row r="162">
      <c r="A162">
        <f>IFERROR(INDEX(STAs!$G$2:$G$61,MATCH(P162,STAs!$F$2:$F$61,0))&amp;"","")</f>
        <v/>
      </c>
      <c r="B162" t="n">
        <v>20034548</v>
      </c>
      <c r="C162" t="inlineStr">
        <is>
          <t>Não</t>
        </is>
      </c>
      <c r="D162" t="inlineStr">
        <is>
          <t>BA</t>
        </is>
      </c>
      <c r="E162" t="inlineStr">
        <is>
          <t>NORDESTE</t>
        </is>
      </c>
      <c r="F162" t="inlineStr">
        <is>
          <t>Cliente A - Refrigerador</t>
        </is>
      </c>
      <c r="G162" t="inlineStr">
        <is>
          <t>Misturadores</t>
        </is>
      </c>
      <c r="H162" s="10" t="n">
        <v>265</v>
      </c>
      <c r="I162" s="10">
        <f>IFERROR(T162*H162,0)</f>
        <v/>
      </c>
      <c r="J162" s="11" t="n">
        <v>45934</v>
      </c>
      <c r="K162" s="11" t="n"/>
      <c r="L162" t="inlineStr">
        <is>
          <t>Debitar do STA</t>
        </is>
      </c>
      <c r="M162">
        <f>IF(L162="","",IFERROR(VLOOKUP(L162,mapGrupoStatus,2,0),"Outros"))</f>
        <v/>
      </c>
      <c r="N162">
        <f>IF(O162="","",IF(O162&lt;=30,"0-30 dias",IF(O162&lt;=60,"31-60 dias",IF(O162&lt;=90,"61-90 dias","Mais de 90 dias"))))</f>
        <v/>
      </c>
      <c r="O162">
        <f>IF(OR(M162="Pendente",M162="Em andamento"),IF(J162="","",TODAY()-J162),"")</f>
        <v/>
      </c>
      <c r="P162" t="n">
        <v>11538</v>
      </c>
      <c r="Q162" t="inlineStr">
        <is>
          <t>Clima Manutenção (11538)</t>
        </is>
      </c>
      <c r="R162" t="inlineStr">
        <is>
          <t>PC-0038</t>
        </is>
      </c>
      <c r="S162" t="inlineStr">
        <is>
          <t>Bomba de recirculação modelo 02</t>
        </is>
      </c>
      <c r="T162" t="n">
        <v>1</v>
      </c>
      <c r="U162" t="inlineStr"/>
      <c r="V162">
        <f>IF(J162="","",MONTH(J162))</f>
        <v/>
      </c>
      <c r="W162">
        <f>IF(J162="","",YEAR(J162))</f>
        <v/>
      </c>
      <c r="X162" t="inlineStr"/>
      <c r="Y162">
        <f>IFERROR(INDEX(Rastreio!$H$2:$H$200,MATCH(X162&amp;"|"&amp;U162,Rastreio!$A$2:$A$200,0)),"")</f>
        <v/>
      </c>
    </row>
    <row r="163">
      <c r="A163">
        <f>IFERROR(INDEX(STAs!$G$2:$G$61,MATCH(P163,STAs!$F$2:$F$61,0))&amp;"","")</f>
        <v/>
      </c>
      <c r="B163" t="n">
        <v>20039528</v>
      </c>
      <c r="C163" t="inlineStr">
        <is>
          <t>Não</t>
        </is>
      </c>
      <c r="D163" t="inlineStr">
        <is>
          <t>SP</t>
        </is>
      </c>
      <c r="E163" t="inlineStr">
        <is>
          <t>SUDESTE SP</t>
        </is>
      </c>
      <c r="F163" t="inlineStr">
        <is>
          <t>Cliente A - Refrigerador</t>
        </is>
      </c>
      <c r="G163" t="inlineStr">
        <is>
          <t>Refrigeradores</t>
        </is>
      </c>
      <c r="H163" s="10" t="n">
        <v>190</v>
      </c>
      <c r="I163" s="10">
        <f>IFERROR(T163*H163,0)</f>
        <v/>
      </c>
      <c r="J163" s="11" t="n">
        <v>45934</v>
      </c>
      <c r="K163" s="11" t="n">
        <v>45941</v>
      </c>
      <c r="L163" t="inlineStr">
        <is>
          <t>Ok. Devolvida</t>
        </is>
      </c>
      <c r="M163">
        <f>IF(L163="","",IFERROR(VLOOKUP(L163,mapGrupoStatus,2,0),"Outros"))</f>
        <v/>
      </c>
      <c r="N163">
        <f>IF(O163="","",IF(O163&lt;=30,"0-30 dias",IF(O163&lt;=60,"31-60 dias",IF(O163&lt;=90,"61-90 dias","Mais de 90 dias"))))</f>
        <v/>
      </c>
      <c r="O163">
        <f>IF(OR(M163="Pendente",M163="Em andamento"),IF(J163="","",TODAY()-J163),"")</f>
        <v/>
      </c>
      <c r="P163" t="n">
        <v>12901</v>
      </c>
      <c r="Q163" t="inlineStr">
        <is>
          <t>Frio Serviços (12901)</t>
        </is>
      </c>
      <c r="R163" t="inlineStr">
        <is>
          <t>PC-0014</t>
        </is>
      </c>
      <c r="S163" t="inlineStr">
        <is>
          <t>Placa eletrônica modelo 04</t>
        </is>
      </c>
      <c r="T163" t="n">
        <v>1</v>
      </c>
      <c r="U163" t="n">
        <v>158</v>
      </c>
      <c r="V163">
        <f>IF(J163="","",MONTH(J163))</f>
        <v/>
      </c>
      <c r="W163">
        <f>IF(J163="","",YEAR(J163))</f>
        <v/>
      </c>
      <c r="X163" t="inlineStr">
        <is>
          <t>ViaCargo</t>
        </is>
      </c>
      <c r="Y163">
        <f>IFERROR(INDEX(Rastreio!$H$2:$H$200,MATCH(X163&amp;"|"&amp;U163,Rastreio!$A$2:$A$200,0)),"")</f>
        <v/>
      </c>
    </row>
    <row r="164">
      <c r="A164">
        <f>IFERROR(INDEX(STAs!$G$2:$G$61,MATCH(P164,STAs!$F$2:$F$61,0))&amp;"","")</f>
        <v/>
      </c>
      <c r="B164" t="n">
        <v>20040355</v>
      </c>
      <c r="C164" t="inlineStr">
        <is>
          <t>Não</t>
        </is>
      </c>
      <c r="D164" t="inlineStr">
        <is>
          <t>RS</t>
        </is>
      </c>
      <c r="E164" t="inlineStr">
        <is>
          <t>SUL</t>
        </is>
      </c>
      <c r="F164" t="inlineStr">
        <is>
          <t>Cliente B - Chopeira</t>
        </is>
      </c>
      <c r="G164" t="inlineStr">
        <is>
          <t>Refrigeradores</t>
        </is>
      </c>
      <c r="H164" s="10" t="n">
        <v>325</v>
      </c>
      <c r="I164" s="10">
        <f>IFERROR(T164*H164,0)</f>
        <v/>
      </c>
      <c r="J164" s="11" t="n">
        <v>45934</v>
      </c>
      <c r="K164" s="11" t="n"/>
      <c r="L164" t="inlineStr">
        <is>
          <t>Aguardando devolução</t>
        </is>
      </c>
      <c r="M164">
        <f>IF(L164="","",IFERROR(VLOOKUP(L164,mapGrupoStatus,2,0),"Outros"))</f>
        <v/>
      </c>
      <c r="N164">
        <f>IF(O164="","",IF(O164&lt;=30,"0-30 dias",IF(O164&lt;=60,"31-60 dias",IF(O164&lt;=90,"61-90 dias","Mais de 90 dias"))))</f>
        <v/>
      </c>
      <c r="O164">
        <f>IF(OR(M164="Pendente",M164="Em andamento"),IF(J164="","",TODAY()-J164),"")</f>
        <v/>
      </c>
      <c r="P164" t="n">
        <v>12617</v>
      </c>
      <c r="Q164" t="inlineStr">
        <is>
          <t>Gelo Manutenção (12617)</t>
        </is>
      </c>
      <c r="R164" t="inlineStr">
        <is>
          <t>PC-0001</t>
        </is>
      </c>
      <c r="S164" t="inlineStr">
        <is>
          <t>Compressor modelo 01</t>
        </is>
      </c>
      <c r="T164" t="n">
        <v>3</v>
      </c>
      <c r="U164" t="inlineStr"/>
      <c r="V164">
        <f>IF(J164="","",MONTH(J164))</f>
        <v/>
      </c>
      <c r="W164">
        <f>IF(J164="","",YEAR(J164))</f>
        <v/>
      </c>
      <c r="X164" t="inlineStr"/>
      <c r="Y164">
        <f>IFERROR(INDEX(Rastreio!$H$2:$H$200,MATCH(X164&amp;"|"&amp;U164,Rastreio!$A$2:$A$200,0)),"")</f>
        <v/>
      </c>
    </row>
    <row r="165">
      <c r="A165">
        <f>IFERROR(INDEX(STAs!$G$2:$G$61,MATCH(P165,STAs!$F$2:$F$61,0))&amp;"","")</f>
        <v/>
      </c>
      <c r="B165" t="n">
        <v>20005832</v>
      </c>
      <c r="C165" t="inlineStr">
        <is>
          <t>Não</t>
        </is>
      </c>
      <c r="D165" t="inlineStr">
        <is>
          <t>PR</t>
        </is>
      </c>
      <c r="E165" t="inlineStr">
        <is>
          <t>SUL</t>
        </is>
      </c>
      <c r="F165" t="inlineStr">
        <is>
          <t>Cliente B - Chopeira</t>
        </is>
      </c>
      <c r="G165" t="inlineStr">
        <is>
          <t>Chopeiras</t>
        </is>
      </c>
      <c r="H165" s="10" t="n">
        <v>210</v>
      </c>
      <c r="I165" s="10">
        <f>IFERROR(T165*H165,0)</f>
        <v/>
      </c>
      <c r="J165" s="11" t="n">
        <v>45935</v>
      </c>
      <c r="K165" s="11" t="n">
        <v>45991</v>
      </c>
      <c r="L165" t="inlineStr">
        <is>
          <t>Ok. Devolvida</t>
        </is>
      </c>
      <c r="M165">
        <f>IF(L165="","",IFERROR(VLOOKUP(L165,mapGrupoStatus,2,0),"Outros"))</f>
        <v/>
      </c>
      <c r="N165">
        <f>IF(O165="","",IF(O165&lt;=30,"0-30 dias",IF(O165&lt;=60,"31-60 dias",IF(O165&lt;=90,"61-90 dias","Mais de 90 dias"))))</f>
        <v/>
      </c>
      <c r="O165">
        <f>IF(OR(M165="Pendente",M165="Em andamento"),IF(J165="","",TODAY()-J165),"")</f>
        <v/>
      </c>
      <c r="P165" t="n">
        <v>12089</v>
      </c>
      <c r="Q165" t="inlineStr">
        <is>
          <t>Termotec Serviços (12089)</t>
        </is>
      </c>
      <c r="R165" t="inlineStr">
        <is>
          <t>PC-0029</t>
        </is>
      </c>
      <c r="S165" t="inlineStr">
        <is>
          <t>Serpentina modelo 01</t>
        </is>
      </c>
      <c r="T165" t="n">
        <v>1</v>
      </c>
      <c r="U165" t="n">
        <v>111</v>
      </c>
      <c r="V165">
        <f>IF(J165="","",MONTH(J165))</f>
        <v/>
      </c>
      <c r="W165">
        <f>IF(J165="","",YEAR(J165))</f>
        <v/>
      </c>
      <c r="X165" t="inlineStr">
        <is>
          <t>EntregaJá</t>
        </is>
      </c>
      <c r="Y165">
        <f>IFERROR(INDEX(Rastreio!$H$2:$H$200,MATCH(X165&amp;"|"&amp;U165,Rastreio!$A$2:$A$200,0)),"")</f>
        <v/>
      </c>
    </row>
    <row r="166">
      <c r="A166">
        <f>IFERROR(INDEX(STAs!$G$2:$G$61,MATCH(P166,STAs!$F$2:$F$61,0))&amp;"","")</f>
        <v/>
      </c>
      <c r="B166" t="n">
        <v>20009661</v>
      </c>
      <c r="C166" t="inlineStr">
        <is>
          <t>Não</t>
        </is>
      </c>
      <c r="D166" t="inlineStr">
        <is>
          <t>RJ</t>
        </is>
      </c>
      <c r="E166" t="inlineStr">
        <is>
          <t>SUDESTE RJ e ES</t>
        </is>
      </c>
      <c r="F166" t="inlineStr">
        <is>
          <t>Cliente A - Refrigerador</t>
        </is>
      </c>
      <c r="G166" t="inlineStr">
        <is>
          <t>Refrigeradores</t>
        </is>
      </c>
      <c r="H166" s="10" t="n">
        <v>175</v>
      </c>
      <c r="I166" s="10">
        <f>IFERROR(T166*H166,0)</f>
        <v/>
      </c>
      <c r="J166" s="11" t="n">
        <v>45935</v>
      </c>
      <c r="K166" s="11" t="n"/>
      <c r="L166" t="inlineStr">
        <is>
          <t>Aguardando devolução</t>
        </is>
      </c>
      <c r="M166">
        <f>IF(L166="","",IFERROR(VLOOKUP(L166,mapGrupoStatus,2,0),"Outros"))</f>
        <v/>
      </c>
      <c r="N166">
        <f>IF(O166="","",IF(O166&lt;=30,"0-30 dias",IF(O166&lt;=60,"31-60 dias",IF(O166&lt;=90,"61-90 dias","Mais de 90 dias"))))</f>
        <v/>
      </c>
      <c r="O166">
        <f>IF(OR(M166="Pendente",M166="Em andamento"),IF(J166="","",TODAY()-J166),"")</f>
        <v/>
      </c>
      <c r="P166" t="n">
        <v>10676</v>
      </c>
      <c r="Q166" t="inlineStr">
        <is>
          <t>Clima Serviços (10676)</t>
        </is>
      </c>
      <c r="R166" t="inlineStr">
        <is>
          <t>PC-0012</t>
        </is>
      </c>
      <c r="S166" t="inlineStr">
        <is>
          <t>Placa eletrônica modelo 02</t>
        </is>
      </c>
      <c r="T166" t="n">
        <v>1</v>
      </c>
      <c r="U166" t="inlineStr"/>
      <c r="V166">
        <f>IF(J166="","",MONTH(J166))</f>
        <v/>
      </c>
      <c r="W166">
        <f>IF(J166="","",YEAR(J166))</f>
        <v/>
      </c>
      <c r="X166" t="inlineStr"/>
      <c r="Y166">
        <f>IFERROR(INDEX(Rastreio!$H$2:$H$200,MATCH(X166&amp;"|"&amp;U166,Rastreio!$A$2:$A$200,0)),"")</f>
        <v/>
      </c>
    </row>
    <row r="167">
      <c r="A167">
        <f>IFERROR(INDEX(STAs!$G$2:$G$61,MATCH(P167,STAs!$F$2:$F$61,0))&amp;"","")</f>
        <v/>
      </c>
      <c r="B167" t="n">
        <v>20013624</v>
      </c>
      <c r="C167" t="inlineStr">
        <is>
          <t>Não</t>
        </is>
      </c>
      <c r="D167" t="inlineStr">
        <is>
          <t>RJ</t>
        </is>
      </c>
      <c r="E167" t="inlineStr">
        <is>
          <t>SUDESTE RJ e ES</t>
        </is>
      </c>
      <c r="F167" t="inlineStr">
        <is>
          <t>Cliente C - Misturador</t>
        </is>
      </c>
      <c r="G167" t="inlineStr">
        <is>
          <t>Refrigeradores</t>
        </is>
      </c>
      <c r="H167" s="10" t="n">
        <v>35</v>
      </c>
      <c r="I167" s="10">
        <f>IFERROR(T167*H167,0)</f>
        <v/>
      </c>
      <c r="J167" s="11" t="n">
        <v>45935</v>
      </c>
      <c r="K167" s="11" t="n"/>
      <c r="L167" t="inlineStr">
        <is>
          <t>Aguardando devolução</t>
        </is>
      </c>
      <c r="M167">
        <f>IF(L167="","",IFERROR(VLOOKUP(L167,mapGrupoStatus,2,0),"Outros"))</f>
        <v/>
      </c>
      <c r="N167">
        <f>IF(O167="","",IF(O167&lt;=30,"0-30 dias",IF(O167&lt;=60,"31-60 dias",IF(O167&lt;=90,"61-90 dias","Mais de 90 dias"))))</f>
        <v/>
      </c>
      <c r="O167">
        <f>IF(OR(M167="Pendente",M167="Em andamento"),IF(J167="","",TODAY()-J167),"")</f>
        <v/>
      </c>
      <c r="P167" t="n">
        <v>11059</v>
      </c>
      <c r="Q167" t="inlineStr">
        <is>
          <t>Frio Ltda (11059)</t>
        </is>
      </c>
      <c r="R167" t="inlineStr">
        <is>
          <t>PC-0024</t>
        </is>
      </c>
      <c r="S167" t="inlineStr">
        <is>
          <t>Relé de partida modelo 02</t>
        </is>
      </c>
      <c r="T167" t="n">
        <v>1</v>
      </c>
      <c r="U167" t="inlineStr"/>
      <c r="V167">
        <f>IF(J167="","",MONTH(J167))</f>
        <v/>
      </c>
      <c r="W167">
        <f>IF(J167="","",YEAR(J167))</f>
        <v/>
      </c>
      <c r="X167" t="inlineStr"/>
      <c r="Y167">
        <f>IFERROR(INDEX(Rastreio!$H$2:$H$200,MATCH(X167&amp;"|"&amp;U167,Rastreio!$A$2:$A$200,0)),"")</f>
        <v/>
      </c>
    </row>
    <row r="168">
      <c r="A168">
        <f>IFERROR(INDEX(STAs!$G$2:$G$61,MATCH(P168,STAs!$F$2:$F$61,0))&amp;"","")</f>
        <v/>
      </c>
      <c r="B168" t="n">
        <v>20024842</v>
      </c>
      <c r="C168" t="inlineStr">
        <is>
          <t>Não</t>
        </is>
      </c>
      <c r="D168" t="inlineStr">
        <is>
          <t>GO</t>
        </is>
      </c>
      <c r="E168" t="inlineStr">
        <is>
          <t>CENTRO OESTE</t>
        </is>
      </c>
      <c r="F168" t="inlineStr">
        <is>
          <t>Cliente A - Refrigerador</t>
        </is>
      </c>
      <c r="G168" t="inlineStr">
        <is>
          <t>Chopeiras</t>
        </is>
      </c>
      <c r="H168" s="10" t="n">
        <v>210</v>
      </c>
      <c r="I168" s="10">
        <f>IFERROR(T168*H168,0)</f>
        <v/>
      </c>
      <c r="J168" s="11" t="n">
        <v>45935</v>
      </c>
      <c r="K168" s="11" t="n">
        <v>45967</v>
      </c>
      <c r="L168" t="inlineStr">
        <is>
          <t>Ok. Devolvida</t>
        </is>
      </c>
      <c r="M168">
        <f>IF(L168="","",IFERROR(VLOOKUP(L168,mapGrupoStatus,2,0),"Outros"))</f>
        <v/>
      </c>
      <c r="N168">
        <f>IF(O168="","",IF(O168&lt;=30,"0-30 dias",IF(O168&lt;=60,"31-60 dias",IF(O168&lt;=90,"61-90 dias","Mais de 90 dias"))))</f>
        <v/>
      </c>
      <c r="O168">
        <f>IF(OR(M168="Pendente",M168="Em andamento"),IF(J168="","",TODAY()-J168),"")</f>
        <v/>
      </c>
      <c r="P168" t="n">
        <v>11293</v>
      </c>
      <c r="Q168" t="inlineStr">
        <is>
          <t>Assistência Técnica Ltda (11293)</t>
        </is>
      </c>
      <c r="R168" t="inlineStr">
        <is>
          <t>PC-0029</t>
        </is>
      </c>
      <c r="S168" t="inlineStr">
        <is>
          <t>Serpentina modelo 01</t>
        </is>
      </c>
      <c r="T168" t="n">
        <v>1</v>
      </c>
      <c r="U168" t="n">
        <v>137</v>
      </c>
      <c r="V168">
        <f>IF(J168="","",MONTH(J168))</f>
        <v/>
      </c>
      <c r="W168">
        <f>IF(J168="","",YEAR(J168))</f>
        <v/>
      </c>
      <c r="X168" t="inlineStr">
        <is>
          <t>EntregaJá</t>
        </is>
      </c>
      <c r="Y168">
        <f>IFERROR(INDEX(Rastreio!$H$2:$H$200,MATCH(X168&amp;"|"&amp;U168,Rastreio!$A$2:$A$200,0)),"")</f>
        <v/>
      </c>
    </row>
    <row r="169">
      <c r="A169">
        <f>IFERROR(INDEX(STAs!$G$2:$G$61,MATCH(P169,STAs!$F$2:$F$61,0))&amp;"","")</f>
        <v/>
      </c>
      <c r="B169" t="n">
        <v>20028203</v>
      </c>
      <c r="C169" t="inlineStr">
        <is>
          <t>Não</t>
        </is>
      </c>
      <c r="D169" t="inlineStr">
        <is>
          <t>AM</t>
        </is>
      </c>
      <c r="E169" t="inlineStr">
        <is>
          <t>NORTE</t>
        </is>
      </c>
      <c r="F169" t="inlineStr">
        <is>
          <t>Cliente B - Chopeira</t>
        </is>
      </c>
      <c r="G169" t="inlineStr">
        <is>
          <t>Refrigeradores</t>
        </is>
      </c>
      <c r="H169" s="10" t="n">
        <v>30</v>
      </c>
      <c r="I169" s="10">
        <f>IFERROR(T169*H169,0)</f>
        <v/>
      </c>
      <c r="J169" s="11" t="n">
        <v>45935</v>
      </c>
      <c r="K169" s="11" t="n"/>
      <c r="L169" t="inlineStr">
        <is>
          <t>Não Devolve-Norte</t>
        </is>
      </c>
      <c r="M169">
        <f>IF(L169="","",IFERROR(VLOOKUP(L169,mapGrupoStatus,2,0),"Outros"))</f>
        <v/>
      </c>
      <c r="N169">
        <f>IF(O169="","",IF(O169&lt;=30,"0-30 dias",IF(O169&lt;=60,"31-60 dias",IF(O169&lt;=90,"61-90 dias","Mais de 90 dias"))))</f>
        <v/>
      </c>
      <c r="O169">
        <f>IF(OR(M169="Pendente",M169="Em andamento"),IF(J169="","",TODAY()-J169),"")</f>
        <v/>
      </c>
      <c r="P169" t="n">
        <v>10842</v>
      </c>
      <c r="Q169" t="inlineStr">
        <is>
          <t>Frigo &amp; Cia (10842)</t>
        </is>
      </c>
      <c r="R169" t="inlineStr">
        <is>
          <t>PC-0025</t>
        </is>
      </c>
      <c r="S169" t="inlineStr">
        <is>
          <t>Relé de partida modelo 03</t>
        </is>
      </c>
      <c r="T169" t="n">
        <v>1</v>
      </c>
      <c r="U169" t="inlineStr"/>
      <c r="V169">
        <f>IF(J169="","",MONTH(J169))</f>
        <v/>
      </c>
      <c r="W169">
        <f>IF(J169="","",YEAR(J169))</f>
        <v/>
      </c>
      <c r="X169" t="inlineStr"/>
      <c r="Y169">
        <f>IFERROR(INDEX(Rastreio!$H$2:$H$200,MATCH(X169&amp;"|"&amp;U169,Rastreio!$A$2:$A$200,0)),"")</f>
        <v/>
      </c>
    </row>
    <row r="170">
      <c r="A170">
        <f>IFERROR(INDEX(STAs!$G$2:$G$61,MATCH(P170,STAs!$F$2:$F$61,0))&amp;"","")</f>
        <v/>
      </c>
      <c r="B170" t="n">
        <v>20037753</v>
      </c>
      <c r="C170" t="inlineStr">
        <is>
          <t>Não</t>
        </is>
      </c>
      <c r="D170" t="inlineStr">
        <is>
          <t>MG</t>
        </is>
      </c>
      <c r="E170" t="inlineStr">
        <is>
          <t>SUDESTE MG</t>
        </is>
      </c>
      <c r="F170" t="inlineStr">
        <is>
          <t>Cliente C - Misturador</t>
        </is>
      </c>
      <c r="G170" t="inlineStr">
        <is>
          <t>Misturadores</t>
        </is>
      </c>
      <c r="H170" s="10" t="n">
        <v>50</v>
      </c>
      <c r="I170" s="10">
        <f>IFERROR(T170*H170,0)</f>
        <v/>
      </c>
      <c r="J170" s="11" t="n">
        <v>45935</v>
      </c>
      <c r="K170" s="11" t="n">
        <v>45947</v>
      </c>
      <c r="L170" t="inlineStr">
        <is>
          <t>Ok. Devolvida</t>
        </is>
      </c>
      <c r="M170">
        <f>IF(L170="","",IFERROR(VLOOKUP(L170,mapGrupoStatus,2,0),"Outros"))</f>
        <v/>
      </c>
      <c r="N170">
        <f>IF(O170="","",IF(O170&lt;=30,"0-30 dias",IF(O170&lt;=60,"31-60 dias",IF(O170&lt;=90,"61-90 dias","Mais de 90 dias"))))</f>
        <v/>
      </c>
      <c r="O170">
        <f>IF(OR(M170="Pendente",M170="Em andamento"),IF(J170="","",TODAY()-J170),"")</f>
        <v/>
      </c>
      <c r="P170" t="n">
        <v>12470</v>
      </c>
      <c r="Q170" t="inlineStr">
        <is>
          <t>Cool Service Técnica (12470)</t>
        </is>
      </c>
      <c r="R170" t="inlineStr">
        <is>
          <t>PC-0044</t>
        </is>
      </c>
      <c r="S170" t="inlineStr">
        <is>
          <t>Bico dosador modelo 03</t>
        </is>
      </c>
      <c r="T170" t="n">
        <v>1</v>
      </c>
      <c r="U170" t="n">
        <v>171</v>
      </c>
      <c r="V170">
        <f>IF(J170="","",MONTH(J170))</f>
        <v/>
      </c>
      <c r="W170">
        <f>IF(J170="","",YEAR(J170))</f>
        <v/>
      </c>
      <c r="X170" t="inlineStr">
        <is>
          <t>RotaSul</t>
        </is>
      </c>
      <c r="Y170">
        <f>IFERROR(INDEX(Rastreio!$H$2:$H$200,MATCH(X170&amp;"|"&amp;U170,Rastreio!$A$2:$A$200,0)),"")</f>
        <v/>
      </c>
    </row>
    <row r="171">
      <c r="A171">
        <f>IFERROR(INDEX(STAs!$G$2:$G$61,MATCH(P171,STAs!$F$2:$F$61,0))&amp;"","")</f>
        <v/>
      </c>
      <c r="B171" t="n">
        <v>20038137</v>
      </c>
      <c r="C171" t="inlineStr">
        <is>
          <t>Não</t>
        </is>
      </c>
      <c r="D171" t="inlineStr">
        <is>
          <t>SP</t>
        </is>
      </c>
      <c r="E171" t="inlineStr">
        <is>
          <t>SUDESTE SP</t>
        </is>
      </c>
      <c r="F171" t="inlineStr">
        <is>
          <t>Cliente C - Misturador</t>
        </is>
      </c>
      <c r="G171" t="inlineStr">
        <is>
          <t>Chopeiras</t>
        </is>
      </c>
      <c r="H171" s="10" t="n">
        <v>115</v>
      </c>
      <c r="I171" s="10">
        <f>IFERROR(T171*H171,0)</f>
        <v/>
      </c>
      <c r="J171" s="11" t="n">
        <v>45935</v>
      </c>
      <c r="K171" s="11" t="n">
        <v>45944</v>
      </c>
      <c r="L171" t="inlineStr">
        <is>
          <t>Ok. Devolvida</t>
        </is>
      </c>
      <c r="M171">
        <f>IF(L171="","",IFERROR(VLOOKUP(L171,mapGrupoStatus,2,0),"Outros"))</f>
        <v/>
      </c>
      <c r="N171">
        <f>IF(O171="","",IF(O171&lt;=30,"0-30 dias",IF(O171&lt;=60,"31-60 dias",IF(O171&lt;=90,"61-90 dias","Mais de 90 dias"))))</f>
        <v/>
      </c>
      <c r="O171">
        <f>IF(OR(M171="Pendente",M171="Em andamento"),IF(J171="","",TODAY()-J171),"")</f>
        <v/>
      </c>
      <c r="P171" t="n">
        <v>10413</v>
      </c>
      <c r="Q171" t="inlineStr">
        <is>
          <t>Polar Manutenção (10413)</t>
        </is>
      </c>
      <c r="R171" t="inlineStr">
        <is>
          <t>PC-0033</t>
        </is>
      </c>
      <c r="S171" t="inlineStr">
        <is>
          <t>Regulador de pressão modelo 02</t>
        </is>
      </c>
      <c r="T171" t="n">
        <v>1</v>
      </c>
      <c r="U171" t="n">
        <v>166</v>
      </c>
      <c r="V171">
        <f>IF(J171="","",MONTH(J171))</f>
        <v/>
      </c>
      <c r="W171">
        <f>IF(J171="","",YEAR(J171))</f>
        <v/>
      </c>
      <c r="X171" t="inlineStr">
        <is>
          <t>CargoMax</t>
        </is>
      </c>
      <c r="Y171">
        <f>IFERROR(INDEX(Rastreio!$H$2:$H$200,MATCH(X171&amp;"|"&amp;U171,Rastreio!$A$2:$A$200,0)),"")</f>
        <v/>
      </c>
    </row>
    <row r="172">
      <c r="A172">
        <f>IFERROR(INDEX(STAs!$G$2:$G$61,MATCH(P172,STAs!$F$2:$F$61,0))&amp;"","")</f>
        <v/>
      </c>
      <c r="B172" t="n">
        <v>20039111</v>
      </c>
      <c r="C172" t="inlineStr">
        <is>
          <t>Não</t>
        </is>
      </c>
      <c r="D172" t="inlineStr">
        <is>
          <t>PA</t>
        </is>
      </c>
      <c r="E172" t="inlineStr">
        <is>
          <t>NORTE</t>
        </is>
      </c>
      <c r="F172" t="inlineStr">
        <is>
          <t>Cliente B - Chopeira</t>
        </is>
      </c>
      <c r="G172" t="inlineStr">
        <is>
          <t>Misturadores</t>
        </is>
      </c>
      <c r="H172" s="10" t="n">
        <v>255</v>
      </c>
      <c r="I172" s="10">
        <f>IFERROR(T172*H172,0)</f>
        <v/>
      </c>
      <c r="J172" s="11" t="n">
        <v>45935</v>
      </c>
      <c r="K172" s="11" t="n"/>
      <c r="L172" t="inlineStr">
        <is>
          <t>Não Devolve-Norte</t>
        </is>
      </c>
      <c r="M172">
        <f>IF(L172="","",IFERROR(VLOOKUP(L172,mapGrupoStatus,2,0),"Outros"))</f>
        <v/>
      </c>
      <c r="N172">
        <f>IF(O172="","",IF(O172&lt;=30,"0-30 dias",IF(O172&lt;=60,"31-60 dias",IF(O172&lt;=90,"61-90 dias","Mais de 90 dias"))))</f>
        <v/>
      </c>
      <c r="O172">
        <f>IF(OR(M172="Pendente",M172="Em andamento"),IF(J172="","",TODAY()-J172),"")</f>
        <v/>
      </c>
      <c r="P172" t="n">
        <v>11986</v>
      </c>
      <c r="Q172" t="inlineStr">
        <is>
          <t>Polar Serviços (11986)</t>
        </is>
      </c>
      <c r="R172" t="inlineStr">
        <is>
          <t>PC-0039</t>
        </is>
      </c>
      <c r="S172" t="inlineStr">
        <is>
          <t>Bomba de recirculação modelo 03</t>
        </is>
      </c>
      <c r="T172" t="n">
        <v>1</v>
      </c>
      <c r="U172" t="inlineStr"/>
      <c r="V172">
        <f>IF(J172="","",MONTH(J172))</f>
        <v/>
      </c>
      <c r="W172">
        <f>IF(J172="","",YEAR(J172))</f>
        <v/>
      </c>
      <c r="X172" t="inlineStr"/>
      <c r="Y172">
        <f>IFERROR(INDEX(Rastreio!$H$2:$H$200,MATCH(X172&amp;"|"&amp;U172,Rastreio!$A$2:$A$200,0)),"")</f>
        <v/>
      </c>
    </row>
    <row r="173">
      <c r="A173">
        <f>IFERROR(INDEX(STAs!$G$2:$G$61,MATCH(P173,STAs!$F$2:$F$61,0))&amp;"","")</f>
        <v/>
      </c>
      <c r="B173" t="n">
        <v>20020996</v>
      </c>
      <c r="C173" t="inlineStr">
        <is>
          <t>Não</t>
        </is>
      </c>
      <c r="D173" t="inlineStr">
        <is>
          <t>PI</t>
        </is>
      </c>
      <c r="E173" t="inlineStr">
        <is>
          <t>NORDESTE</t>
        </is>
      </c>
      <c r="F173" t="inlineStr">
        <is>
          <t>Cliente B - Chopeira</t>
        </is>
      </c>
      <c r="G173" t="inlineStr">
        <is>
          <t>Refrigeradores</t>
        </is>
      </c>
      <c r="H173" s="10" t="n">
        <v>185</v>
      </c>
      <c r="I173" s="10">
        <f>IFERROR(T173*H173,0)</f>
        <v/>
      </c>
      <c r="J173" s="11" t="n">
        <v>45936</v>
      </c>
      <c r="K173" s="11" t="n">
        <v>45983</v>
      </c>
      <c r="L173" t="inlineStr">
        <is>
          <t>Ok. Devolvida</t>
        </is>
      </c>
      <c r="M173">
        <f>IF(L173="","",IFERROR(VLOOKUP(L173,mapGrupoStatus,2,0),"Outros"))</f>
        <v/>
      </c>
      <c r="N173">
        <f>IF(O173="","",IF(O173&lt;=30,"0-30 dias",IF(O173&lt;=60,"31-60 dias",IF(O173&lt;=90,"61-90 dias","Mais de 90 dias"))))</f>
        <v/>
      </c>
      <c r="O173">
        <f>IF(OR(M173="Pendente",M173="Em andamento"),IF(J173="","",TODAY()-J173),"")</f>
        <v/>
      </c>
      <c r="P173" t="n">
        <v>10562</v>
      </c>
      <c r="Q173" t="inlineStr">
        <is>
          <t>Clima &amp; Cia (10562)</t>
        </is>
      </c>
      <c r="R173" t="inlineStr">
        <is>
          <t>PC-0013</t>
        </is>
      </c>
      <c r="S173" t="inlineStr">
        <is>
          <t>Placa eletrônica modelo 03</t>
        </is>
      </c>
      <c r="T173" t="n">
        <v>1</v>
      </c>
      <c r="U173" t="n">
        <v>132</v>
      </c>
      <c r="V173">
        <f>IF(J173="","",MONTH(J173))</f>
        <v/>
      </c>
      <c r="W173">
        <f>IF(J173="","",YEAR(J173))</f>
        <v/>
      </c>
      <c r="X173" t="inlineStr">
        <is>
          <t>RotaSul</t>
        </is>
      </c>
      <c r="Y173">
        <f>IFERROR(INDEX(Rastreio!$H$2:$H$200,MATCH(X173&amp;"|"&amp;U173,Rastreio!$A$2:$A$200,0)),"")</f>
        <v/>
      </c>
    </row>
    <row r="174">
      <c r="A174">
        <f>IFERROR(INDEX(STAs!$G$2:$G$61,MATCH(P174,STAs!$F$2:$F$61,0))&amp;"","")</f>
        <v/>
      </c>
      <c r="B174" t="n">
        <v>20022327</v>
      </c>
      <c r="C174" t="inlineStr">
        <is>
          <t>Sim</t>
        </is>
      </c>
      <c r="D174" t="inlineStr">
        <is>
          <t>SP</t>
        </is>
      </c>
      <c r="E174" t="inlineStr">
        <is>
          <t>SUDESTE SP</t>
        </is>
      </c>
      <c r="F174" t="inlineStr">
        <is>
          <t>Cliente A - Refrigerador</t>
        </is>
      </c>
      <c r="G174" t="inlineStr">
        <is>
          <t>Refrigeradores</t>
        </is>
      </c>
      <c r="H174" s="10" t="n">
        <v>40</v>
      </c>
      <c r="I174" s="10">
        <f>IFERROR(T174*H174,0)</f>
        <v/>
      </c>
      <c r="J174" s="11" t="n">
        <v>45936</v>
      </c>
      <c r="K174" s="11" t="n"/>
      <c r="L174" t="inlineStr">
        <is>
          <t>Debitar do STA</t>
        </is>
      </c>
      <c r="M174">
        <f>IF(L174="","",IFERROR(VLOOKUP(L174,mapGrupoStatus,2,0),"Outros"))</f>
        <v/>
      </c>
      <c r="N174">
        <f>IF(O174="","",IF(O174&lt;=30,"0-30 dias",IF(O174&lt;=60,"31-60 dias",IF(O174&lt;=90,"61-90 dias","Mais de 90 dias"))))</f>
        <v/>
      </c>
      <c r="O174">
        <f>IF(OR(M174="Pendente",M174="Em andamento"),IF(J174="","",TODAY()-J174),"")</f>
        <v/>
      </c>
      <c r="P174" t="n">
        <v>10010</v>
      </c>
      <c r="Q174" t="inlineStr">
        <is>
          <t>Cool Service ME (10010)</t>
        </is>
      </c>
      <c r="R174" t="inlineStr">
        <is>
          <t>PC-0005</t>
        </is>
      </c>
      <c r="S174" t="inlineStr">
        <is>
          <t>Termostato modelo 02</t>
        </is>
      </c>
      <c r="T174" t="n">
        <v>1</v>
      </c>
      <c r="U174" t="inlineStr"/>
      <c r="V174">
        <f>IF(J174="","",MONTH(J174))</f>
        <v/>
      </c>
      <c r="W174">
        <f>IF(J174="","",YEAR(J174))</f>
        <v/>
      </c>
      <c r="X174" t="inlineStr"/>
      <c r="Y174">
        <f>IFERROR(INDEX(Rastreio!$H$2:$H$200,MATCH(X174&amp;"|"&amp;U174,Rastreio!$A$2:$A$200,0)),"")</f>
        <v/>
      </c>
    </row>
    <row r="175">
      <c r="A175">
        <f>IFERROR(INDEX(STAs!$G$2:$G$61,MATCH(P175,STAs!$F$2:$F$61,0))&amp;"","")</f>
        <v/>
      </c>
      <c r="B175" t="n">
        <v>20038539</v>
      </c>
      <c r="C175" t="inlineStr">
        <is>
          <t>Não</t>
        </is>
      </c>
      <c r="D175" t="inlineStr">
        <is>
          <t>RR</t>
        </is>
      </c>
      <c r="E175" t="inlineStr">
        <is>
          <t>NORTE</t>
        </is>
      </c>
      <c r="F175" t="inlineStr">
        <is>
          <t>Cliente C - Misturador</t>
        </is>
      </c>
      <c r="G175" t="inlineStr">
        <is>
          <t>Refrigeradores</t>
        </is>
      </c>
      <c r="H175" s="10" t="n">
        <v>40</v>
      </c>
      <c r="I175" s="10">
        <f>IFERROR(T175*H175,0)</f>
        <v/>
      </c>
      <c r="J175" s="11" t="n">
        <v>45936</v>
      </c>
      <c r="K175" s="11" t="n">
        <v>45958</v>
      </c>
      <c r="L175" t="inlineStr">
        <is>
          <t>Ok. Devolvida</t>
        </is>
      </c>
      <c r="M175">
        <f>IF(L175="","",IFERROR(VLOOKUP(L175,mapGrupoStatus,2,0),"Outros"))</f>
        <v/>
      </c>
      <c r="N175">
        <f>IF(O175="","",IF(O175&lt;=30,"0-30 dias",IF(O175&lt;=60,"31-60 dias",IF(O175&lt;=90,"61-90 dias","Mais de 90 dias"))))</f>
        <v/>
      </c>
      <c r="O175">
        <f>IF(OR(M175="Pendente",M175="Em andamento"),IF(J175="","",TODAY()-J175),"")</f>
        <v/>
      </c>
      <c r="P175" t="n">
        <v>12422</v>
      </c>
      <c r="Q175" t="inlineStr">
        <is>
          <t>Assistência Técnica Refrigeração (12422)</t>
        </is>
      </c>
      <c r="R175" t="inlineStr">
        <is>
          <t>PC-0004</t>
        </is>
      </c>
      <c r="S175" t="inlineStr">
        <is>
          <t>Termostato modelo 01</t>
        </is>
      </c>
      <c r="T175" t="n">
        <v>1</v>
      </c>
      <c r="U175" t="n">
        <v>167</v>
      </c>
      <c r="V175">
        <f>IF(J175="","",MONTH(J175))</f>
        <v/>
      </c>
      <c r="W175">
        <f>IF(J175="","",YEAR(J175))</f>
        <v/>
      </c>
      <c r="X175" t="inlineStr">
        <is>
          <t>TransNorte</t>
        </is>
      </c>
      <c r="Y175">
        <f>IFERROR(INDEX(Rastreio!$H$2:$H$200,MATCH(X175&amp;"|"&amp;U175,Rastreio!$A$2:$A$200,0)),"")</f>
        <v/>
      </c>
    </row>
    <row r="176">
      <c r="A176">
        <f>IFERROR(INDEX(STAs!$G$2:$G$61,MATCH(P176,STAs!$F$2:$F$61,0))&amp;"","")</f>
        <v/>
      </c>
      <c r="B176" t="n">
        <v>20000585</v>
      </c>
      <c r="C176" t="inlineStr">
        <is>
          <t>Não</t>
        </is>
      </c>
      <c r="D176" t="inlineStr">
        <is>
          <t>TO</t>
        </is>
      </c>
      <c r="E176" t="inlineStr">
        <is>
          <t>NORTE</t>
        </is>
      </c>
      <c r="F176" t="inlineStr">
        <is>
          <t>Cliente A - Refrigerador</t>
        </is>
      </c>
      <c r="G176" t="inlineStr">
        <is>
          <t>Misturadores</t>
        </is>
      </c>
      <c r="H176" s="10" t="n">
        <v>50</v>
      </c>
      <c r="I176" s="10">
        <f>IFERROR(T176*H176,0)</f>
        <v/>
      </c>
      <c r="J176" s="11" t="n">
        <v>45937</v>
      </c>
      <c r="K176" s="11" t="n"/>
      <c r="L176" t="inlineStr">
        <is>
          <t>Em andamento</t>
        </is>
      </c>
      <c r="M176">
        <f>IF(L176="","",IFERROR(VLOOKUP(L176,mapGrupoStatus,2,0),"Outros"))</f>
        <v/>
      </c>
      <c r="N176">
        <f>IF(O176="","",IF(O176&lt;=30,"0-30 dias",IF(O176&lt;=60,"31-60 dias",IF(O176&lt;=90,"61-90 dias","Mais de 90 dias"))))</f>
        <v/>
      </c>
      <c r="O176">
        <f>IF(OR(M176="Pendente",M176="Em andamento"),IF(J176="","",TODAY()-J176),"")</f>
        <v/>
      </c>
      <c r="P176" t="n">
        <v>10939</v>
      </c>
      <c r="Q176" t="inlineStr">
        <is>
          <t>Zero Grau Manutenção (10939)</t>
        </is>
      </c>
      <c r="R176" t="inlineStr">
        <is>
          <t>PC-0045</t>
        </is>
      </c>
      <c r="S176" t="inlineStr">
        <is>
          <t>Sensor de nível modelo 01</t>
        </is>
      </c>
      <c r="T176" t="n">
        <v>1</v>
      </c>
      <c r="U176" t="n">
        <v>104</v>
      </c>
      <c r="V176">
        <f>IF(J176="","",MONTH(J176))</f>
        <v/>
      </c>
      <c r="W176">
        <f>IF(J176="","",YEAR(J176))</f>
        <v/>
      </c>
      <c r="X176" t="inlineStr">
        <is>
          <t>EntregaJá</t>
        </is>
      </c>
      <c r="Y176">
        <f>IFERROR(INDEX(Rastreio!$H$2:$H$200,MATCH(X176&amp;"|"&amp;U176,Rastreio!$A$2:$A$200,0)),"")</f>
        <v/>
      </c>
    </row>
    <row r="177">
      <c r="A177">
        <f>IFERROR(INDEX(STAs!$G$2:$G$61,MATCH(P177,STAs!$F$2:$F$61,0))&amp;"","")</f>
        <v/>
      </c>
      <c r="B177" t="n">
        <v>20015138</v>
      </c>
      <c r="C177" t="inlineStr">
        <is>
          <t>Não</t>
        </is>
      </c>
      <c r="D177" t="inlineStr">
        <is>
          <t>GO</t>
        </is>
      </c>
      <c r="E177" t="inlineStr">
        <is>
          <t>CENTRO OESTE</t>
        </is>
      </c>
      <c r="F177" t="inlineStr">
        <is>
          <t>Cliente A - Refrigerador</t>
        </is>
      </c>
      <c r="G177" t="inlineStr">
        <is>
          <t>Refrigeradores</t>
        </is>
      </c>
      <c r="H177" s="10" t="n">
        <v>330</v>
      </c>
      <c r="I177" s="10">
        <f>IFERROR(T177*H177,0)</f>
        <v/>
      </c>
      <c r="J177" s="11" t="n">
        <v>45937</v>
      </c>
      <c r="K177" s="11" t="n"/>
      <c r="L177" t="inlineStr">
        <is>
          <t>Em transporte</t>
        </is>
      </c>
      <c r="M177">
        <f>IF(L177="","",IFERROR(VLOOKUP(L177,mapGrupoStatus,2,0),"Outros"))</f>
        <v/>
      </c>
      <c r="N177">
        <f>IF(O177="","",IF(O177&lt;=30,"0-30 dias",IF(O177&lt;=60,"31-60 dias",IF(O177&lt;=90,"61-90 dias","Mais de 90 dias"))))</f>
        <v/>
      </c>
      <c r="O177">
        <f>IF(OR(M177="Pendente",M177="Em andamento"),IF(J177="","",TODAY()-J177),"")</f>
        <v/>
      </c>
      <c r="P177" t="n">
        <v>10317</v>
      </c>
      <c r="Q177" t="inlineStr">
        <is>
          <t>Termotec Manutenção (10317)</t>
        </is>
      </c>
      <c r="R177" t="inlineStr">
        <is>
          <t>PC-0003</t>
        </is>
      </c>
      <c r="S177" t="inlineStr">
        <is>
          <t>Compressor modelo 03</t>
        </is>
      </c>
      <c r="T177" t="n">
        <v>2</v>
      </c>
      <c r="U177" t="n">
        <v>130</v>
      </c>
      <c r="V177">
        <f>IF(J177="","",MONTH(J177))</f>
        <v/>
      </c>
      <c r="W177">
        <f>IF(J177="","",YEAR(J177))</f>
        <v/>
      </c>
      <c r="X177" t="inlineStr">
        <is>
          <t>ViaCargo</t>
        </is>
      </c>
      <c r="Y177">
        <f>IFERROR(INDEX(Rastreio!$H$2:$H$200,MATCH(X177&amp;"|"&amp;U177,Rastreio!$A$2:$A$200,0)),"")</f>
        <v/>
      </c>
    </row>
    <row r="178">
      <c r="A178">
        <f>IFERROR(INDEX(STAs!$G$2:$G$61,MATCH(P178,STAs!$F$2:$F$61,0))&amp;"","")</f>
        <v/>
      </c>
      <c r="B178" t="n">
        <v>20024697</v>
      </c>
      <c r="C178" t="inlineStr">
        <is>
          <t>Não</t>
        </is>
      </c>
      <c r="D178" t="inlineStr">
        <is>
          <t>PI</t>
        </is>
      </c>
      <c r="E178" t="inlineStr">
        <is>
          <t>NORDESTE</t>
        </is>
      </c>
      <c r="F178" t="inlineStr">
        <is>
          <t>Cliente A - Refrigerador</t>
        </is>
      </c>
      <c r="G178" t="inlineStr">
        <is>
          <t>Refrigeradores</t>
        </is>
      </c>
      <c r="H178" s="10" t="n">
        <v>40</v>
      </c>
      <c r="I178" s="10">
        <f>IFERROR(T178*H178,0)</f>
        <v/>
      </c>
      <c r="J178" s="11" t="n">
        <v>45937</v>
      </c>
      <c r="K178" s="11" t="n">
        <v>45971</v>
      </c>
      <c r="L178" t="inlineStr">
        <is>
          <t>Ok. Devolvida</t>
        </is>
      </c>
      <c r="M178">
        <f>IF(L178="","",IFERROR(VLOOKUP(L178,mapGrupoStatus,2,0),"Outros"))</f>
        <v/>
      </c>
      <c r="N178">
        <f>IF(O178="","",IF(O178&lt;=30,"0-30 dias",IF(O178&lt;=60,"31-60 dias",IF(O178&lt;=90,"61-90 dias","Mais de 90 dias"))))</f>
        <v/>
      </c>
      <c r="O178">
        <f>IF(OR(M178="Pendente",M178="Em andamento"),IF(J178="","",TODAY()-J178),"")</f>
        <v/>
      </c>
      <c r="P178" t="n">
        <v>10562</v>
      </c>
      <c r="Q178" t="inlineStr">
        <is>
          <t>Clima &amp; Cia (10562)</t>
        </is>
      </c>
      <c r="R178" t="inlineStr">
        <is>
          <t>PC-0005</t>
        </is>
      </c>
      <c r="S178" t="inlineStr">
        <is>
          <t>Termostato modelo 02</t>
        </is>
      </c>
      <c r="T178" t="n">
        <v>1</v>
      </c>
      <c r="U178" t="n">
        <v>136</v>
      </c>
      <c r="V178">
        <f>IF(J178="","",MONTH(J178))</f>
        <v/>
      </c>
      <c r="W178">
        <f>IF(J178="","",YEAR(J178))</f>
        <v/>
      </c>
      <c r="X178" t="inlineStr">
        <is>
          <t>EntregaJá</t>
        </is>
      </c>
      <c r="Y178">
        <f>IFERROR(INDEX(Rastreio!$H$2:$H$200,MATCH(X178&amp;"|"&amp;U178,Rastreio!$A$2:$A$200,0)),"")</f>
        <v/>
      </c>
    </row>
    <row r="179">
      <c r="A179">
        <f>IFERROR(INDEX(STAs!$G$2:$G$61,MATCH(P179,STAs!$F$2:$F$61,0))&amp;"","")</f>
        <v/>
      </c>
      <c r="B179" t="n">
        <v>20028318</v>
      </c>
      <c r="C179" t="inlineStr">
        <is>
          <t>Não</t>
        </is>
      </c>
      <c r="D179" t="inlineStr">
        <is>
          <t>AM</t>
        </is>
      </c>
      <c r="E179" t="inlineStr">
        <is>
          <t>NORTE</t>
        </is>
      </c>
      <c r="F179" t="inlineStr">
        <is>
          <t>Cliente C - Misturador</t>
        </is>
      </c>
      <c r="G179" t="inlineStr">
        <is>
          <t>Refrigeradores</t>
        </is>
      </c>
      <c r="H179" s="10" t="n">
        <v>330</v>
      </c>
      <c r="I179" s="10">
        <f>IFERROR(T179*H179,0)</f>
        <v/>
      </c>
      <c r="J179" s="11" t="n">
        <v>45937</v>
      </c>
      <c r="K179" s="11" t="n"/>
      <c r="L179" t="inlineStr">
        <is>
          <t>Debitar do STA</t>
        </is>
      </c>
      <c r="M179">
        <f>IF(L179="","",IFERROR(VLOOKUP(L179,mapGrupoStatus,2,0),"Outros"))</f>
        <v/>
      </c>
      <c r="N179">
        <f>IF(O179="","",IF(O179&lt;=30,"0-30 dias",IF(O179&lt;=60,"31-60 dias",IF(O179&lt;=90,"61-90 dias","Mais de 90 dias"))))</f>
        <v/>
      </c>
      <c r="O179">
        <f>IF(OR(M179="Pendente",M179="Em andamento"),IF(J179="","",TODAY()-J179),"")</f>
        <v/>
      </c>
      <c r="P179" t="n">
        <v>12269</v>
      </c>
      <c r="Q179" t="inlineStr">
        <is>
          <t>Polar Técnica (12269)</t>
        </is>
      </c>
      <c r="R179" t="inlineStr">
        <is>
          <t>PC-0003</t>
        </is>
      </c>
      <c r="S179" t="inlineStr">
        <is>
          <t>Compressor modelo 03</t>
        </is>
      </c>
      <c r="T179" t="n">
        <v>2</v>
      </c>
      <c r="U179" t="inlineStr"/>
      <c r="V179">
        <f>IF(J179="","",MONTH(J179))</f>
        <v/>
      </c>
      <c r="W179">
        <f>IF(J179="","",YEAR(J179))</f>
        <v/>
      </c>
      <c r="X179" t="inlineStr"/>
      <c r="Y179">
        <f>IFERROR(INDEX(Rastreio!$H$2:$H$200,MATCH(X179&amp;"|"&amp;U179,Rastreio!$A$2:$A$200,0)),"")</f>
        <v/>
      </c>
    </row>
    <row r="180">
      <c r="A180">
        <f>IFERROR(INDEX(STAs!$G$2:$G$61,MATCH(P180,STAs!$F$2:$F$61,0))&amp;"","")</f>
        <v/>
      </c>
      <c r="B180" t="n">
        <v>20028880</v>
      </c>
      <c r="C180" t="inlineStr">
        <is>
          <t>Não</t>
        </is>
      </c>
      <c r="D180" t="inlineStr">
        <is>
          <t>ES</t>
        </is>
      </c>
      <c r="E180" t="inlineStr">
        <is>
          <t>SUDESTE RJ e ES</t>
        </is>
      </c>
      <c r="F180" t="inlineStr">
        <is>
          <t>Cliente B - Chopeira</t>
        </is>
      </c>
      <c r="G180" t="inlineStr">
        <is>
          <t>Misturadores</t>
        </is>
      </c>
      <c r="H180" s="10" t="n">
        <v>50</v>
      </c>
      <c r="I180" s="10">
        <f>IFERROR(T180*H180,0)</f>
        <v/>
      </c>
      <c r="J180" s="11" t="n">
        <v>45937</v>
      </c>
      <c r="K180" s="11" t="n"/>
      <c r="L180" t="inlineStr">
        <is>
          <t>Em andamento</t>
        </is>
      </c>
      <c r="M180">
        <f>IF(L180="","",IFERROR(VLOOKUP(L180,mapGrupoStatus,2,0),"Outros"))</f>
        <v/>
      </c>
      <c r="N180">
        <f>IF(O180="","",IF(O180&lt;=30,"0-30 dias",IF(O180&lt;=60,"31-60 dias",IF(O180&lt;=90,"61-90 dias","Mais de 90 dias"))))</f>
        <v/>
      </c>
      <c r="O180">
        <f>IF(OR(M180="Pendente",M180="Em andamento"),IF(J180="","",TODAY()-J180),"")</f>
        <v/>
      </c>
      <c r="P180" t="n">
        <v>12555</v>
      </c>
      <c r="Q180" t="inlineStr">
        <is>
          <t>Cool Service Serviços (12555)</t>
        </is>
      </c>
      <c r="R180" t="inlineStr">
        <is>
          <t>PC-0044</t>
        </is>
      </c>
      <c r="S180" t="inlineStr">
        <is>
          <t>Bico dosador modelo 03</t>
        </is>
      </c>
      <c r="T180" t="n">
        <v>1</v>
      </c>
      <c r="U180" t="n">
        <v>145</v>
      </c>
      <c r="V180">
        <f>IF(J180="","",MONTH(J180))</f>
        <v/>
      </c>
      <c r="W180">
        <f>IF(J180="","",YEAR(J180))</f>
        <v/>
      </c>
      <c r="X180" t="inlineStr">
        <is>
          <t>ViaCargo</t>
        </is>
      </c>
      <c r="Y180">
        <f>IFERROR(INDEX(Rastreio!$H$2:$H$200,MATCH(X180&amp;"|"&amp;U180,Rastreio!$A$2:$A$200,0)),"")</f>
        <v/>
      </c>
    </row>
    <row r="181">
      <c r="A181">
        <f>IFERROR(INDEX(STAs!$G$2:$G$61,MATCH(P181,STAs!$F$2:$F$61,0))&amp;"","")</f>
        <v/>
      </c>
      <c r="B181" t="n">
        <v>20034698</v>
      </c>
      <c r="C181" t="inlineStr">
        <is>
          <t>Não</t>
        </is>
      </c>
      <c r="D181" t="inlineStr">
        <is>
          <t>ES</t>
        </is>
      </c>
      <c r="E181" t="inlineStr">
        <is>
          <t>SUDESTE RJ e ES</t>
        </is>
      </c>
      <c r="F181" t="inlineStr">
        <is>
          <t>Cliente A - Refrigerador</t>
        </is>
      </c>
      <c r="G181" t="inlineStr">
        <is>
          <t>Misturadores</t>
        </is>
      </c>
      <c r="H181" s="10" t="n">
        <v>265</v>
      </c>
      <c r="I181" s="10">
        <f>IFERROR(T181*H181,0)</f>
        <v/>
      </c>
      <c r="J181" s="11" t="n">
        <v>45937</v>
      </c>
      <c r="K181" s="11" t="n"/>
      <c r="L181" t="inlineStr">
        <is>
          <t>Em transporte</t>
        </is>
      </c>
      <c r="M181">
        <f>IF(L181="","",IFERROR(VLOOKUP(L181,mapGrupoStatus,2,0),"Outros"))</f>
        <v/>
      </c>
      <c r="N181">
        <f>IF(O181="","",IF(O181&lt;=30,"0-30 dias",IF(O181&lt;=60,"31-60 dias",IF(O181&lt;=90,"61-90 dias","Mais de 90 dias"))))</f>
        <v/>
      </c>
      <c r="O181">
        <f>IF(OR(M181="Pendente",M181="Em andamento"),IF(J181="","",TODAY()-J181),"")</f>
        <v/>
      </c>
      <c r="P181" t="n">
        <v>11162</v>
      </c>
      <c r="Q181" t="inlineStr">
        <is>
          <t>Ártico Refrigeração (11162)</t>
        </is>
      </c>
      <c r="R181" t="inlineStr">
        <is>
          <t>PC-0038</t>
        </is>
      </c>
      <c r="S181" t="inlineStr">
        <is>
          <t>Bomba de recirculação modelo 02</t>
        </is>
      </c>
      <c r="T181" t="n">
        <v>1</v>
      </c>
      <c r="U181" t="n">
        <v>160</v>
      </c>
      <c r="V181">
        <f>IF(J181="","",MONTH(J181))</f>
        <v/>
      </c>
      <c r="W181">
        <f>IF(J181="","",YEAR(J181))</f>
        <v/>
      </c>
      <c r="X181" t="inlineStr">
        <is>
          <t>CargoMax</t>
        </is>
      </c>
      <c r="Y181">
        <f>IFERROR(INDEX(Rastreio!$H$2:$H$200,MATCH(X181&amp;"|"&amp;U181,Rastreio!$A$2:$A$200,0)),"")</f>
        <v/>
      </c>
    </row>
    <row r="182">
      <c r="A182">
        <f>IFERROR(INDEX(STAs!$G$2:$G$61,MATCH(P182,STAs!$F$2:$F$61,0))&amp;"","")</f>
        <v/>
      </c>
      <c r="B182" t="n">
        <v>20035313</v>
      </c>
      <c r="C182" t="inlineStr">
        <is>
          <t>Não</t>
        </is>
      </c>
      <c r="D182" t="inlineStr">
        <is>
          <t>RS</t>
        </is>
      </c>
      <c r="E182" t="inlineStr">
        <is>
          <t>SUL</t>
        </is>
      </c>
      <c r="F182" t="inlineStr">
        <is>
          <t>Cliente B - Chopeira</t>
        </is>
      </c>
      <c r="G182" t="inlineStr">
        <is>
          <t>Refrigeradores</t>
        </is>
      </c>
      <c r="H182" s="10" t="n">
        <v>70</v>
      </c>
      <c r="I182" s="10">
        <f>IFERROR(T182*H182,0)</f>
        <v/>
      </c>
      <c r="J182" s="11" t="n">
        <v>45937</v>
      </c>
      <c r="K182" s="11" t="n"/>
      <c r="L182" t="inlineStr">
        <is>
          <t>Em andamento</t>
        </is>
      </c>
      <c r="M182">
        <f>IF(L182="","",IFERROR(VLOOKUP(L182,mapGrupoStatus,2,0),"Outros"))</f>
        <v/>
      </c>
      <c r="N182">
        <f>IF(O182="","",IF(O182&lt;=30,"0-30 dias",IF(O182&lt;=60,"31-60 dias",IF(O182&lt;=90,"61-90 dias","Mais de 90 dias"))))</f>
        <v/>
      </c>
      <c r="O182">
        <f>IF(OR(M182="Pendente",M182="Em andamento"),IF(J182="","",TODAY()-J182),"")</f>
        <v/>
      </c>
      <c r="P182" t="n">
        <v>11459</v>
      </c>
      <c r="Q182" t="inlineStr">
        <is>
          <t>Frio ME (11459)</t>
        </is>
      </c>
      <c r="R182" t="inlineStr">
        <is>
          <t>PC-0009</t>
        </is>
      </c>
      <c r="S182" t="inlineStr">
        <is>
          <t>Ventilador modelo 03</t>
        </is>
      </c>
      <c r="T182" t="n">
        <v>1</v>
      </c>
      <c r="U182" t="n">
        <v>163</v>
      </c>
      <c r="V182">
        <f>IF(J182="","",MONTH(J182))</f>
        <v/>
      </c>
      <c r="W182">
        <f>IF(J182="","",YEAR(J182))</f>
        <v/>
      </c>
      <c r="X182" t="inlineStr">
        <is>
          <t>LogExpress</t>
        </is>
      </c>
      <c r="Y182">
        <f>IFERROR(INDEX(Rastreio!$H$2:$H$200,MATCH(X182&amp;"|"&amp;U182,Rastreio!$A$2:$A$200,0)),"")</f>
        <v/>
      </c>
    </row>
    <row r="183">
      <c r="A183">
        <f>IFERROR(INDEX(STAs!$G$2:$G$61,MATCH(P183,STAs!$F$2:$F$61,0))&amp;"","")</f>
        <v/>
      </c>
      <c r="B183" t="n">
        <v>20001677</v>
      </c>
      <c r="C183" t="inlineStr">
        <is>
          <t>Não</t>
        </is>
      </c>
      <c r="D183" t="inlineStr">
        <is>
          <t>GO</t>
        </is>
      </c>
      <c r="E183" t="inlineStr">
        <is>
          <t>CENTRO OESTE</t>
        </is>
      </c>
      <c r="F183" t="inlineStr">
        <is>
          <t>Cliente B - Chopeira</t>
        </is>
      </c>
      <c r="G183" t="inlineStr">
        <is>
          <t>Chopeiras</t>
        </is>
      </c>
      <c r="H183" s="10" t="n">
        <v>120</v>
      </c>
      <c r="I183" s="10">
        <f>IFERROR(T183*H183,0)</f>
        <v/>
      </c>
      <c r="J183" s="11" t="n">
        <v>45938</v>
      </c>
      <c r="K183" s="11" t="n"/>
      <c r="L183" t="inlineStr">
        <is>
          <t>NF Vencida</t>
        </is>
      </c>
      <c r="M183">
        <f>IF(L183="","",IFERROR(VLOOKUP(L183,mapGrupoStatus,2,0),"Outros"))</f>
        <v/>
      </c>
      <c r="N183">
        <f>IF(O183="","",IF(O183&lt;=30,"0-30 dias",IF(O183&lt;=60,"31-60 dias",IF(O183&lt;=90,"61-90 dias","Mais de 90 dias"))))</f>
        <v/>
      </c>
      <c r="O183">
        <f>IF(OR(M183="Pendente",M183="Em andamento"),IF(J183="","",TODAY()-J183),"")</f>
        <v/>
      </c>
      <c r="P183" t="n">
        <v>10317</v>
      </c>
      <c r="Q183" t="inlineStr">
        <is>
          <t>Termotec Manutenção (10317)</t>
        </is>
      </c>
      <c r="R183" t="inlineStr">
        <is>
          <t>PC-0032</t>
        </is>
      </c>
      <c r="S183" t="inlineStr">
        <is>
          <t>Regulador de pressão modelo 01</t>
        </is>
      </c>
      <c r="T183" t="n">
        <v>1</v>
      </c>
      <c r="U183" t="inlineStr"/>
      <c r="V183">
        <f>IF(J183="","",MONTH(J183))</f>
        <v/>
      </c>
      <c r="W183">
        <f>IF(J183="","",YEAR(J183))</f>
        <v/>
      </c>
      <c r="X183" t="inlineStr"/>
      <c r="Y183">
        <f>IFERROR(INDEX(Rastreio!$H$2:$H$200,MATCH(X183&amp;"|"&amp;U183,Rastreio!$A$2:$A$200,0)),"")</f>
        <v/>
      </c>
    </row>
    <row r="184">
      <c r="A184">
        <f>IFERROR(INDEX(STAs!$G$2:$G$61,MATCH(P184,STAs!$F$2:$F$61,0))&amp;"","")</f>
        <v/>
      </c>
      <c r="B184" t="n">
        <v>20015093</v>
      </c>
      <c r="C184" t="inlineStr">
        <is>
          <t>Não</t>
        </is>
      </c>
      <c r="D184" t="inlineStr">
        <is>
          <t>RJ</t>
        </is>
      </c>
      <c r="E184" t="inlineStr">
        <is>
          <t>SUDESTE RJ e ES</t>
        </is>
      </c>
      <c r="F184" t="inlineStr">
        <is>
          <t>Cliente A - Refrigerador</t>
        </is>
      </c>
      <c r="G184" t="inlineStr">
        <is>
          <t>Refrigeradores</t>
        </is>
      </c>
      <c r="H184" s="10" t="n">
        <v>30</v>
      </c>
      <c r="I184" s="10">
        <f>IFERROR(T184*H184,0)</f>
        <v/>
      </c>
      <c r="J184" s="11" t="n">
        <v>45938</v>
      </c>
      <c r="K184" s="11" t="n">
        <v>45946</v>
      </c>
      <c r="L184" t="inlineStr">
        <is>
          <t>Ok. Devolvida</t>
        </is>
      </c>
      <c r="M184">
        <f>IF(L184="","",IFERROR(VLOOKUP(L184,mapGrupoStatus,2,0),"Outros"))</f>
        <v/>
      </c>
      <c r="N184">
        <f>IF(O184="","",IF(O184&lt;=30,"0-30 dias",IF(O184&lt;=60,"31-60 dias",IF(O184&lt;=90,"61-90 dias","Mais de 90 dias"))))</f>
        <v/>
      </c>
      <c r="O184">
        <f>IF(OR(M184="Pendente",M184="Em andamento"),IF(J184="","",TODAY()-J184),"")</f>
        <v/>
      </c>
      <c r="P184" t="n">
        <v>11059</v>
      </c>
      <c r="Q184" t="inlineStr">
        <is>
          <t>Frio Ltda (11059)</t>
        </is>
      </c>
      <c r="R184" t="inlineStr">
        <is>
          <t>PC-0017</t>
        </is>
      </c>
      <c r="S184" t="inlineStr">
        <is>
          <t>Filtro secador modelo 03</t>
        </is>
      </c>
      <c r="T184" t="n">
        <v>1</v>
      </c>
      <c r="U184" t="n">
        <v>121</v>
      </c>
      <c r="V184">
        <f>IF(J184="","",MONTH(J184))</f>
        <v/>
      </c>
      <c r="W184">
        <f>IF(J184="","",YEAR(J184))</f>
        <v/>
      </c>
      <c r="X184" t="inlineStr">
        <is>
          <t>RotaSul</t>
        </is>
      </c>
      <c r="Y184">
        <f>IFERROR(INDEX(Rastreio!$H$2:$H$200,MATCH(X184&amp;"|"&amp;U184,Rastreio!$A$2:$A$200,0)),"")</f>
        <v/>
      </c>
    </row>
    <row r="185">
      <c r="A185">
        <f>IFERROR(INDEX(STAs!$G$2:$G$61,MATCH(P185,STAs!$F$2:$F$61,0))&amp;"","")</f>
        <v/>
      </c>
      <c r="B185" t="n">
        <v>20028295</v>
      </c>
      <c r="C185" t="inlineStr">
        <is>
          <t>Não</t>
        </is>
      </c>
      <c r="D185" t="inlineStr">
        <is>
          <t>RO</t>
        </is>
      </c>
      <c r="E185" t="inlineStr">
        <is>
          <t>NORTE</t>
        </is>
      </c>
      <c r="F185" t="inlineStr">
        <is>
          <t>Cliente C - Misturador</t>
        </is>
      </c>
      <c r="G185" t="inlineStr">
        <is>
          <t>Refrigeradores</t>
        </is>
      </c>
      <c r="H185" s="10" t="n">
        <v>35</v>
      </c>
      <c r="I185" s="10">
        <f>IFERROR(T185*H185,0)</f>
        <v/>
      </c>
      <c r="J185" s="11" t="n">
        <v>45938</v>
      </c>
      <c r="K185" s="11" t="n"/>
      <c r="L185" t="inlineStr">
        <is>
          <t>Aguardando devolução</t>
        </is>
      </c>
      <c r="M185">
        <f>IF(L185="","",IFERROR(VLOOKUP(L185,mapGrupoStatus,2,0),"Outros"))</f>
        <v/>
      </c>
      <c r="N185">
        <f>IF(O185="","",IF(O185&lt;=30,"0-30 dias",IF(O185&lt;=60,"31-60 dias",IF(O185&lt;=90,"61-90 dias","Mais de 90 dias"))))</f>
        <v/>
      </c>
      <c r="O185">
        <f>IF(OR(M185="Pendente",M185="Em andamento"),IF(J185="","",TODAY()-J185),"")</f>
        <v/>
      </c>
      <c r="P185" t="n">
        <v>10172</v>
      </c>
      <c r="Q185" t="inlineStr">
        <is>
          <t>Frigo Serviços (10172)</t>
        </is>
      </c>
      <c r="R185" t="inlineStr">
        <is>
          <t>PC-0016</t>
        </is>
      </c>
      <c r="S185" t="inlineStr">
        <is>
          <t>Filtro secador modelo 02</t>
        </is>
      </c>
      <c r="T185" t="n">
        <v>1</v>
      </c>
      <c r="U185" t="inlineStr"/>
      <c r="V185">
        <f>IF(J185="","",MONTH(J185))</f>
        <v/>
      </c>
      <c r="W185">
        <f>IF(J185="","",YEAR(J185))</f>
        <v/>
      </c>
      <c r="X185" t="inlineStr"/>
      <c r="Y185">
        <f>IFERROR(INDEX(Rastreio!$H$2:$H$200,MATCH(X185&amp;"|"&amp;U185,Rastreio!$A$2:$A$200,0)),"")</f>
        <v/>
      </c>
    </row>
    <row r="186">
      <c r="A186">
        <f>IFERROR(INDEX(STAs!$G$2:$G$61,MATCH(P186,STAs!$F$2:$F$61,0))&amp;"","")</f>
        <v/>
      </c>
      <c r="B186" t="n">
        <v>20001039</v>
      </c>
      <c r="C186" t="inlineStr">
        <is>
          <t>Não</t>
        </is>
      </c>
      <c r="D186" t="inlineStr">
        <is>
          <t>SP</t>
        </is>
      </c>
      <c r="E186" t="inlineStr">
        <is>
          <t>SUDESTE SP</t>
        </is>
      </c>
      <c r="F186" t="inlineStr">
        <is>
          <t>Cliente B - Chopeira</t>
        </is>
      </c>
      <c r="G186" t="inlineStr">
        <is>
          <t>Misturadores</t>
        </is>
      </c>
      <c r="H186" s="10" t="n">
        <v>40</v>
      </c>
      <c r="I186" s="10">
        <f>IFERROR(T186*H186,0)</f>
        <v/>
      </c>
      <c r="J186" s="11" t="n">
        <v>45939</v>
      </c>
      <c r="K186" s="11" t="n">
        <v>45960</v>
      </c>
      <c r="L186" t="inlineStr">
        <is>
          <t>Ok. Devolvida</t>
        </is>
      </c>
      <c r="M186">
        <f>IF(L186="","",IFERROR(VLOOKUP(L186,mapGrupoStatus,2,0),"Outros"))</f>
        <v/>
      </c>
      <c r="N186">
        <f>IF(O186="","",IF(O186&lt;=30,"0-30 dias",IF(O186&lt;=60,"31-60 dias",IF(O186&lt;=90,"61-90 dias","Mais de 90 dias"))))</f>
        <v/>
      </c>
      <c r="O186">
        <f>IF(OR(M186="Pendente",M186="Em andamento"),IF(J186="","",TODAY()-J186),"")</f>
        <v/>
      </c>
      <c r="P186" t="n">
        <v>11365</v>
      </c>
      <c r="Q186" t="inlineStr">
        <is>
          <t>Ártico Express (11365)</t>
        </is>
      </c>
      <c r="R186" t="inlineStr">
        <is>
          <t>PC-0042</t>
        </is>
      </c>
      <c r="S186" t="inlineStr">
        <is>
          <t>Bico dosador modelo 01</t>
        </is>
      </c>
      <c r="T186" t="n">
        <v>1</v>
      </c>
      <c r="U186" t="n">
        <v>101</v>
      </c>
      <c r="V186">
        <f>IF(J186="","",MONTH(J186))</f>
        <v/>
      </c>
      <c r="W186">
        <f>IF(J186="","",YEAR(J186))</f>
        <v/>
      </c>
      <c r="X186" t="inlineStr">
        <is>
          <t>ViaCargo</t>
        </is>
      </c>
      <c r="Y186">
        <f>IFERROR(INDEX(Rastreio!$H$2:$H$200,MATCH(X186&amp;"|"&amp;U186,Rastreio!$A$2:$A$200,0)),"")</f>
        <v/>
      </c>
    </row>
    <row r="187">
      <c r="A187">
        <f>IFERROR(INDEX(STAs!$G$2:$G$61,MATCH(P187,STAs!$F$2:$F$61,0))&amp;"","")</f>
        <v/>
      </c>
      <c r="B187" t="n">
        <v>20005162</v>
      </c>
      <c r="C187" t="inlineStr">
        <is>
          <t>Não</t>
        </is>
      </c>
      <c r="D187" t="inlineStr">
        <is>
          <t>MG</t>
        </is>
      </c>
      <c r="E187" t="inlineStr">
        <is>
          <t>SUDESTE MG</t>
        </is>
      </c>
      <c r="F187" t="inlineStr">
        <is>
          <t>Cliente C - Misturador</t>
        </is>
      </c>
      <c r="G187" t="inlineStr">
        <is>
          <t>Refrigeradores</t>
        </is>
      </c>
      <c r="H187" s="10" t="n">
        <v>45</v>
      </c>
      <c r="I187" s="10">
        <f>IFERROR(T187*H187,0)</f>
        <v/>
      </c>
      <c r="J187" s="11" t="n">
        <v>45939</v>
      </c>
      <c r="K187" s="11" t="n"/>
      <c r="L187" t="inlineStr">
        <is>
          <t>Em andamento</t>
        </is>
      </c>
      <c r="M187">
        <f>IF(L187="","",IFERROR(VLOOKUP(L187,mapGrupoStatus,2,0),"Outros"))</f>
        <v/>
      </c>
      <c r="N187">
        <f>IF(O187="","",IF(O187&lt;=30,"0-30 dias",IF(O187&lt;=60,"31-60 dias",IF(O187&lt;=90,"61-90 dias","Mais de 90 dias"))))</f>
        <v/>
      </c>
      <c r="O187">
        <f>IF(OR(M187="Pendente",M187="Em andamento"),IF(J187="","",TODAY()-J187),"")</f>
        <v/>
      </c>
      <c r="P187" t="n">
        <v>11494</v>
      </c>
      <c r="Q187" t="inlineStr">
        <is>
          <t>Clima Técnica (11494)</t>
        </is>
      </c>
      <c r="R187" t="inlineStr">
        <is>
          <t>PC-0018</t>
        </is>
      </c>
      <c r="S187" t="inlineStr">
        <is>
          <t>Gaxeta da porta modelo 01</t>
        </is>
      </c>
      <c r="T187" t="n">
        <v>1</v>
      </c>
      <c r="U187" t="n">
        <v>112</v>
      </c>
      <c r="V187">
        <f>IF(J187="","",MONTH(J187))</f>
        <v/>
      </c>
      <c r="W187">
        <f>IF(J187="","",YEAR(J187))</f>
        <v/>
      </c>
      <c r="X187" t="inlineStr">
        <is>
          <t>ViaCargo</t>
        </is>
      </c>
      <c r="Y187">
        <f>IFERROR(INDEX(Rastreio!$H$2:$H$200,MATCH(X187&amp;"|"&amp;U187,Rastreio!$A$2:$A$200,0)),"")</f>
        <v/>
      </c>
    </row>
    <row r="188">
      <c r="A188">
        <f>IFERROR(INDEX(STAs!$G$2:$G$61,MATCH(P188,STAs!$F$2:$F$61,0))&amp;"","")</f>
        <v/>
      </c>
      <c r="B188" t="n">
        <v>20011143</v>
      </c>
      <c r="C188" t="inlineStr">
        <is>
          <t>Não</t>
        </is>
      </c>
      <c r="D188" t="inlineStr">
        <is>
          <t>PE</t>
        </is>
      </c>
      <c r="E188" t="inlineStr">
        <is>
          <t>NORDESTE</t>
        </is>
      </c>
      <c r="F188" t="inlineStr">
        <is>
          <t>Cliente B - Chopeira</t>
        </is>
      </c>
      <c r="G188" t="inlineStr">
        <is>
          <t>Misturadores</t>
        </is>
      </c>
      <c r="H188" s="10" t="n">
        <v>50</v>
      </c>
      <c r="I188" s="10">
        <f>IFERROR(T188*H188,0)</f>
        <v/>
      </c>
      <c r="J188" s="11" t="n">
        <v>45939</v>
      </c>
      <c r="K188" s="11" t="n"/>
      <c r="L188" t="inlineStr">
        <is>
          <t>Em transporte</t>
        </is>
      </c>
      <c r="M188">
        <f>IF(L188="","",IFERROR(VLOOKUP(L188,mapGrupoStatus,2,0),"Outros"))</f>
        <v/>
      </c>
      <c r="N188">
        <f>IF(O188="","",IF(O188&lt;=30,"0-30 dias",IF(O188&lt;=60,"31-60 dias",IF(O188&lt;=90,"61-90 dias","Mais de 90 dias"))))</f>
        <v/>
      </c>
      <c r="O188">
        <f>IF(OR(M188="Pendente",M188="Em andamento"),IF(J188="","",TODAY()-J188),"")</f>
        <v/>
      </c>
      <c r="P188" t="n">
        <v>11352</v>
      </c>
      <c r="Q188" t="inlineStr">
        <is>
          <t>Frio Express (11352)</t>
        </is>
      </c>
      <c r="R188" t="inlineStr">
        <is>
          <t>PC-0044</t>
        </is>
      </c>
      <c r="S188" t="inlineStr">
        <is>
          <t>Bico dosador modelo 03</t>
        </is>
      </c>
      <c r="T188" t="n">
        <v>1</v>
      </c>
      <c r="U188" t="n">
        <v>118</v>
      </c>
      <c r="V188">
        <f>IF(J188="","",MONTH(J188))</f>
        <v/>
      </c>
      <c r="W188">
        <f>IF(J188="","",YEAR(J188))</f>
        <v/>
      </c>
      <c r="X188" t="inlineStr">
        <is>
          <t>TransNorte</t>
        </is>
      </c>
      <c r="Y188">
        <f>IFERROR(INDEX(Rastreio!$H$2:$H$200,MATCH(X188&amp;"|"&amp;U188,Rastreio!$A$2:$A$200,0)),"")</f>
        <v/>
      </c>
    </row>
    <row r="189">
      <c r="A189">
        <f>IFERROR(INDEX(STAs!$G$2:$G$61,MATCH(P189,STAs!$F$2:$F$61,0))&amp;"","")</f>
        <v/>
      </c>
      <c r="B189" t="n">
        <v>20020697</v>
      </c>
      <c r="C189" t="inlineStr">
        <is>
          <t>Não</t>
        </is>
      </c>
      <c r="D189" t="inlineStr">
        <is>
          <t>BA</t>
        </is>
      </c>
      <c r="E189" t="inlineStr">
        <is>
          <t>NORDESTE</t>
        </is>
      </c>
      <c r="F189" t="inlineStr">
        <is>
          <t>Cliente A - Refrigerador</t>
        </is>
      </c>
      <c r="G189" t="inlineStr">
        <is>
          <t>Refrigeradores</t>
        </is>
      </c>
      <c r="H189" s="10" t="n">
        <v>25</v>
      </c>
      <c r="I189" s="10">
        <f>IFERROR(T189*H189,0)</f>
        <v/>
      </c>
      <c r="J189" s="11" t="n">
        <v>45939</v>
      </c>
      <c r="K189" s="11" t="n"/>
      <c r="L189" t="inlineStr">
        <is>
          <t>Debitar do STA</t>
        </is>
      </c>
      <c r="M189">
        <f>IF(L189="","",IFERROR(VLOOKUP(L189,mapGrupoStatus,2,0),"Outros"))</f>
        <v/>
      </c>
      <c r="N189">
        <f>IF(O189="","",IF(O189&lt;=30,"0-30 dias",IF(O189&lt;=60,"31-60 dias",IF(O189&lt;=90,"61-90 dias","Mais de 90 dias"))))</f>
        <v/>
      </c>
      <c r="O189">
        <f>IF(OR(M189="Pendente",M189="Em andamento"),IF(J189="","",TODAY()-J189),"")</f>
        <v/>
      </c>
      <c r="P189" t="n">
        <v>12194</v>
      </c>
      <c r="Q189" t="inlineStr">
        <is>
          <t>Polar &amp; Cia (12194)</t>
        </is>
      </c>
      <c r="R189" t="inlineStr">
        <is>
          <t>PC-0015</t>
        </is>
      </c>
      <c r="S189" t="inlineStr">
        <is>
          <t>Filtro secador modelo 01</t>
        </is>
      </c>
      <c r="T189" t="n">
        <v>1</v>
      </c>
      <c r="U189" t="inlineStr"/>
      <c r="V189">
        <f>IF(J189="","",MONTH(J189))</f>
        <v/>
      </c>
      <c r="W189">
        <f>IF(J189="","",YEAR(J189))</f>
        <v/>
      </c>
      <c r="X189" t="inlineStr"/>
      <c r="Y189">
        <f>IFERROR(INDEX(Rastreio!$H$2:$H$200,MATCH(X189&amp;"|"&amp;U189,Rastreio!$A$2:$A$200,0)),"")</f>
        <v/>
      </c>
    </row>
    <row r="190">
      <c r="A190">
        <f>IFERROR(INDEX(STAs!$G$2:$G$61,MATCH(P190,STAs!$F$2:$F$61,0))&amp;"","")</f>
        <v/>
      </c>
      <c r="B190" t="n">
        <v>20023567</v>
      </c>
      <c r="C190" t="inlineStr">
        <is>
          <t>Não</t>
        </is>
      </c>
      <c r="D190" t="inlineStr">
        <is>
          <t>MG</t>
        </is>
      </c>
      <c r="E190" t="inlineStr">
        <is>
          <t>SUDESTE MG</t>
        </is>
      </c>
      <c r="F190" t="inlineStr">
        <is>
          <t>Cliente A - Refrigerador</t>
        </is>
      </c>
      <c r="G190" t="inlineStr">
        <is>
          <t>Misturadores</t>
        </is>
      </c>
      <c r="H190" s="10" t="n">
        <v>200</v>
      </c>
      <c r="I190" s="10">
        <f>IFERROR(T190*H190,0)</f>
        <v/>
      </c>
      <c r="J190" s="11" t="n">
        <v>45939</v>
      </c>
      <c r="K190" s="11" t="n">
        <v>45960</v>
      </c>
      <c r="L190" t="inlineStr">
        <is>
          <t>Ok. Devolvida</t>
        </is>
      </c>
      <c r="M190">
        <f>IF(L190="","",IFERROR(VLOOKUP(L190,mapGrupoStatus,2,0),"Outros"))</f>
        <v/>
      </c>
      <c r="N190">
        <f>IF(O190="","",IF(O190&lt;=30,"0-30 dias",IF(O190&lt;=60,"31-60 dias",IF(O190&lt;=90,"61-90 dias","Mais de 90 dias"))))</f>
        <v/>
      </c>
      <c r="O190">
        <f>IF(OR(M190="Pendente",M190="Em andamento"),IF(J190="","",TODAY()-J190),"")</f>
        <v/>
      </c>
      <c r="P190" t="n">
        <v>12158</v>
      </c>
      <c r="Q190" t="inlineStr">
        <is>
          <t>Gelo Serviços (12158)</t>
        </is>
      </c>
      <c r="R190" t="inlineStr">
        <is>
          <t>PC-0040</t>
        </is>
      </c>
      <c r="S190" t="inlineStr">
        <is>
          <t>Motor agitador modelo 01</t>
        </is>
      </c>
      <c r="T190" t="n">
        <v>1</v>
      </c>
      <c r="U190" t="n">
        <v>139</v>
      </c>
      <c r="V190">
        <f>IF(J190="","",MONTH(J190))</f>
        <v/>
      </c>
      <c r="W190">
        <f>IF(J190="","",YEAR(J190))</f>
        <v/>
      </c>
      <c r="X190" t="inlineStr">
        <is>
          <t>RotaSul</t>
        </is>
      </c>
      <c r="Y190">
        <f>IFERROR(INDEX(Rastreio!$H$2:$H$200,MATCH(X190&amp;"|"&amp;U190,Rastreio!$A$2:$A$200,0)),"")</f>
        <v/>
      </c>
    </row>
    <row r="191">
      <c r="A191">
        <f>IFERROR(INDEX(STAs!$G$2:$G$61,MATCH(P191,STAs!$F$2:$F$61,0))&amp;"","")</f>
        <v/>
      </c>
      <c r="B191" t="n">
        <v>20029453</v>
      </c>
      <c r="C191" t="inlineStr">
        <is>
          <t>Não</t>
        </is>
      </c>
      <c r="D191" t="inlineStr">
        <is>
          <t>ES</t>
        </is>
      </c>
      <c r="E191" t="inlineStr">
        <is>
          <t>SUDESTE RJ e ES</t>
        </is>
      </c>
      <c r="F191" t="inlineStr">
        <is>
          <t>Cliente C - Misturador</t>
        </is>
      </c>
      <c r="G191" t="inlineStr">
        <is>
          <t>Refrigeradores</t>
        </is>
      </c>
      <c r="H191" s="10" t="n">
        <v>50</v>
      </c>
      <c r="I191" s="10">
        <f>IFERROR(T191*H191,0)</f>
        <v/>
      </c>
      <c r="J191" s="11" t="n">
        <v>45939</v>
      </c>
      <c r="K191" s="11" t="n">
        <v>45976</v>
      </c>
      <c r="L191" t="inlineStr">
        <is>
          <t>Ok. Devolvida</t>
        </is>
      </c>
      <c r="M191">
        <f>IF(L191="","",IFERROR(VLOOKUP(L191,mapGrupoStatus,2,0),"Outros"))</f>
        <v/>
      </c>
      <c r="N191">
        <f>IF(O191="","",IF(O191&lt;=30,"0-30 dias",IF(O191&lt;=60,"31-60 dias",IF(O191&lt;=90,"61-90 dias","Mais de 90 dias"))))</f>
        <v/>
      </c>
      <c r="O191">
        <f>IF(OR(M191="Pendente",M191="Em andamento"),IF(J191="","",TODAY()-J191),"")</f>
        <v/>
      </c>
      <c r="P191" t="n">
        <v>11162</v>
      </c>
      <c r="Q191" t="inlineStr">
        <is>
          <t>Ártico Refrigeração (11162)</t>
        </is>
      </c>
      <c r="R191" t="inlineStr">
        <is>
          <t>PC-0006</t>
        </is>
      </c>
      <c r="S191" t="inlineStr">
        <is>
          <t>Termostato modelo 03</t>
        </is>
      </c>
      <c r="T191" t="n">
        <v>1</v>
      </c>
      <c r="U191" t="n">
        <v>146</v>
      </c>
      <c r="V191">
        <f>IF(J191="","",MONTH(J191))</f>
        <v/>
      </c>
      <c r="W191">
        <f>IF(J191="","",YEAR(J191))</f>
        <v/>
      </c>
      <c r="X191" t="inlineStr">
        <is>
          <t>ViaCargo</t>
        </is>
      </c>
      <c r="Y191">
        <f>IFERROR(INDEX(Rastreio!$H$2:$H$200,MATCH(X191&amp;"|"&amp;U191,Rastreio!$A$2:$A$200,0)),"")</f>
        <v/>
      </c>
    </row>
    <row r="192">
      <c r="A192">
        <f>IFERROR(INDEX(STAs!$G$2:$G$61,MATCH(P192,STAs!$F$2:$F$61,0))&amp;"","")</f>
        <v/>
      </c>
      <c r="B192" t="n">
        <v>20003137</v>
      </c>
      <c r="C192" t="inlineStr">
        <is>
          <t>Não</t>
        </is>
      </c>
      <c r="D192" t="inlineStr">
        <is>
          <t>BA</t>
        </is>
      </c>
      <c r="E192" t="inlineStr">
        <is>
          <t>NORDESTE</t>
        </is>
      </c>
      <c r="F192" t="inlineStr">
        <is>
          <t>Cliente B - Chopeira</t>
        </is>
      </c>
      <c r="G192" t="inlineStr">
        <is>
          <t>Refrigeradores</t>
        </is>
      </c>
      <c r="H192" s="10" t="n">
        <v>35</v>
      </c>
      <c r="I192" s="10">
        <f>IFERROR(T192*H192,0)</f>
        <v/>
      </c>
      <c r="J192" s="11" t="n">
        <v>45940</v>
      </c>
      <c r="K192" s="11" t="n"/>
      <c r="L192" t="inlineStr">
        <is>
          <t>Em transporte</t>
        </is>
      </c>
      <c r="M192">
        <f>IF(L192="","",IFERROR(VLOOKUP(L192,mapGrupoStatus,2,0),"Outros"))</f>
        <v/>
      </c>
      <c r="N192">
        <f>IF(O192="","",IF(O192&lt;=30,"0-30 dias",IF(O192&lt;=60,"31-60 dias",IF(O192&lt;=90,"61-90 dias","Mais de 90 dias"))))</f>
        <v/>
      </c>
      <c r="O192">
        <f>IF(OR(M192="Pendente",M192="Em andamento"),IF(J192="","",TODAY()-J192),"")</f>
        <v/>
      </c>
      <c r="P192" t="n">
        <v>11244</v>
      </c>
      <c r="Q192" t="inlineStr">
        <is>
          <t>Refrigeração Manutenção (11244)</t>
        </is>
      </c>
      <c r="R192" t="inlineStr">
        <is>
          <t>PC-0024</t>
        </is>
      </c>
      <c r="S192" t="inlineStr">
        <is>
          <t>Relé de partida modelo 02</t>
        </is>
      </c>
      <c r="T192" t="n">
        <v>1</v>
      </c>
      <c r="U192" t="n">
        <v>103</v>
      </c>
      <c r="V192">
        <f>IF(J192="","",MONTH(J192))</f>
        <v/>
      </c>
      <c r="W192">
        <f>IF(J192="","",YEAR(J192))</f>
        <v/>
      </c>
      <c r="X192" t="inlineStr">
        <is>
          <t>CargoMax</t>
        </is>
      </c>
      <c r="Y192">
        <f>IFERROR(INDEX(Rastreio!$H$2:$H$200,MATCH(X192&amp;"|"&amp;U192,Rastreio!$A$2:$A$200,0)),"")</f>
        <v/>
      </c>
    </row>
    <row r="193">
      <c r="A193">
        <f>IFERROR(INDEX(STAs!$G$2:$G$61,MATCH(P193,STAs!$F$2:$F$61,0))&amp;"","")</f>
        <v/>
      </c>
      <c r="B193" t="n">
        <v>20023840</v>
      </c>
      <c r="C193" t="inlineStr">
        <is>
          <t>Não</t>
        </is>
      </c>
      <c r="D193" t="inlineStr">
        <is>
          <t>RJ</t>
        </is>
      </c>
      <c r="E193" t="inlineStr">
        <is>
          <t>SUDESTE RJ e ES</t>
        </is>
      </c>
      <c r="F193" t="inlineStr">
        <is>
          <t>Cliente A - Refrigerador</t>
        </is>
      </c>
      <c r="G193" t="inlineStr">
        <is>
          <t>Refrigeradores</t>
        </is>
      </c>
      <c r="H193" s="10" t="n">
        <v>50</v>
      </c>
      <c r="I193" s="10">
        <f>IFERROR(T193*H193,0)</f>
        <v/>
      </c>
      <c r="J193" s="11" t="n">
        <v>45940</v>
      </c>
      <c r="K193" s="11" t="n"/>
      <c r="L193" t="inlineStr">
        <is>
          <t>Aguardando Transporte</t>
        </is>
      </c>
      <c r="M193">
        <f>IF(L193="","",IFERROR(VLOOKUP(L193,mapGrupoStatus,2,0),"Outros"))</f>
        <v/>
      </c>
      <c r="N193">
        <f>IF(O193="","",IF(O193&lt;=30,"0-30 dias",IF(O193&lt;=60,"31-60 dias",IF(O193&lt;=90,"61-90 dias","Mais de 90 dias"))))</f>
        <v/>
      </c>
      <c r="O193">
        <f>IF(OR(M193="Pendente",M193="Em andamento"),IF(J193="","",TODAY()-J193),"")</f>
        <v/>
      </c>
      <c r="P193" t="n">
        <v>11059</v>
      </c>
      <c r="Q193" t="inlineStr">
        <is>
          <t>Frio Ltda (11059)</t>
        </is>
      </c>
      <c r="R193" t="inlineStr">
        <is>
          <t>PC-0006</t>
        </is>
      </c>
      <c r="S193" t="inlineStr">
        <is>
          <t>Termostato modelo 03</t>
        </is>
      </c>
      <c r="T193" t="n">
        <v>1</v>
      </c>
      <c r="U193" t="n">
        <v>141</v>
      </c>
      <c r="V193">
        <f>IF(J193="","",MONTH(J193))</f>
        <v/>
      </c>
      <c r="W193">
        <f>IF(J193="","",YEAR(J193))</f>
        <v/>
      </c>
      <c r="X193" t="inlineStr">
        <is>
          <t>LogExpress</t>
        </is>
      </c>
      <c r="Y193">
        <f>IFERROR(INDEX(Rastreio!$H$2:$H$200,MATCH(X193&amp;"|"&amp;U193,Rastreio!$A$2:$A$200,0)),"")</f>
        <v/>
      </c>
    </row>
    <row r="194">
      <c r="A194">
        <f>IFERROR(INDEX(STAs!$G$2:$G$61,MATCH(P194,STAs!$F$2:$F$61,0))&amp;"","")</f>
        <v/>
      </c>
      <c r="B194" t="n">
        <v>20029090</v>
      </c>
      <c r="C194" t="inlineStr">
        <is>
          <t>Não</t>
        </is>
      </c>
      <c r="D194" t="inlineStr">
        <is>
          <t>ES</t>
        </is>
      </c>
      <c r="E194" t="inlineStr">
        <is>
          <t>SUDESTE RJ e ES</t>
        </is>
      </c>
      <c r="F194" t="inlineStr">
        <is>
          <t>Cliente C - Misturador</t>
        </is>
      </c>
      <c r="G194" t="inlineStr">
        <is>
          <t>Chopeiras</t>
        </is>
      </c>
      <c r="H194" s="10" t="n">
        <v>85</v>
      </c>
      <c r="I194" s="10">
        <f>IFERROR(T194*H194,0)</f>
        <v/>
      </c>
      <c r="J194" s="11" t="n">
        <v>45940</v>
      </c>
      <c r="K194" s="11" t="n"/>
      <c r="L194" t="inlineStr">
        <is>
          <t>Debitar do STA</t>
        </is>
      </c>
      <c r="M194">
        <f>IF(L194="","",IFERROR(VLOOKUP(L194,mapGrupoStatus,2,0),"Outros"))</f>
        <v/>
      </c>
      <c r="N194">
        <f>IF(O194="","",IF(O194&lt;=30,"0-30 dias",IF(O194&lt;=60,"31-60 dias",IF(O194&lt;=90,"61-90 dias","Mais de 90 dias"))))</f>
        <v/>
      </c>
      <c r="O194">
        <f>IF(OR(M194="Pendente",M194="Em andamento"),IF(J194="","",TODAY()-J194),"")</f>
        <v/>
      </c>
      <c r="P194" t="n">
        <v>11162</v>
      </c>
      <c r="Q194" t="inlineStr">
        <is>
          <t>Ártico Refrigeração (11162)</t>
        </is>
      </c>
      <c r="R194" t="inlineStr">
        <is>
          <t>PC-0036</t>
        </is>
      </c>
      <c r="S194" t="inlineStr">
        <is>
          <t>Válvula extratora modelo 02</t>
        </is>
      </c>
      <c r="T194" t="n">
        <v>1</v>
      </c>
      <c r="U194" t="inlineStr"/>
      <c r="V194">
        <f>IF(J194="","",MONTH(J194))</f>
        <v/>
      </c>
      <c r="W194">
        <f>IF(J194="","",YEAR(J194))</f>
        <v/>
      </c>
      <c r="X194" t="inlineStr"/>
      <c r="Y194">
        <f>IFERROR(INDEX(Rastreio!$H$2:$H$200,MATCH(X194&amp;"|"&amp;U194,Rastreio!$A$2:$A$200,0)),"")</f>
        <v/>
      </c>
    </row>
    <row r="195">
      <c r="A195">
        <f>IFERROR(INDEX(STAs!$G$2:$G$61,MATCH(P195,STAs!$F$2:$F$61,0))&amp;"","")</f>
        <v/>
      </c>
      <c r="B195" t="n">
        <v>20031418</v>
      </c>
      <c r="C195" t="inlineStr">
        <is>
          <t>Não</t>
        </is>
      </c>
      <c r="D195" t="inlineStr">
        <is>
          <t>PB</t>
        </is>
      </c>
      <c r="E195" t="inlineStr">
        <is>
          <t>NORDESTE</t>
        </is>
      </c>
      <c r="F195" t="inlineStr">
        <is>
          <t>Cliente C - Misturador</t>
        </is>
      </c>
      <c r="G195" t="inlineStr">
        <is>
          <t>Chopeiras</t>
        </is>
      </c>
      <c r="H195" s="10" t="n">
        <v>215</v>
      </c>
      <c r="I195" s="10">
        <f>IFERROR(T195*H195,0)</f>
        <v/>
      </c>
      <c r="J195" s="11" t="n">
        <v>45940</v>
      </c>
      <c r="K195" s="11" t="n">
        <v>45947</v>
      </c>
      <c r="L195" t="inlineStr">
        <is>
          <t>Ok. Devolvida</t>
        </is>
      </c>
      <c r="M195">
        <f>IF(L195="","",IFERROR(VLOOKUP(L195,mapGrupoStatus,2,0),"Outros"))</f>
        <v/>
      </c>
      <c r="N195">
        <f>IF(O195="","",IF(O195&lt;=30,"0-30 dias",IF(O195&lt;=60,"31-60 dias",IF(O195&lt;=90,"61-90 dias","Mais de 90 dias"))))</f>
        <v/>
      </c>
      <c r="O195">
        <f>IF(OR(M195="Pendente",M195="Em andamento"),IF(J195="","",TODAY()-J195),"")</f>
        <v/>
      </c>
      <c r="P195" t="n">
        <v>11741</v>
      </c>
      <c r="Q195" t="inlineStr">
        <is>
          <t>Clima Refrigeração (11741)</t>
        </is>
      </c>
      <c r="R195" t="inlineStr">
        <is>
          <t>PC-0030</t>
        </is>
      </c>
      <c r="S195" t="inlineStr">
        <is>
          <t>Serpentina modelo 02</t>
        </is>
      </c>
      <c r="T195" t="n">
        <v>1</v>
      </c>
      <c r="U195" t="n">
        <v>154</v>
      </c>
      <c r="V195">
        <f>IF(J195="","",MONTH(J195))</f>
        <v/>
      </c>
      <c r="W195">
        <f>IF(J195="","",YEAR(J195))</f>
        <v/>
      </c>
      <c r="X195" t="inlineStr">
        <is>
          <t>TransNorte</t>
        </is>
      </c>
      <c r="Y195">
        <f>IFERROR(INDEX(Rastreio!$H$2:$H$200,MATCH(X195&amp;"|"&amp;U195,Rastreio!$A$2:$A$200,0)),"")</f>
        <v/>
      </c>
    </row>
    <row r="196">
      <c r="A196">
        <f>IFERROR(INDEX(STAs!$G$2:$G$61,MATCH(P196,STAs!$F$2:$F$61,0))&amp;"","")</f>
        <v/>
      </c>
      <c r="B196" t="n">
        <v>20002111</v>
      </c>
      <c r="C196" t="inlineStr">
        <is>
          <t>Não</t>
        </is>
      </c>
      <c r="D196" t="inlineStr">
        <is>
          <t>RR</t>
        </is>
      </c>
      <c r="E196" t="inlineStr">
        <is>
          <t>NORTE</t>
        </is>
      </c>
      <c r="F196" t="inlineStr">
        <is>
          <t>Cliente B - Chopeira</t>
        </is>
      </c>
      <c r="G196" t="inlineStr">
        <is>
          <t>Chopeiras</t>
        </is>
      </c>
      <c r="H196" s="10" t="n">
        <v>85</v>
      </c>
      <c r="I196" s="10">
        <f>IFERROR(T196*H196,0)</f>
        <v/>
      </c>
      <c r="J196" s="11" t="n">
        <v>45941</v>
      </c>
      <c r="K196" s="11" t="n"/>
      <c r="L196" t="inlineStr">
        <is>
          <t>Não Devolve-Norte</t>
        </is>
      </c>
      <c r="M196">
        <f>IF(L196="","",IFERROR(VLOOKUP(L196,mapGrupoStatus,2,0),"Outros"))</f>
        <v/>
      </c>
      <c r="N196">
        <f>IF(O196="","",IF(O196&lt;=30,"0-30 dias",IF(O196&lt;=60,"31-60 dias",IF(O196&lt;=90,"61-90 dias","Mais de 90 dias"))))</f>
        <v/>
      </c>
      <c r="O196">
        <f>IF(OR(M196="Pendente",M196="Em andamento"),IF(J196="","",TODAY()-J196),"")</f>
        <v/>
      </c>
      <c r="P196" t="n">
        <v>11818</v>
      </c>
      <c r="Q196" t="inlineStr">
        <is>
          <t>Termotec Ltda (11818)</t>
        </is>
      </c>
      <c r="R196" t="inlineStr">
        <is>
          <t>PC-0026</t>
        </is>
      </c>
      <c r="S196" t="inlineStr">
        <is>
          <t>Torneira de chopp modelo 01</t>
        </is>
      </c>
      <c r="T196" t="n">
        <v>1</v>
      </c>
      <c r="U196" t="inlineStr"/>
      <c r="V196">
        <f>IF(J196="","",MONTH(J196))</f>
        <v/>
      </c>
      <c r="W196">
        <f>IF(J196="","",YEAR(J196))</f>
        <v/>
      </c>
      <c r="X196" t="inlineStr"/>
      <c r="Y196">
        <f>IFERROR(INDEX(Rastreio!$H$2:$H$200,MATCH(X196&amp;"|"&amp;U196,Rastreio!$A$2:$A$200,0)),"")</f>
        <v/>
      </c>
    </row>
    <row r="197">
      <c r="A197">
        <f>IFERROR(INDEX(STAs!$G$2:$G$61,MATCH(P197,STAs!$F$2:$F$61,0))&amp;"","")</f>
        <v/>
      </c>
      <c r="B197" t="n">
        <v>20002998</v>
      </c>
      <c r="C197" t="inlineStr">
        <is>
          <t>Não</t>
        </is>
      </c>
      <c r="D197" t="inlineStr">
        <is>
          <t>MS</t>
        </is>
      </c>
      <c r="E197" t="inlineStr">
        <is>
          <t>CENTRO OESTE</t>
        </is>
      </c>
      <c r="F197" t="inlineStr">
        <is>
          <t>Cliente B - Chopeira</t>
        </is>
      </c>
      <c r="G197" t="inlineStr">
        <is>
          <t>Misturadores</t>
        </is>
      </c>
      <c r="H197" s="10" t="n">
        <v>50</v>
      </c>
      <c r="I197" s="10">
        <f>IFERROR(T197*H197,0)</f>
        <v/>
      </c>
      <c r="J197" s="11" t="n">
        <v>45941</v>
      </c>
      <c r="K197" s="11" t="n">
        <v>45998</v>
      </c>
      <c r="L197" t="inlineStr">
        <is>
          <t>Ok. Devolvida</t>
        </is>
      </c>
      <c r="M197">
        <f>IF(L197="","",IFERROR(VLOOKUP(L197,mapGrupoStatus,2,0),"Outros"))</f>
        <v/>
      </c>
      <c r="N197">
        <f>IF(O197="","",IF(O197&lt;=30,"0-30 dias",IF(O197&lt;=60,"31-60 dias",IF(O197&lt;=90,"61-90 dias","Mais de 90 dias"))))</f>
        <v/>
      </c>
      <c r="O197">
        <f>IF(OR(M197="Pendente",M197="Em andamento"),IF(J197="","",TODAY()-J197),"")</f>
        <v/>
      </c>
      <c r="P197" t="n">
        <v>10302</v>
      </c>
      <c r="Q197" t="inlineStr">
        <is>
          <t>Ice Tech Express (10302)</t>
        </is>
      </c>
      <c r="R197" t="inlineStr">
        <is>
          <t>PC-0047</t>
        </is>
      </c>
      <c r="S197" t="inlineStr">
        <is>
          <t>Sensor de nível modelo 03</t>
        </is>
      </c>
      <c r="T197" t="n">
        <v>1</v>
      </c>
      <c r="U197" t="n">
        <v>104</v>
      </c>
      <c r="V197">
        <f>IF(J197="","",MONTH(J197))</f>
        <v/>
      </c>
      <c r="W197">
        <f>IF(J197="","",YEAR(J197))</f>
        <v/>
      </c>
      <c r="X197" t="inlineStr">
        <is>
          <t>TransNorte</t>
        </is>
      </c>
      <c r="Y197">
        <f>IFERROR(INDEX(Rastreio!$H$2:$H$200,MATCH(X197&amp;"|"&amp;U197,Rastreio!$A$2:$A$200,0)),"")</f>
        <v/>
      </c>
    </row>
    <row r="198">
      <c r="A198">
        <f>IFERROR(INDEX(STAs!$G$2:$G$61,MATCH(P198,STAs!$F$2:$F$61,0))&amp;"","")</f>
        <v/>
      </c>
      <c r="B198" t="n">
        <v>20007903</v>
      </c>
      <c r="C198" t="inlineStr">
        <is>
          <t>Não</t>
        </is>
      </c>
      <c r="D198" t="inlineStr">
        <is>
          <t>SP</t>
        </is>
      </c>
      <c r="E198" t="inlineStr">
        <is>
          <t>SUDESTE SP</t>
        </is>
      </c>
      <c r="F198" t="inlineStr">
        <is>
          <t>Cliente B - Chopeira</t>
        </is>
      </c>
      <c r="G198" t="inlineStr">
        <is>
          <t>Refrigeradores</t>
        </is>
      </c>
      <c r="H198" s="10" t="n">
        <v>330</v>
      </c>
      <c r="I198" s="10">
        <f>IFERROR(T198*H198,0)</f>
        <v/>
      </c>
      <c r="J198" s="11" t="n">
        <v>45941</v>
      </c>
      <c r="K198" s="11" t="n"/>
      <c r="L198" t="inlineStr">
        <is>
          <t>NPD</t>
        </is>
      </c>
      <c r="M198">
        <f>IF(L198="","",IFERROR(VLOOKUP(L198,mapGrupoStatus,2,0),"Outros"))</f>
        <v/>
      </c>
      <c r="N198">
        <f>IF(O198="","",IF(O198&lt;=30,"0-30 dias",IF(O198&lt;=60,"31-60 dias",IF(O198&lt;=90,"61-90 dias","Mais de 90 dias"))))</f>
        <v/>
      </c>
      <c r="O198">
        <f>IF(OR(M198="Pendente",M198="Em andamento"),IF(J198="","",TODAY()-J198),"")</f>
        <v/>
      </c>
      <c r="P198" t="n">
        <v>10413</v>
      </c>
      <c r="Q198" t="inlineStr">
        <is>
          <t>Polar Manutenção (10413)</t>
        </is>
      </c>
      <c r="R198" t="inlineStr">
        <is>
          <t>PC-0003</t>
        </is>
      </c>
      <c r="S198" t="inlineStr">
        <is>
          <t>Compressor modelo 03</t>
        </is>
      </c>
      <c r="T198" t="n">
        <v>1</v>
      </c>
      <c r="U198" t="inlineStr"/>
      <c r="V198">
        <f>IF(J198="","",MONTH(J198))</f>
        <v/>
      </c>
      <c r="W198">
        <f>IF(J198="","",YEAR(J198))</f>
        <v/>
      </c>
      <c r="X198" t="inlineStr"/>
      <c r="Y198">
        <f>IFERROR(INDEX(Rastreio!$H$2:$H$200,MATCH(X198&amp;"|"&amp;U198,Rastreio!$A$2:$A$200,0)),"")</f>
        <v/>
      </c>
    </row>
    <row r="199">
      <c r="A199">
        <f>IFERROR(INDEX(STAs!$G$2:$G$61,MATCH(P199,STAs!$F$2:$F$61,0))&amp;"","")</f>
        <v/>
      </c>
      <c r="B199" t="n">
        <v>20009055</v>
      </c>
      <c r="C199" t="inlineStr">
        <is>
          <t>Não</t>
        </is>
      </c>
      <c r="D199" t="inlineStr">
        <is>
          <t>GO</t>
        </is>
      </c>
      <c r="E199" t="inlineStr">
        <is>
          <t>CENTRO OESTE</t>
        </is>
      </c>
      <c r="F199" t="inlineStr">
        <is>
          <t>Cliente B - Chopeira</t>
        </is>
      </c>
      <c r="G199" t="inlineStr">
        <is>
          <t>Chopeiras</t>
        </is>
      </c>
      <c r="H199" s="10" t="n">
        <v>85</v>
      </c>
      <c r="I199" s="10">
        <f>IFERROR(T199*H199,0)</f>
        <v/>
      </c>
      <c r="J199" s="11" t="n">
        <v>45941</v>
      </c>
      <c r="K199" s="11" t="n">
        <v>45997</v>
      </c>
      <c r="L199" t="inlineStr">
        <is>
          <t>Ok. Devolvida</t>
        </is>
      </c>
      <c r="M199">
        <f>IF(L199="","",IFERROR(VLOOKUP(L199,mapGrupoStatus,2,0),"Outros"))</f>
        <v/>
      </c>
      <c r="N199">
        <f>IF(O199="","",IF(O199&lt;=30,"0-30 dias",IF(O199&lt;=60,"31-60 dias",IF(O199&lt;=90,"61-90 dias","Mais de 90 dias"))))</f>
        <v/>
      </c>
      <c r="O199">
        <f>IF(OR(M199="Pendente",M199="Em andamento"),IF(J199="","",TODAY()-J199),"")</f>
        <v/>
      </c>
      <c r="P199" t="n">
        <v>11293</v>
      </c>
      <c r="Q199" t="inlineStr">
        <is>
          <t>Assistência Técnica Ltda (11293)</t>
        </is>
      </c>
      <c r="R199" t="inlineStr">
        <is>
          <t>PC-0026</t>
        </is>
      </c>
      <c r="S199" t="inlineStr">
        <is>
          <t>Torneira de chopp modelo 01</t>
        </is>
      </c>
      <c r="T199" t="n">
        <v>1</v>
      </c>
      <c r="U199" t="n">
        <v>116</v>
      </c>
      <c r="V199">
        <f>IF(J199="","",MONTH(J199))</f>
        <v/>
      </c>
      <c r="W199">
        <f>IF(J199="","",YEAR(J199))</f>
        <v/>
      </c>
      <c r="X199" t="inlineStr">
        <is>
          <t>CargoMax</t>
        </is>
      </c>
      <c r="Y199">
        <f>IFERROR(INDEX(Rastreio!$H$2:$H$200,MATCH(X199&amp;"|"&amp;U199,Rastreio!$A$2:$A$200,0)),"")</f>
        <v/>
      </c>
    </row>
    <row r="200">
      <c r="A200">
        <f>IFERROR(INDEX(STAs!$G$2:$G$61,MATCH(P200,STAs!$F$2:$F$61,0))&amp;"","")</f>
        <v/>
      </c>
      <c r="B200" t="n">
        <v>20012269</v>
      </c>
      <c r="C200" t="inlineStr">
        <is>
          <t>Sim</t>
        </is>
      </c>
      <c r="D200" t="inlineStr">
        <is>
          <t>CE</t>
        </is>
      </c>
      <c r="E200" t="inlineStr">
        <is>
          <t>NORDESTE</t>
        </is>
      </c>
      <c r="F200" t="inlineStr">
        <is>
          <t>Cliente C - Misturador</t>
        </is>
      </c>
      <c r="G200" t="inlineStr">
        <is>
          <t>Misturadores</t>
        </is>
      </c>
      <c r="H200" s="10" t="n">
        <v>40</v>
      </c>
      <c r="I200" s="10">
        <f>IFERROR(T200*H200,0)</f>
        <v/>
      </c>
      <c r="J200" s="11" t="n">
        <v>45941</v>
      </c>
      <c r="K200" s="11" t="n">
        <v>45986</v>
      </c>
      <c r="L200" t="inlineStr">
        <is>
          <t>Ok. Devolvida</t>
        </is>
      </c>
      <c r="M200">
        <f>IF(L200="","",IFERROR(VLOOKUP(L200,mapGrupoStatus,2,0),"Outros"))</f>
        <v/>
      </c>
      <c r="N200">
        <f>IF(O200="","",IF(O200&lt;=30,"0-30 dias",IF(O200&lt;=60,"31-60 dias",IF(O200&lt;=90,"61-90 dias","Mais de 90 dias"))))</f>
        <v/>
      </c>
      <c r="O200">
        <f>IF(OR(M200="Pendente",M200="Em andamento"),IF(J200="","",TODAY()-J200),"")</f>
        <v/>
      </c>
      <c r="P200" t="n">
        <v>10615</v>
      </c>
      <c r="Q200" t="inlineStr">
        <is>
          <t>Brisa Técnica (10615)</t>
        </is>
      </c>
      <c r="R200" t="inlineStr">
        <is>
          <t>PC-0042</t>
        </is>
      </c>
      <c r="S200" t="inlineStr">
        <is>
          <t>Bico dosador modelo 01</t>
        </is>
      </c>
      <c r="T200" t="n">
        <v>2</v>
      </c>
      <c r="U200" t="n">
        <v>122</v>
      </c>
      <c r="V200">
        <f>IF(J200="","",MONTH(J200))</f>
        <v/>
      </c>
      <c r="W200">
        <f>IF(J200="","",YEAR(J200))</f>
        <v/>
      </c>
      <c r="X200" t="inlineStr">
        <is>
          <t>LogExpress</t>
        </is>
      </c>
      <c r="Y200">
        <f>IFERROR(INDEX(Rastreio!$H$2:$H$200,MATCH(X200&amp;"|"&amp;U200,Rastreio!$A$2:$A$200,0)),"")</f>
        <v/>
      </c>
    </row>
    <row r="201">
      <c r="A201">
        <f>IFERROR(INDEX(STAs!$G$2:$G$61,MATCH(P201,STAs!$F$2:$F$61,0))&amp;"","")</f>
        <v/>
      </c>
      <c r="B201" t="n">
        <v>20032312</v>
      </c>
      <c r="C201" t="inlineStr">
        <is>
          <t>Não</t>
        </is>
      </c>
      <c r="D201" t="inlineStr">
        <is>
          <t>SP</t>
        </is>
      </c>
      <c r="E201" t="inlineStr">
        <is>
          <t>SUDESTE SP</t>
        </is>
      </c>
      <c r="F201" t="inlineStr">
        <is>
          <t>Cliente A - Refrigerador</t>
        </is>
      </c>
      <c r="G201" t="inlineStr">
        <is>
          <t>Misturadores</t>
        </is>
      </c>
      <c r="H201" s="10" t="n">
        <v>60</v>
      </c>
      <c r="I201" s="10">
        <f>IFERROR(T201*H201,0)</f>
        <v/>
      </c>
      <c r="J201" s="11" t="n">
        <v>45941</v>
      </c>
      <c r="K201" s="11" t="n"/>
      <c r="L201" t="inlineStr">
        <is>
          <t>Não Devolve-Norte</t>
        </is>
      </c>
      <c r="M201">
        <f>IF(L201="","",IFERROR(VLOOKUP(L201,mapGrupoStatus,2,0),"Outros"))</f>
        <v/>
      </c>
      <c r="N201">
        <f>IF(O201="","",IF(O201&lt;=30,"0-30 dias",IF(O201&lt;=60,"31-60 dias",IF(O201&lt;=90,"61-90 dias","Mais de 90 dias"))))</f>
        <v/>
      </c>
      <c r="O201">
        <f>IF(OR(M201="Pendente",M201="Em andamento"),IF(J201="","",TODAY()-J201),"")</f>
        <v/>
      </c>
      <c r="P201" t="n">
        <v>11710</v>
      </c>
      <c r="Q201" t="inlineStr">
        <is>
          <t>Brisa &amp; Cia (11710)</t>
        </is>
      </c>
      <c r="R201" t="inlineStr">
        <is>
          <t>PC-0048</t>
        </is>
      </c>
      <c r="S201" t="inlineStr">
        <is>
          <t>Sensor de nível modelo 04</t>
        </is>
      </c>
      <c r="T201" t="n">
        <v>1</v>
      </c>
      <c r="U201" t="inlineStr"/>
      <c r="V201">
        <f>IF(J201="","",MONTH(J201))</f>
        <v/>
      </c>
      <c r="W201">
        <f>IF(J201="","",YEAR(J201))</f>
        <v/>
      </c>
      <c r="X201" t="inlineStr"/>
      <c r="Y201">
        <f>IFERROR(INDEX(Rastreio!$H$2:$H$200,MATCH(X201&amp;"|"&amp;U201,Rastreio!$A$2:$A$200,0)),"")</f>
        <v/>
      </c>
    </row>
    <row r="202">
      <c r="A202">
        <f>IFERROR(INDEX(STAs!$G$2:$G$61,MATCH(P202,STAs!$F$2:$F$61,0))&amp;"","")</f>
        <v/>
      </c>
      <c r="B202" t="n">
        <v>20002365</v>
      </c>
      <c r="C202" t="inlineStr">
        <is>
          <t>Não</t>
        </is>
      </c>
      <c r="D202" t="inlineStr">
        <is>
          <t>AP</t>
        </is>
      </c>
      <c r="E202" t="inlineStr">
        <is>
          <t>NORTE</t>
        </is>
      </c>
      <c r="F202" t="inlineStr">
        <is>
          <t>Cliente B - Chopeira</t>
        </is>
      </c>
      <c r="G202" t="inlineStr">
        <is>
          <t>Refrigeradores</t>
        </is>
      </c>
      <c r="H202" s="10" t="n">
        <v>65</v>
      </c>
      <c r="I202" s="10">
        <f>IFERROR(T202*H202,0)</f>
        <v/>
      </c>
      <c r="J202" s="11" t="n">
        <v>45942</v>
      </c>
      <c r="K202" s="11" t="n"/>
      <c r="L202" t="inlineStr">
        <is>
          <t>Não Devolve-Norte</t>
        </is>
      </c>
      <c r="M202">
        <f>IF(L202="","",IFERROR(VLOOKUP(L202,mapGrupoStatus,2,0),"Outros"))</f>
        <v/>
      </c>
      <c r="N202">
        <f>IF(O202="","",IF(O202&lt;=30,"0-30 dias",IF(O202&lt;=60,"31-60 dias",IF(O202&lt;=90,"61-90 dias","Mais de 90 dias"))))</f>
        <v/>
      </c>
      <c r="O202">
        <f>IF(OR(M202="Pendente",M202="Em andamento"),IF(J202="","",TODAY()-J202),"")</f>
        <v/>
      </c>
      <c r="P202" t="n">
        <v>11859</v>
      </c>
      <c r="Q202" t="inlineStr">
        <is>
          <t>Ice Tech Serviços (11859)</t>
        </is>
      </c>
      <c r="R202" t="inlineStr">
        <is>
          <t>PC-0010</t>
        </is>
      </c>
      <c r="S202" t="inlineStr">
        <is>
          <t>Ventilador modelo 04</t>
        </is>
      </c>
      <c r="T202" t="n">
        <v>1</v>
      </c>
      <c r="U202" t="inlineStr"/>
      <c r="V202">
        <f>IF(J202="","",MONTH(J202))</f>
        <v/>
      </c>
      <c r="W202">
        <f>IF(J202="","",YEAR(J202))</f>
        <v/>
      </c>
      <c r="X202" t="inlineStr"/>
      <c r="Y202">
        <f>IFERROR(INDEX(Rastreio!$H$2:$H$200,MATCH(X202&amp;"|"&amp;U202,Rastreio!$A$2:$A$200,0)),"")</f>
        <v/>
      </c>
    </row>
    <row r="203">
      <c r="A203">
        <f>IFERROR(INDEX(STAs!$G$2:$G$61,MATCH(P203,STAs!$F$2:$F$61,0))&amp;"","")</f>
        <v/>
      </c>
      <c r="B203" t="n">
        <v>20004321</v>
      </c>
      <c r="C203" t="inlineStr">
        <is>
          <t>Não</t>
        </is>
      </c>
      <c r="D203" t="inlineStr">
        <is>
          <t>AM</t>
        </is>
      </c>
      <c r="E203" t="inlineStr">
        <is>
          <t>NORTE</t>
        </is>
      </c>
      <c r="F203" t="inlineStr">
        <is>
          <t>Cliente A - Refrigerador</t>
        </is>
      </c>
      <c r="G203" t="inlineStr">
        <is>
          <t>Refrigeradores</t>
        </is>
      </c>
      <c r="H203" s="10" t="n">
        <v>35</v>
      </c>
      <c r="I203" s="10">
        <f>IFERROR(T203*H203,0)</f>
        <v/>
      </c>
      <c r="J203" s="11" t="n">
        <v>45942</v>
      </c>
      <c r="K203" s="11" t="n">
        <v>45970</v>
      </c>
      <c r="L203" t="inlineStr">
        <is>
          <t>Ok. Devolvida</t>
        </is>
      </c>
      <c r="M203">
        <f>IF(L203="","",IFERROR(VLOOKUP(L203,mapGrupoStatus,2,0),"Outros"))</f>
        <v/>
      </c>
      <c r="N203">
        <f>IF(O203="","",IF(O203&lt;=30,"0-30 dias",IF(O203&lt;=60,"31-60 dias",IF(O203&lt;=90,"61-90 dias","Mais de 90 dias"))))</f>
        <v/>
      </c>
      <c r="O203">
        <f>IF(OR(M203="Pendente",M203="Em andamento"),IF(J203="","",TODAY()-J203),"")</f>
        <v/>
      </c>
      <c r="P203" t="n">
        <v>12269</v>
      </c>
      <c r="Q203" t="inlineStr">
        <is>
          <t>Polar Técnica (12269)</t>
        </is>
      </c>
      <c r="R203" t="inlineStr">
        <is>
          <t>PC-0016</t>
        </is>
      </c>
      <c r="S203" t="inlineStr">
        <is>
          <t>Filtro secador modelo 02</t>
        </is>
      </c>
      <c r="T203" t="n">
        <v>1</v>
      </c>
      <c r="U203" t="n">
        <v>106</v>
      </c>
      <c r="V203">
        <f>IF(J203="","",MONTH(J203))</f>
        <v/>
      </c>
      <c r="W203">
        <f>IF(J203="","",YEAR(J203))</f>
        <v/>
      </c>
      <c r="X203" t="inlineStr">
        <is>
          <t>LogExpress</t>
        </is>
      </c>
      <c r="Y203">
        <f>IFERROR(INDEX(Rastreio!$H$2:$H$200,MATCH(X203&amp;"|"&amp;U203,Rastreio!$A$2:$A$200,0)),"")</f>
        <v/>
      </c>
    </row>
    <row r="204">
      <c r="A204">
        <f>IFERROR(INDEX(STAs!$G$2:$G$61,MATCH(P204,STAs!$F$2:$F$61,0))&amp;"","")</f>
        <v/>
      </c>
      <c r="B204" t="n">
        <v>20004506</v>
      </c>
      <c r="C204" t="inlineStr">
        <is>
          <t>Não</t>
        </is>
      </c>
      <c r="D204" t="inlineStr">
        <is>
          <t>SP</t>
        </is>
      </c>
      <c r="E204" t="inlineStr">
        <is>
          <t>SUDESTE SP</t>
        </is>
      </c>
      <c r="F204" t="inlineStr">
        <is>
          <t>Cliente A - Refrigerador</t>
        </is>
      </c>
      <c r="G204" t="inlineStr">
        <is>
          <t>Refrigeradores</t>
        </is>
      </c>
      <c r="H204" s="10" t="n">
        <v>30</v>
      </c>
      <c r="I204" s="10">
        <f>IFERROR(T204*H204,0)</f>
        <v/>
      </c>
      <c r="J204" s="11" t="n">
        <v>45942</v>
      </c>
      <c r="K204" s="11" t="n"/>
      <c r="L204" t="inlineStr">
        <is>
          <t>Em andamento</t>
        </is>
      </c>
      <c r="M204">
        <f>IF(L204="","",IFERROR(VLOOKUP(L204,mapGrupoStatus,2,0),"Outros"))</f>
        <v/>
      </c>
      <c r="N204">
        <f>IF(O204="","",IF(O204&lt;=30,"0-30 dias",IF(O204&lt;=60,"31-60 dias",IF(O204&lt;=90,"61-90 dias","Mais de 90 dias"))))</f>
        <v/>
      </c>
      <c r="O204">
        <f>IF(OR(M204="Pendente",M204="Em andamento"),IF(J204="","",TODAY()-J204),"")</f>
        <v/>
      </c>
      <c r="P204" t="n">
        <v>12901</v>
      </c>
      <c r="Q204" t="inlineStr">
        <is>
          <t>Frio Serviços (12901)</t>
        </is>
      </c>
      <c r="R204" t="inlineStr">
        <is>
          <t>PC-0025</t>
        </is>
      </c>
      <c r="S204" t="inlineStr">
        <is>
          <t>Relé de partida modelo 03</t>
        </is>
      </c>
      <c r="T204" t="n">
        <v>1</v>
      </c>
      <c r="U204" t="n">
        <v>108</v>
      </c>
      <c r="V204">
        <f>IF(J204="","",MONTH(J204))</f>
        <v/>
      </c>
      <c r="W204">
        <f>IF(J204="","",YEAR(J204))</f>
        <v/>
      </c>
      <c r="X204" t="inlineStr">
        <is>
          <t>EntregaJá</t>
        </is>
      </c>
      <c r="Y204">
        <f>IFERROR(INDEX(Rastreio!$H$2:$H$200,MATCH(X204&amp;"|"&amp;U204,Rastreio!$A$2:$A$200,0)),"")</f>
        <v/>
      </c>
    </row>
    <row r="205">
      <c r="A205">
        <f>IFERROR(INDEX(STAs!$G$2:$G$61,MATCH(P205,STAs!$F$2:$F$61,0))&amp;"","")</f>
        <v/>
      </c>
      <c r="B205" t="n">
        <v>20007787</v>
      </c>
      <c r="C205" t="inlineStr">
        <is>
          <t>Sim</t>
        </is>
      </c>
      <c r="D205" t="inlineStr">
        <is>
          <t>CE</t>
        </is>
      </c>
      <c r="E205" t="inlineStr">
        <is>
          <t>NORDESTE</t>
        </is>
      </c>
      <c r="F205" t="inlineStr">
        <is>
          <t>Cliente B - Chopeira</t>
        </is>
      </c>
      <c r="G205" t="inlineStr">
        <is>
          <t>Refrigeradores</t>
        </is>
      </c>
      <c r="H205" s="10" t="n">
        <v>190</v>
      </c>
      <c r="I205" s="10">
        <f>IFERROR(T205*H205,0)</f>
        <v/>
      </c>
      <c r="J205" s="11" t="n">
        <v>45942</v>
      </c>
      <c r="K205" s="11" t="n">
        <v>45954</v>
      </c>
      <c r="L205" t="inlineStr">
        <is>
          <t>Ok. Devolvida</t>
        </is>
      </c>
      <c r="M205">
        <f>IF(L205="","",IFERROR(VLOOKUP(L205,mapGrupoStatus,2,0),"Outros"))</f>
        <v/>
      </c>
      <c r="N205">
        <f>IF(O205="","",IF(O205&lt;=30,"0-30 dias",IF(O205&lt;=60,"31-60 dias",IF(O205&lt;=90,"61-90 dias","Mais de 90 dias"))))</f>
        <v/>
      </c>
      <c r="O205">
        <f>IF(OR(M205="Pendente",M205="Em andamento"),IF(J205="","",TODAY()-J205),"")</f>
        <v/>
      </c>
      <c r="P205" t="n">
        <v>10615</v>
      </c>
      <c r="Q205" t="inlineStr">
        <is>
          <t>Brisa Técnica (10615)</t>
        </is>
      </c>
      <c r="R205" t="inlineStr">
        <is>
          <t>PC-0011</t>
        </is>
      </c>
      <c r="S205" t="inlineStr">
        <is>
          <t>Placa eletrônica modelo 01</t>
        </is>
      </c>
      <c r="T205" t="n">
        <v>1</v>
      </c>
      <c r="U205" t="n">
        <v>120</v>
      </c>
      <c r="V205">
        <f>IF(J205="","",MONTH(J205))</f>
        <v/>
      </c>
      <c r="W205">
        <f>IF(J205="","",YEAR(J205))</f>
        <v/>
      </c>
      <c r="X205" t="inlineStr">
        <is>
          <t>ViaCargo</t>
        </is>
      </c>
      <c r="Y205">
        <f>IFERROR(INDEX(Rastreio!$H$2:$H$200,MATCH(X205&amp;"|"&amp;U205,Rastreio!$A$2:$A$200,0)),"")</f>
        <v/>
      </c>
    </row>
    <row r="206">
      <c r="A206">
        <f>IFERROR(INDEX(STAs!$G$2:$G$61,MATCH(P206,STAs!$F$2:$F$61,0))&amp;"","")</f>
        <v/>
      </c>
      <c r="B206" t="n">
        <v>20008569</v>
      </c>
      <c r="C206" t="inlineStr">
        <is>
          <t>Não</t>
        </is>
      </c>
      <c r="D206" t="inlineStr">
        <is>
          <t>MG</t>
        </is>
      </c>
      <c r="E206" t="inlineStr">
        <is>
          <t>SUDESTE MG</t>
        </is>
      </c>
      <c r="F206" t="inlineStr">
        <is>
          <t>Cliente A - Refrigerador</t>
        </is>
      </c>
      <c r="G206" t="inlineStr">
        <is>
          <t>Misturadores</t>
        </is>
      </c>
      <c r="H206" s="10" t="n">
        <v>60</v>
      </c>
      <c r="I206" s="10">
        <f>IFERROR(T206*H206,0)</f>
        <v/>
      </c>
      <c r="J206" s="11" t="n">
        <v>45942</v>
      </c>
      <c r="K206" s="11" t="n">
        <v>45987</v>
      </c>
      <c r="L206" t="inlineStr">
        <is>
          <t>Ok. Devolvida</t>
        </is>
      </c>
      <c r="M206">
        <f>IF(L206="","",IFERROR(VLOOKUP(L206,mapGrupoStatus,2,0),"Outros"))</f>
        <v/>
      </c>
      <c r="N206">
        <f>IF(O206="","",IF(O206&lt;=30,"0-30 dias",IF(O206&lt;=60,"31-60 dias",IF(O206&lt;=90,"61-90 dias","Mais de 90 dias"))))</f>
        <v/>
      </c>
      <c r="O206">
        <f>IF(OR(M206="Pendente",M206="Em andamento"),IF(J206="","",TODAY()-J206),"")</f>
        <v/>
      </c>
      <c r="P206" t="n">
        <v>12689</v>
      </c>
      <c r="Q206" t="inlineStr">
        <is>
          <t>Norte Frio Manutenção (12689)</t>
        </is>
      </c>
      <c r="R206" t="inlineStr">
        <is>
          <t>PC-0046</t>
        </is>
      </c>
      <c r="S206" t="inlineStr">
        <is>
          <t>Sensor de nível modelo 02</t>
        </is>
      </c>
      <c r="T206" t="n">
        <v>1</v>
      </c>
      <c r="U206" t="n">
        <v>111</v>
      </c>
      <c r="V206">
        <f>IF(J206="","",MONTH(J206))</f>
        <v/>
      </c>
      <c r="W206">
        <f>IF(J206="","",YEAR(J206))</f>
        <v/>
      </c>
      <c r="X206" t="inlineStr">
        <is>
          <t>TransNorte</t>
        </is>
      </c>
      <c r="Y206">
        <f>IFERROR(INDEX(Rastreio!$H$2:$H$200,MATCH(X206&amp;"|"&amp;U206,Rastreio!$A$2:$A$200,0)),"")</f>
        <v/>
      </c>
    </row>
    <row r="207">
      <c r="A207">
        <f>IFERROR(INDEX(STAs!$G$2:$G$61,MATCH(P207,STAs!$F$2:$F$61,0))&amp;"","")</f>
        <v/>
      </c>
      <c r="B207" t="n">
        <v>20016156</v>
      </c>
      <c r="C207" t="inlineStr">
        <is>
          <t>Sim</t>
        </is>
      </c>
      <c r="D207" t="inlineStr">
        <is>
          <t>PR</t>
        </is>
      </c>
      <c r="E207" t="inlineStr">
        <is>
          <t>SUL</t>
        </is>
      </c>
      <c r="F207" t="inlineStr">
        <is>
          <t>Cliente A - Refrigerador</t>
        </is>
      </c>
      <c r="G207" t="inlineStr">
        <is>
          <t>Chopeiras</t>
        </is>
      </c>
      <c r="H207" s="10" t="n">
        <v>215</v>
      </c>
      <c r="I207" s="10">
        <f>IFERROR(T207*H207,0)</f>
        <v/>
      </c>
      <c r="J207" s="11" t="n">
        <v>45942</v>
      </c>
      <c r="K207" s="11" t="n">
        <v>45958</v>
      </c>
      <c r="L207" t="inlineStr">
        <is>
          <t>Ok. Devolvida</t>
        </is>
      </c>
      <c r="M207">
        <f>IF(L207="","",IFERROR(VLOOKUP(L207,mapGrupoStatus,2,0),"Outros"))</f>
        <v/>
      </c>
      <c r="N207">
        <f>IF(O207="","",IF(O207&lt;=30,"0-30 dias",IF(O207&lt;=60,"31-60 dias",IF(O207&lt;=90,"61-90 dias","Mais de 90 dias"))))</f>
        <v/>
      </c>
      <c r="O207">
        <f>IF(OR(M207="Pendente",M207="Em andamento"),IF(J207="","",TODAY()-J207),"")</f>
        <v/>
      </c>
      <c r="P207" t="n">
        <v>12724</v>
      </c>
      <c r="Q207" t="inlineStr">
        <is>
          <t>Cool Service &amp; Cia (12724)</t>
        </is>
      </c>
      <c r="R207" t="inlineStr">
        <is>
          <t>PC-0030</t>
        </is>
      </c>
      <c r="S207" t="inlineStr">
        <is>
          <t>Serpentina modelo 02</t>
        </is>
      </c>
      <c r="T207" t="n">
        <v>1</v>
      </c>
      <c r="U207" t="n">
        <v>131</v>
      </c>
      <c r="V207">
        <f>IF(J207="","",MONTH(J207))</f>
        <v/>
      </c>
      <c r="W207">
        <f>IF(J207="","",YEAR(J207))</f>
        <v/>
      </c>
      <c r="X207" t="inlineStr">
        <is>
          <t>ViaCargo</t>
        </is>
      </c>
      <c r="Y207">
        <f>IFERROR(INDEX(Rastreio!$H$2:$H$200,MATCH(X207&amp;"|"&amp;U207,Rastreio!$A$2:$A$200,0)),"")</f>
        <v/>
      </c>
    </row>
    <row r="208">
      <c r="A208">
        <f>IFERROR(INDEX(STAs!$G$2:$G$61,MATCH(P208,STAs!$F$2:$F$61,0))&amp;"","")</f>
        <v/>
      </c>
      <c r="B208" t="n">
        <v>20021275</v>
      </c>
      <c r="C208" t="inlineStr">
        <is>
          <t>Não</t>
        </is>
      </c>
      <c r="D208" t="inlineStr">
        <is>
          <t>RR</t>
        </is>
      </c>
      <c r="E208" t="inlineStr">
        <is>
          <t>NORTE</t>
        </is>
      </c>
      <c r="F208" t="inlineStr">
        <is>
          <t>Cliente C - Misturador</t>
        </is>
      </c>
      <c r="G208" t="inlineStr">
        <is>
          <t>Chopeiras</t>
        </is>
      </c>
      <c r="H208" s="10" t="n">
        <v>120</v>
      </c>
      <c r="I208" s="10">
        <f>IFERROR(T208*H208,0)</f>
        <v/>
      </c>
      <c r="J208" s="11" t="n">
        <v>45942</v>
      </c>
      <c r="K208" s="11" t="n"/>
      <c r="L208" t="inlineStr">
        <is>
          <t>Aguardando devolução</t>
        </is>
      </c>
      <c r="M208">
        <f>IF(L208="","",IFERROR(VLOOKUP(L208,mapGrupoStatus,2,0),"Outros"))</f>
        <v/>
      </c>
      <c r="N208">
        <f>IF(O208="","",IF(O208&lt;=30,"0-30 dias",IF(O208&lt;=60,"31-60 dias",IF(O208&lt;=90,"61-90 dias","Mais de 90 dias"))))</f>
        <v/>
      </c>
      <c r="O208">
        <f>IF(OR(M208="Pendente",M208="Em andamento"),IF(J208="","",TODAY()-J208),"")</f>
        <v/>
      </c>
      <c r="P208" t="n">
        <v>11818</v>
      </c>
      <c r="Q208" t="inlineStr">
        <is>
          <t>Termotec Ltda (11818)</t>
        </is>
      </c>
      <c r="R208" t="inlineStr">
        <is>
          <t>PC-0032</t>
        </is>
      </c>
      <c r="S208" t="inlineStr">
        <is>
          <t>Regulador de pressão modelo 01</t>
        </is>
      </c>
      <c r="T208" t="n">
        <v>1</v>
      </c>
      <c r="U208" t="inlineStr"/>
      <c r="V208">
        <f>IF(J208="","",MONTH(J208))</f>
        <v/>
      </c>
      <c r="W208">
        <f>IF(J208="","",YEAR(J208))</f>
        <v/>
      </c>
      <c r="X208" t="inlineStr"/>
      <c r="Y208">
        <f>IFERROR(INDEX(Rastreio!$H$2:$H$200,MATCH(X208&amp;"|"&amp;U208,Rastreio!$A$2:$A$200,0)),"")</f>
        <v/>
      </c>
    </row>
    <row r="209">
      <c r="A209">
        <f>IFERROR(INDEX(STAs!$G$2:$G$61,MATCH(P209,STAs!$F$2:$F$61,0))&amp;"","")</f>
        <v/>
      </c>
      <c r="B209" t="n">
        <v>20011582</v>
      </c>
      <c r="C209" t="inlineStr">
        <is>
          <t>Não</t>
        </is>
      </c>
      <c r="D209" t="inlineStr">
        <is>
          <t>DF</t>
        </is>
      </c>
      <c r="E209" t="inlineStr">
        <is>
          <t>CENTRO OESTE</t>
        </is>
      </c>
      <c r="F209" t="inlineStr">
        <is>
          <t>Cliente B - Chopeira</t>
        </is>
      </c>
      <c r="G209" t="inlineStr">
        <is>
          <t>Chopeiras</t>
        </is>
      </c>
      <c r="H209" s="10" t="n">
        <v>85</v>
      </c>
      <c r="I209" s="10">
        <f>IFERROR(T209*H209,0)</f>
        <v/>
      </c>
      <c r="J209" s="11" t="n">
        <v>45943</v>
      </c>
      <c r="K209" s="11" t="n">
        <v>45987</v>
      </c>
      <c r="L209" t="inlineStr">
        <is>
          <t>Ok. Devolvida</t>
        </is>
      </c>
      <c r="M209">
        <f>IF(L209="","",IFERROR(VLOOKUP(L209,mapGrupoStatus,2,0),"Outros"))</f>
        <v/>
      </c>
      <c r="N209">
        <f>IF(O209="","",IF(O209&lt;=30,"0-30 dias",IF(O209&lt;=60,"31-60 dias",IF(O209&lt;=90,"61-90 dias","Mais de 90 dias"))))</f>
        <v/>
      </c>
      <c r="O209">
        <f>IF(OR(M209="Pendente",M209="Em andamento"),IF(J209="","",TODAY()-J209),"")</f>
        <v/>
      </c>
      <c r="P209" t="n">
        <v>10021</v>
      </c>
      <c r="Q209" t="inlineStr">
        <is>
          <t>Termotec Técnica (10021)</t>
        </is>
      </c>
      <c r="R209" t="inlineStr">
        <is>
          <t>PC-0026</t>
        </is>
      </c>
      <c r="S209" t="inlineStr">
        <is>
          <t>Torneira de chopp modelo 01</t>
        </is>
      </c>
      <c r="T209" t="n">
        <v>1</v>
      </c>
      <c r="U209" t="n">
        <v>120</v>
      </c>
      <c r="V209">
        <f>IF(J209="","",MONTH(J209))</f>
        <v/>
      </c>
      <c r="W209">
        <f>IF(J209="","",YEAR(J209))</f>
        <v/>
      </c>
      <c r="X209" t="inlineStr">
        <is>
          <t>TransNorte</t>
        </is>
      </c>
      <c r="Y209">
        <f>IFERROR(INDEX(Rastreio!$H$2:$H$200,MATCH(X209&amp;"|"&amp;U209,Rastreio!$A$2:$A$200,0)),"")</f>
        <v/>
      </c>
    </row>
    <row r="210">
      <c r="A210">
        <f>IFERROR(INDEX(STAs!$G$2:$G$61,MATCH(P210,STAs!$F$2:$F$61,0))&amp;"","")</f>
        <v/>
      </c>
      <c r="B210" t="n">
        <v>20030042</v>
      </c>
      <c r="C210" t="inlineStr">
        <is>
          <t>Não</t>
        </is>
      </c>
      <c r="D210" t="inlineStr">
        <is>
          <t>BA</t>
        </is>
      </c>
      <c r="E210" t="inlineStr">
        <is>
          <t>NORDESTE</t>
        </is>
      </c>
      <c r="F210" t="inlineStr">
        <is>
          <t>Cliente C - Misturador</t>
        </is>
      </c>
      <c r="G210" t="inlineStr">
        <is>
          <t>Misturadores</t>
        </is>
      </c>
      <c r="H210" s="10" t="n">
        <v>265</v>
      </c>
      <c r="I210" s="10">
        <f>IFERROR(T210*H210,0)</f>
        <v/>
      </c>
      <c r="J210" s="11" t="n">
        <v>45943</v>
      </c>
      <c r="K210" s="11" t="n">
        <v>45987</v>
      </c>
      <c r="L210" t="inlineStr">
        <is>
          <t>Ok. Devolvida</t>
        </is>
      </c>
      <c r="M210">
        <f>IF(L210="","",IFERROR(VLOOKUP(L210,mapGrupoStatus,2,0),"Outros"))</f>
        <v/>
      </c>
      <c r="N210">
        <f>IF(O210="","",IF(O210&lt;=30,"0-30 dias",IF(O210&lt;=60,"31-60 dias",IF(O210&lt;=90,"61-90 dias","Mais de 90 dias"))))</f>
        <v/>
      </c>
      <c r="O210">
        <f>IF(OR(M210="Pendente",M210="Em andamento"),IF(J210="","",TODAY()-J210),"")</f>
        <v/>
      </c>
      <c r="P210" t="n">
        <v>11538</v>
      </c>
      <c r="Q210" t="inlineStr">
        <is>
          <t>Clima Manutenção (11538)</t>
        </is>
      </c>
      <c r="R210" t="inlineStr">
        <is>
          <t>PC-0038</t>
        </is>
      </c>
      <c r="S210" t="inlineStr">
        <is>
          <t>Bomba de recirculação modelo 02</t>
        </is>
      </c>
      <c r="T210" t="n">
        <v>1</v>
      </c>
      <c r="U210" t="n">
        <v>151</v>
      </c>
      <c r="V210">
        <f>IF(J210="","",MONTH(J210))</f>
        <v/>
      </c>
      <c r="W210">
        <f>IF(J210="","",YEAR(J210))</f>
        <v/>
      </c>
      <c r="X210" t="inlineStr">
        <is>
          <t>RotaSul</t>
        </is>
      </c>
      <c r="Y210">
        <f>IFERROR(INDEX(Rastreio!$H$2:$H$200,MATCH(X210&amp;"|"&amp;U210,Rastreio!$A$2:$A$200,0)),"")</f>
        <v/>
      </c>
    </row>
    <row r="211">
      <c r="A211">
        <f>IFERROR(INDEX(STAs!$G$2:$G$61,MATCH(P211,STAs!$F$2:$F$61,0))&amp;"","")</f>
        <v/>
      </c>
      <c r="B211" t="n">
        <v>20005289</v>
      </c>
      <c r="C211" t="inlineStr">
        <is>
          <t>Não</t>
        </is>
      </c>
      <c r="D211" t="inlineStr">
        <is>
          <t>RR</t>
        </is>
      </c>
      <c r="E211" t="inlineStr">
        <is>
          <t>NORTE</t>
        </is>
      </c>
      <c r="F211" t="inlineStr">
        <is>
          <t>Cliente A - Refrigerador</t>
        </is>
      </c>
      <c r="G211" t="inlineStr">
        <is>
          <t>Misturadores</t>
        </is>
      </c>
      <c r="H211" s="10" t="n">
        <v>35</v>
      </c>
      <c r="I211" s="10">
        <f>IFERROR(T211*H211,0)</f>
        <v/>
      </c>
      <c r="J211" s="11" t="n">
        <v>45944</v>
      </c>
      <c r="K211" s="11" t="n"/>
      <c r="L211" t="inlineStr">
        <is>
          <t>Não Devolve-Norte</t>
        </is>
      </c>
      <c r="M211">
        <f>IF(L211="","",IFERROR(VLOOKUP(L211,mapGrupoStatus,2,0),"Outros"))</f>
        <v/>
      </c>
      <c r="N211">
        <f>IF(O211="","",IF(O211&lt;=30,"0-30 dias",IF(O211&lt;=60,"31-60 dias",IF(O211&lt;=90,"61-90 dias","Mais de 90 dias"))))</f>
        <v/>
      </c>
      <c r="O211">
        <f>IF(OR(M211="Pendente",M211="Em andamento"),IF(J211="","",TODAY()-J211),"")</f>
        <v/>
      </c>
      <c r="P211" t="n">
        <v>11818</v>
      </c>
      <c r="Q211" t="inlineStr">
        <is>
          <t>Termotec Ltda (11818)</t>
        </is>
      </c>
      <c r="R211" t="inlineStr">
        <is>
          <t>PC-0043</t>
        </is>
      </c>
      <c r="S211" t="inlineStr">
        <is>
          <t>Bico dosador modelo 02</t>
        </is>
      </c>
      <c r="T211" t="n">
        <v>1</v>
      </c>
      <c r="U211" t="inlineStr"/>
      <c r="V211">
        <f>IF(J211="","",MONTH(J211))</f>
        <v/>
      </c>
      <c r="W211">
        <f>IF(J211="","",YEAR(J211))</f>
        <v/>
      </c>
      <c r="X211" t="inlineStr"/>
      <c r="Y211">
        <f>IFERROR(INDEX(Rastreio!$H$2:$H$200,MATCH(X211&amp;"|"&amp;U211,Rastreio!$A$2:$A$200,0)),"")</f>
        <v/>
      </c>
    </row>
    <row r="212">
      <c r="A212">
        <f>IFERROR(INDEX(STAs!$G$2:$G$61,MATCH(P212,STAs!$F$2:$F$61,0))&amp;"","")</f>
        <v/>
      </c>
      <c r="B212" t="n">
        <v>20006952</v>
      </c>
      <c r="C212" t="inlineStr">
        <is>
          <t>Não</t>
        </is>
      </c>
      <c r="D212" t="inlineStr">
        <is>
          <t>RJ</t>
        </is>
      </c>
      <c r="E212" t="inlineStr">
        <is>
          <t>SUDESTE RJ e ES</t>
        </is>
      </c>
      <c r="F212" t="inlineStr">
        <is>
          <t>Cliente B - Chopeira</t>
        </is>
      </c>
      <c r="G212" t="inlineStr">
        <is>
          <t>Refrigeradores</t>
        </is>
      </c>
      <c r="H212" s="10" t="n">
        <v>35</v>
      </c>
      <c r="I212" s="10">
        <f>IFERROR(T212*H212,0)</f>
        <v/>
      </c>
      <c r="J212" s="11" t="n">
        <v>45944</v>
      </c>
      <c r="K212" s="11" t="n"/>
      <c r="L212" t="inlineStr">
        <is>
          <t>Em transporte</t>
        </is>
      </c>
      <c r="M212">
        <f>IF(L212="","",IFERROR(VLOOKUP(L212,mapGrupoStatus,2,0),"Outros"))</f>
        <v/>
      </c>
      <c r="N212">
        <f>IF(O212="","",IF(O212&lt;=30,"0-30 dias",IF(O212&lt;=60,"31-60 dias",IF(O212&lt;=90,"61-90 dias","Mais de 90 dias"))))</f>
        <v/>
      </c>
      <c r="O212">
        <f>IF(OR(M212="Pendente",M212="Em andamento"),IF(J212="","",TODAY()-J212),"")</f>
        <v/>
      </c>
      <c r="P212" t="n">
        <v>12811</v>
      </c>
      <c r="Q212" t="inlineStr">
        <is>
          <t>Norte Frio Técnica (12811)</t>
        </is>
      </c>
      <c r="R212" t="inlineStr">
        <is>
          <t>PC-0024</t>
        </is>
      </c>
      <c r="S212" t="inlineStr">
        <is>
          <t>Relé de partida modelo 02</t>
        </is>
      </c>
      <c r="T212" t="n">
        <v>1</v>
      </c>
      <c r="U212" t="n">
        <v>111</v>
      </c>
      <c r="V212">
        <f>IF(J212="","",MONTH(J212))</f>
        <v/>
      </c>
      <c r="W212">
        <f>IF(J212="","",YEAR(J212))</f>
        <v/>
      </c>
      <c r="X212" t="inlineStr">
        <is>
          <t>CargoMax</t>
        </is>
      </c>
      <c r="Y212">
        <f>IFERROR(INDEX(Rastreio!$H$2:$H$200,MATCH(X212&amp;"|"&amp;U212,Rastreio!$A$2:$A$200,0)),"")</f>
        <v/>
      </c>
    </row>
    <row r="213">
      <c r="A213">
        <f>IFERROR(INDEX(STAs!$G$2:$G$61,MATCH(P213,STAs!$F$2:$F$61,0))&amp;"","")</f>
        <v/>
      </c>
      <c r="B213" t="n">
        <v>20025541</v>
      </c>
      <c r="C213" t="inlineStr">
        <is>
          <t>Não</t>
        </is>
      </c>
      <c r="D213" t="inlineStr">
        <is>
          <t>MG</t>
        </is>
      </c>
      <c r="E213" t="inlineStr">
        <is>
          <t>SUDESTE MG</t>
        </is>
      </c>
      <c r="F213" t="inlineStr">
        <is>
          <t>Cliente A - Refrigerador</t>
        </is>
      </c>
      <c r="G213" t="inlineStr">
        <is>
          <t>Chopeiras</t>
        </is>
      </c>
      <c r="H213" s="10" t="n">
        <v>215</v>
      </c>
      <c r="I213" s="10">
        <f>IFERROR(T213*H213,0)</f>
        <v/>
      </c>
      <c r="J213" s="11" t="n">
        <v>45944</v>
      </c>
      <c r="K213" s="11" t="n">
        <v>45955</v>
      </c>
      <c r="L213" t="inlineStr">
        <is>
          <t>Ok. Devolvida</t>
        </is>
      </c>
      <c r="M213">
        <f>IF(L213="","",IFERROR(VLOOKUP(L213,mapGrupoStatus,2,0),"Outros"))</f>
        <v/>
      </c>
      <c r="N213">
        <f>IF(O213="","",IF(O213&lt;=30,"0-30 dias",IF(O213&lt;=60,"31-60 dias",IF(O213&lt;=90,"61-90 dias","Mais de 90 dias"))))</f>
        <v/>
      </c>
      <c r="O213">
        <f>IF(OR(M213="Pendente",M213="Em andamento"),IF(J213="","",TODAY()-J213),"")</f>
        <v/>
      </c>
      <c r="P213" t="n">
        <v>12470</v>
      </c>
      <c r="Q213" t="inlineStr">
        <is>
          <t>Cool Service Técnica (12470)</t>
        </is>
      </c>
      <c r="R213" t="inlineStr">
        <is>
          <t>PC-0030</t>
        </is>
      </c>
      <c r="S213" t="inlineStr">
        <is>
          <t>Serpentina modelo 02</t>
        </is>
      </c>
      <c r="T213" t="n">
        <v>1</v>
      </c>
      <c r="U213" t="n">
        <v>145</v>
      </c>
      <c r="V213">
        <f>IF(J213="","",MONTH(J213))</f>
        <v/>
      </c>
      <c r="W213">
        <f>IF(J213="","",YEAR(J213))</f>
        <v/>
      </c>
      <c r="X213" t="inlineStr">
        <is>
          <t>RotaSul</t>
        </is>
      </c>
      <c r="Y213">
        <f>IFERROR(INDEX(Rastreio!$H$2:$H$200,MATCH(X213&amp;"|"&amp;U213,Rastreio!$A$2:$A$200,0)),"")</f>
        <v/>
      </c>
    </row>
    <row r="214">
      <c r="A214">
        <f>IFERROR(INDEX(STAs!$G$2:$G$61,MATCH(P214,STAs!$F$2:$F$61,0))&amp;"","")</f>
        <v/>
      </c>
      <c r="B214" t="n">
        <v>20028762</v>
      </c>
      <c r="C214" t="inlineStr">
        <is>
          <t>Sim</t>
        </is>
      </c>
      <c r="D214" t="inlineStr">
        <is>
          <t>SP</t>
        </is>
      </c>
      <c r="E214" t="inlineStr">
        <is>
          <t>SUDESTE SP</t>
        </is>
      </c>
      <c r="F214" t="inlineStr">
        <is>
          <t>Cliente C - Misturador</t>
        </is>
      </c>
      <c r="G214" t="inlineStr">
        <is>
          <t>Refrigeradores</t>
        </is>
      </c>
      <c r="H214" s="10" t="n">
        <v>45</v>
      </c>
      <c r="I214" s="10">
        <f>IFERROR(T214*H214,0)</f>
        <v/>
      </c>
      <c r="J214" s="11" t="n">
        <v>45944</v>
      </c>
      <c r="K214" s="11" t="n"/>
      <c r="L214" t="inlineStr">
        <is>
          <t>NPD</t>
        </is>
      </c>
      <c r="M214">
        <f>IF(L214="","",IFERROR(VLOOKUP(L214,mapGrupoStatus,2,0),"Outros"))</f>
        <v/>
      </c>
      <c r="N214">
        <f>IF(O214="","",IF(O214&lt;=30,"0-30 dias",IF(O214&lt;=60,"31-60 dias",IF(O214&lt;=90,"61-90 dias","Mais de 90 dias"))))</f>
        <v/>
      </c>
      <c r="O214">
        <f>IF(OR(M214="Pendente",M214="Em andamento"),IF(J214="","",TODAY()-J214),"")</f>
        <v/>
      </c>
      <c r="P214" t="n">
        <v>10010</v>
      </c>
      <c r="Q214" t="inlineStr">
        <is>
          <t>Cool Service ME (10010)</t>
        </is>
      </c>
      <c r="R214" t="inlineStr">
        <is>
          <t>PC-0018</t>
        </is>
      </c>
      <c r="S214" t="inlineStr">
        <is>
          <t>Gaxeta da porta modelo 01</t>
        </is>
      </c>
      <c r="T214" t="n">
        <v>1</v>
      </c>
      <c r="U214" t="inlineStr"/>
      <c r="V214">
        <f>IF(J214="","",MONTH(J214))</f>
        <v/>
      </c>
      <c r="W214">
        <f>IF(J214="","",YEAR(J214))</f>
        <v/>
      </c>
      <c r="X214" t="inlineStr"/>
      <c r="Y214">
        <f>IFERROR(INDEX(Rastreio!$H$2:$H$200,MATCH(X214&amp;"|"&amp;U214,Rastreio!$A$2:$A$200,0)),"")</f>
        <v/>
      </c>
    </row>
    <row r="215">
      <c r="A215">
        <f>IFERROR(INDEX(STAs!$G$2:$G$61,MATCH(P215,STAs!$F$2:$F$61,0))&amp;"","")</f>
        <v/>
      </c>
      <c r="B215" t="n">
        <v>20006838</v>
      </c>
      <c r="C215" t="inlineStr">
        <is>
          <t>Não</t>
        </is>
      </c>
      <c r="D215" t="inlineStr">
        <is>
          <t>MS</t>
        </is>
      </c>
      <c r="E215" t="inlineStr">
        <is>
          <t>CENTRO OESTE</t>
        </is>
      </c>
      <c r="F215" t="inlineStr">
        <is>
          <t>Cliente B - Chopeira</t>
        </is>
      </c>
      <c r="G215" t="inlineStr">
        <is>
          <t>Refrigeradores</t>
        </is>
      </c>
      <c r="H215" s="10" t="n">
        <v>35</v>
      </c>
      <c r="I215" s="10">
        <f>IFERROR(T215*H215,0)</f>
        <v/>
      </c>
      <c r="J215" s="11" t="n">
        <v>45945</v>
      </c>
      <c r="K215" s="11" t="n"/>
      <c r="L215" t="inlineStr">
        <is>
          <t>Em transporte</t>
        </is>
      </c>
      <c r="M215">
        <f>IF(L215="","",IFERROR(VLOOKUP(L215,mapGrupoStatus,2,0),"Outros"))</f>
        <v/>
      </c>
      <c r="N215">
        <f>IF(O215="","",IF(O215&lt;=30,"0-30 dias",IF(O215&lt;=60,"31-60 dias",IF(O215&lt;=90,"61-90 dias","Mais de 90 dias"))))</f>
        <v/>
      </c>
      <c r="O215">
        <f>IF(OR(M215="Pendente",M215="Em andamento"),IF(J215="","",TODAY()-J215),"")</f>
        <v/>
      </c>
      <c r="P215" t="n">
        <v>12280</v>
      </c>
      <c r="Q215" t="inlineStr">
        <is>
          <t>Termotec &amp; Cia (12280)</t>
        </is>
      </c>
      <c r="R215" t="inlineStr">
        <is>
          <t>PC-0020</t>
        </is>
      </c>
      <c r="S215" t="inlineStr">
        <is>
          <t>Gaxeta da porta modelo 03</t>
        </is>
      </c>
      <c r="T215" t="n">
        <v>1</v>
      </c>
      <c r="U215" t="n">
        <v>111</v>
      </c>
      <c r="V215">
        <f>IF(J215="","",MONTH(J215))</f>
        <v/>
      </c>
      <c r="W215">
        <f>IF(J215="","",YEAR(J215))</f>
        <v/>
      </c>
      <c r="X215" t="inlineStr">
        <is>
          <t>LogExpress</t>
        </is>
      </c>
      <c r="Y215">
        <f>IFERROR(INDEX(Rastreio!$H$2:$H$200,MATCH(X215&amp;"|"&amp;U215,Rastreio!$A$2:$A$200,0)),"")</f>
        <v/>
      </c>
    </row>
    <row r="216">
      <c r="A216">
        <f>IFERROR(INDEX(STAs!$G$2:$G$61,MATCH(P216,STAs!$F$2:$F$61,0))&amp;"","")</f>
        <v/>
      </c>
      <c r="B216" t="n">
        <v>20007768</v>
      </c>
      <c r="C216" t="inlineStr">
        <is>
          <t>Não</t>
        </is>
      </c>
      <c r="D216" t="inlineStr">
        <is>
          <t>BA</t>
        </is>
      </c>
      <c r="E216" t="inlineStr">
        <is>
          <t>NORDESTE</t>
        </is>
      </c>
      <c r="F216" t="inlineStr">
        <is>
          <t>Cliente A - Refrigerador</t>
        </is>
      </c>
      <c r="G216" t="inlineStr">
        <is>
          <t>Refrigeradores</t>
        </is>
      </c>
      <c r="H216" s="10" t="n">
        <v>325</v>
      </c>
      <c r="I216" s="10">
        <f>IFERROR(T216*H216,0)</f>
        <v/>
      </c>
      <c r="J216" s="11" t="n">
        <v>45945</v>
      </c>
      <c r="K216" s="11" t="n">
        <v>45992</v>
      </c>
      <c r="L216" t="inlineStr">
        <is>
          <t>Ok. Devolvida</t>
        </is>
      </c>
      <c r="M216">
        <f>IF(L216="","",IFERROR(VLOOKUP(L216,mapGrupoStatus,2,0),"Outros"))</f>
        <v/>
      </c>
      <c r="N216">
        <f>IF(O216="","",IF(O216&lt;=30,"0-30 dias",IF(O216&lt;=60,"31-60 dias",IF(O216&lt;=90,"61-90 dias","Mais de 90 dias"))))</f>
        <v/>
      </c>
      <c r="O216">
        <f>IF(OR(M216="Pendente",M216="Em andamento"),IF(J216="","",TODAY()-J216),"")</f>
        <v/>
      </c>
      <c r="P216" t="n">
        <v>11244</v>
      </c>
      <c r="Q216" t="inlineStr">
        <is>
          <t>Refrigeração Manutenção (11244)</t>
        </is>
      </c>
      <c r="R216" t="inlineStr">
        <is>
          <t>PC-0001</t>
        </is>
      </c>
      <c r="S216" t="inlineStr">
        <is>
          <t>Compressor modelo 01</t>
        </is>
      </c>
      <c r="T216" t="n">
        <v>1</v>
      </c>
      <c r="U216" t="n">
        <v>116</v>
      </c>
      <c r="V216">
        <f>IF(J216="","",MONTH(J216))</f>
        <v/>
      </c>
      <c r="W216">
        <f>IF(J216="","",YEAR(J216))</f>
        <v/>
      </c>
      <c r="X216" t="inlineStr">
        <is>
          <t>EntregaJá</t>
        </is>
      </c>
      <c r="Y216">
        <f>IFERROR(INDEX(Rastreio!$H$2:$H$200,MATCH(X216&amp;"|"&amp;U216,Rastreio!$A$2:$A$200,0)),"")</f>
        <v/>
      </c>
    </row>
    <row r="217">
      <c r="A217">
        <f>IFERROR(INDEX(STAs!$G$2:$G$61,MATCH(P217,STAs!$F$2:$F$61,0))&amp;"","")</f>
        <v/>
      </c>
      <c r="B217" t="n">
        <v>20010967</v>
      </c>
      <c r="C217" t="inlineStr">
        <is>
          <t>Não</t>
        </is>
      </c>
      <c r="D217" t="inlineStr">
        <is>
          <t>GO</t>
        </is>
      </c>
      <c r="E217" t="inlineStr">
        <is>
          <t>CENTRO OESTE</t>
        </is>
      </c>
      <c r="F217" t="inlineStr">
        <is>
          <t>Cliente B - Chopeira</t>
        </is>
      </c>
      <c r="G217" t="inlineStr">
        <is>
          <t>Refrigeradores</t>
        </is>
      </c>
      <c r="H217" s="10" t="n">
        <v>325</v>
      </c>
      <c r="I217" s="10">
        <f>IFERROR(T217*H217,0)</f>
        <v/>
      </c>
      <c r="J217" s="11" t="n">
        <v>45945</v>
      </c>
      <c r="K217" s="11" t="n"/>
      <c r="L217" t="inlineStr">
        <is>
          <t>NPD</t>
        </is>
      </c>
      <c r="M217">
        <f>IF(L217="","",IFERROR(VLOOKUP(L217,mapGrupoStatus,2,0),"Outros"))</f>
        <v/>
      </c>
      <c r="N217">
        <f>IF(O217="","",IF(O217&lt;=30,"0-30 dias",IF(O217&lt;=60,"31-60 dias",IF(O217&lt;=90,"61-90 dias","Mais de 90 dias"))))</f>
        <v/>
      </c>
      <c r="O217">
        <f>IF(OR(M217="Pendente",M217="Em andamento"),IF(J217="","",TODAY()-J217),"")</f>
        <v/>
      </c>
      <c r="P217" t="n">
        <v>12007</v>
      </c>
      <c r="Q217" t="inlineStr">
        <is>
          <t>Refrigel Ltda (12007)</t>
        </is>
      </c>
      <c r="R217" t="inlineStr">
        <is>
          <t>PC-0001</t>
        </is>
      </c>
      <c r="S217" t="inlineStr">
        <is>
          <t>Compressor modelo 01</t>
        </is>
      </c>
      <c r="T217" t="n">
        <v>1</v>
      </c>
      <c r="U217" t="inlineStr"/>
      <c r="V217">
        <f>IF(J217="","",MONTH(J217))</f>
        <v/>
      </c>
      <c r="W217">
        <f>IF(J217="","",YEAR(J217))</f>
        <v/>
      </c>
      <c r="X217" t="inlineStr"/>
      <c r="Y217">
        <f>IFERROR(INDEX(Rastreio!$H$2:$H$200,MATCH(X217&amp;"|"&amp;U217,Rastreio!$A$2:$A$200,0)),"")</f>
        <v/>
      </c>
    </row>
    <row r="218">
      <c r="A218">
        <f>IFERROR(INDEX(STAs!$G$2:$G$61,MATCH(P218,STAs!$F$2:$F$61,0))&amp;"","")</f>
        <v/>
      </c>
      <c r="B218" t="n">
        <v>20019031</v>
      </c>
      <c r="C218" t="inlineStr">
        <is>
          <t>Não</t>
        </is>
      </c>
      <c r="D218" t="inlineStr">
        <is>
          <t>SP</t>
        </is>
      </c>
      <c r="E218" t="inlineStr">
        <is>
          <t>SUDESTE SP</t>
        </is>
      </c>
      <c r="F218" t="inlineStr">
        <is>
          <t>Cliente A - Refrigerador</t>
        </is>
      </c>
      <c r="G218" t="inlineStr">
        <is>
          <t>Chopeiras</t>
        </is>
      </c>
      <c r="H218" s="10" t="n">
        <v>85</v>
      </c>
      <c r="I218" s="10">
        <f>IFERROR(T218*H218,0)</f>
        <v/>
      </c>
      <c r="J218" s="11" t="n">
        <v>45945</v>
      </c>
      <c r="K218" s="11" t="n">
        <v>45950</v>
      </c>
      <c r="L218" t="inlineStr">
        <is>
          <t>Ok. Devolvida</t>
        </is>
      </c>
      <c r="M218">
        <f>IF(L218="","",IFERROR(VLOOKUP(L218,mapGrupoStatus,2,0),"Outros"))</f>
        <v/>
      </c>
      <c r="N218">
        <f>IF(O218="","",IF(O218&lt;=30,"0-30 dias",IF(O218&lt;=60,"31-60 dias",IF(O218&lt;=90,"61-90 dias","Mais de 90 dias"))))</f>
        <v/>
      </c>
      <c r="O218">
        <f>IF(OR(M218="Pendente",M218="Em andamento"),IF(J218="","",TODAY()-J218),"")</f>
        <v/>
      </c>
      <c r="P218" t="n">
        <v>12052</v>
      </c>
      <c r="Q218" t="inlineStr">
        <is>
          <t>Brisa Refrigeração (12052)</t>
        </is>
      </c>
      <c r="R218" t="inlineStr">
        <is>
          <t>PC-0026</t>
        </is>
      </c>
      <c r="S218" t="inlineStr">
        <is>
          <t>Torneira de chopp modelo 01</t>
        </is>
      </c>
      <c r="T218" t="n">
        <v>1</v>
      </c>
      <c r="U218" t="n">
        <v>131</v>
      </c>
      <c r="V218">
        <f>IF(J218="","",MONTH(J218))</f>
        <v/>
      </c>
      <c r="W218">
        <f>IF(J218="","",YEAR(J218))</f>
        <v/>
      </c>
      <c r="X218" t="inlineStr">
        <is>
          <t>TransNorte</t>
        </is>
      </c>
      <c r="Y218">
        <f>IFERROR(INDEX(Rastreio!$H$2:$H$200,MATCH(X218&amp;"|"&amp;U218,Rastreio!$A$2:$A$200,0)),"")</f>
        <v/>
      </c>
    </row>
    <row r="219">
      <c r="A219">
        <f>IFERROR(INDEX(STAs!$G$2:$G$61,MATCH(P219,STAs!$F$2:$F$61,0))&amp;"","")</f>
        <v/>
      </c>
      <c r="B219" t="n">
        <v>20027420</v>
      </c>
      <c r="C219" t="inlineStr">
        <is>
          <t>Não</t>
        </is>
      </c>
      <c r="D219" t="inlineStr">
        <is>
          <t>MS</t>
        </is>
      </c>
      <c r="E219" t="inlineStr">
        <is>
          <t>CENTRO OESTE</t>
        </is>
      </c>
      <c r="F219" t="inlineStr">
        <is>
          <t>Cliente A - Refrigerador</t>
        </is>
      </c>
      <c r="G219" t="inlineStr">
        <is>
          <t>Chopeiras</t>
        </is>
      </c>
      <c r="H219" s="10" t="n">
        <v>85</v>
      </c>
      <c r="I219" s="10">
        <f>IFERROR(T219*H219,0)</f>
        <v/>
      </c>
      <c r="J219" s="11" t="n">
        <v>45945</v>
      </c>
      <c r="K219" s="11" t="n"/>
      <c r="L219" t="inlineStr">
        <is>
          <t>Aguardando Transporte</t>
        </is>
      </c>
      <c r="M219">
        <f>IF(L219="","",IFERROR(VLOOKUP(L219,mapGrupoStatus,2,0),"Outros"))</f>
        <v/>
      </c>
      <c r="N219">
        <f>IF(O219="","",IF(O219&lt;=30,"0-30 dias",IF(O219&lt;=60,"31-60 dias",IF(O219&lt;=90,"61-90 dias","Mais de 90 dias"))))</f>
        <v/>
      </c>
      <c r="O219">
        <f>IF(OR(M219="Pendente",M219="Em andamento"),IF(J219="","",TODAY()-J219),"")</f>
        <v/>
      </c>
      <c r="P219" t="n">
        <v>12280</v>
      </c>
      <c r="Q219" t="inlineStr">
        <is>
          <t>Termotec &amp; Cia (12280)</t>
        </is>
      </c>
      <c r="R219" t="inlineStr">
        <is>
          <t>PC-0036</t>
        </is>
      </c>
      <c r="S219" t="inlineStr">
        <is>
          <t>Válvula extratora modelo 02</t>
        </is>
      </c>
      <c r="T219" t="n">
        <v>1</v>
      </c>
      <c r="U219" t="n">
        <v>148</v>
      </c>
      <c r="V219">
        <f>IF(J219="","",MONTH(J219))</f>
        <v/>
      </c>
      <c r="W219">
        <f>IF(J219="","",YEAR(J219))</f>
        <v/>
      </c>
      <c r="X219" t="inlineStr">
        <is>
          <t>TransNorte</t>
        </is>
      </c>
      <c r="Y219">
        <f>IFERROR(INDEX(Rastreio!$H$2:$H$200,MATCH(X219&amp;"|"&amp;U219,Rastreio!$A$2:$A$200,0)),"")</f>
        <v/>
      </c>
    </row>
    <row r="220">
      <c r="A220">
        <f>IFERROR(INDEX(STAs!$G$2:$G$61,MATCH(P220,STAs!$F$2:$F$61,0))&amp;"","")</f>
        <v/>
      </c>
      <c r="B220" t="n">
        <v>20000792</v>
      </c>
      <c r="C220" t="inlineStr">
        <is>
          <t>Não</t>
        </is>
      </c>
      <c r="D220" t="inlineStr">
        <is>
          <t>MS</t>
        </is>
      </c>
      <c r="E220" t="inlineStr">
        <is>
          <t>CENTRO OESTE</t>
        </is>
      </c>
      <c r="F220" t="inlineStr">
        <is>
          <t>Cliente B - Chopeira</t>
        </is>
      </c>
      <c r="G220" t="inlineStr">
        <is>
          <t>Refrigeradores</t>
        </is>
      </c>
      <c r="H220" s="10" t="n">
        <v>330</v>
      </c>
      <c r="I220" s="10">
        <f>IFERROR(T220*H220,0)</f>
        <v/>
      </c>
      <c r="J220" s="11" t="n">
        <v>45946</v>
      </c>
      <c r="K220" s="11" t="n">
        <v>45971</v>
      </c>
      <c r="L220" t="inlineStr">
        <is>
          <t>Ok. Devolvida</t>
        </is>
      </c>
      <c r="M220">
        <f>IF(L220="","",IFERROR(VLOOKUP(L220,mapGrupoStatus,2,0),"Outros"))</f>
        <v/>
      </c>
      <c r="N220">
        <f>IF(O220="","",IF(O220&lt;=30,"0-30 dias",IF(O220&lt;=60,"31-60 dias",IF(O220&lt;=90,"61-90 dias","Mais de 90 dias"))))</f>
        <v/>
      </c>
      <c r="O220">
        <f>IF(OR(M220="Pendente",M220="Em andamento"),IF(J220="","",TODAY()-J220),"")</f>
        <v/>
      </c>
      <c r="P220" t="n">
        <v>11726</v>
      </c>
      <c r="Q220" t="inlineStr">
        <is>
          <t>Norte Frio Refrigeração (11726)</t>
        </is>
      </c>
      <c r="R220" t="inlineStr">
        <is>
          <t>PC-0003</t>
        </is>
      </c>
      <c r="S220" t="inlineStr">
        <is>
          <t>Compressor modelo 03</t>
        </is>
      </c>
      <c r="T220" t="n">
        <v>2</v>
      </c>
      <c r="U220" t="n">
        <v>102</v>
      </c>
      <c r="V220">
        <f>IF(J220="","",MONTH(J220))</f>
        <v/>
      </c>
      <c r="W220">
        <f>IF(J220="","",YEAR(J220))</f>
        <v/>
      </c>
      <c r="X220" t="inlineStr">
        <is>
          <t>LogExpress</t>
        </is>
      </c>
      <c r="Y220">
        <f>IFERROR(INDEX(Rastreio!$H$2:$H$200,MATCH(X220&amp;"|"&amp;U220,Rastreio!$A$2:$A$200,0)),"")</f>
        <v/>
      </c>
    </row>
    <row r="221">
      <c r="A221">
        <f>IFERROR(INDEX(STAs!$G$2:$G$61,MATCH(P221,STAs!$F$2:$F$61,0))&amp;"","")</f>
        <v/>
      </c>
      <c r="B221" t="n">
        <v>20014550</v>
      </c>
      <c r="C221" t="inlineStr">
        <is>
          <t>Não</t>
        </is>
      </c>
      <c r="D221" t="inlineStr">
        <is>
          <t>MS</t>
        </is>
      </c>
      <c r="E221" t="inlineStr">
        <is>
          <t>CENTRO OESTE</t>
        </is>
      </c>
      <c r="F221" t="inlineStr">
        <is>
          <t>Cliente C - Misturador</t>
        </is>
      </c>
      <c r="G221" t="inlineStr">
        <is>
          <t>Chopeiras</t>
        </is>
      </c>
      <c r="H221" s="10" t="n">
        <v>115</v>
      </c>
      <c r="I221" s="10">
        <f>IFERROR(T221*H221,0)</f>
        <v/>
      </c>
      <c r="J221" s="11" t="n">
        <v>45946</v>
      </c>
      <c r="K221" s="11" t="n">
        <v>45991</v>
      </c>
      <c r="L221" t="inlineStr">
        <is>
          <t>Ok. Devolvida</t>
        </is>
      </c>
      <c r="M221">
        <f>IF(L221="","",IFERROR(VLOOKUP(L221,mapGrupoStatus,2,0),"Outros"))</f>
        <v/>
      </c>
      <c r="N221">
        <f>IF(O221="","",IF(O221&lt;=30,"0-30 dias",IF(O221&lt;=60,"31-60 dias",IF(O221&lt;=90,"61-90 dias","Mais de 90 dias"))))</f>
        <v/>
      </c>
      <c r="O221">
        <f>IF(OR(M221="Pendente",M221="Em andamento"),IF(J221="","",TODAY()-J221),"")</f>
        <v/>
      </c>
      <c r="P221" t="n">
        <v>10302</v>
      </c>
      <c r="Q221" t="inlineStr">
        <is>
          <t>Ice Tech Express (10302)</t>
        </is>
      </c>
      <c r="R221" t="inlineStr">
        <is>
          <t>PC-0034</t>
        </is>
      </c>
      <c r="S221" t="inlineStr">
        <is>
          <t>Regulador de pressão modelo 03</t>
        </is>
      </c>
      <c r="T221" t="n">
        <v>1</v>
      </c>
      <c r="U221" t="n">
        <v>125</v>
      </c>
      <c r="V221">
        <f>IF(J221="","",MONTH(J221))</f>
        <v/>
      </c>
      <c r="W221">
        <f>IF(J221="","",YEAR(J221))</f>
        <v/>
      </c>
      <c r="X221" t="inlineStr">
        <is>
          <t>EntregaJá</t>
        </is>
      </c>
      <c r="Y221">
        <f>IFERROR(INDEX(Rastreio!$H$2:$H$200,MATCH(X221&amp;"|"&amp;U221,Rastreio!$A$2:$A$200,0)),"")</f>
        <v/>
      </c>
    </row>
    <row r="222">
      <c r="A222">
        <f>IFERROR(INDEX(STAs!$G$2:$G$61,MATCH(P222,STAs!$F$2:$F$61,0))&amp;"","")</f>
        <v/>
      </c>
      <c r="B222" t="n">
        <v>20015564</v>
      </c>
      <c r="C222" t="inlineStr">
        <is>
          <t>Não</t>
        </is>
      </c>
      <c r="D222" t="inlineStr">
        <is>
          <t>SC</t>
        </is>
      </c>
      <c r="E222" t="inlineStr">
        <is>
          <t>SUL</t>
        </is>
      </c>
      <c r="F222" t="inlineStr">
        <is>
          <t>Cliente A - Refrigerador</t>
        </is>
      </c>
      <c r="G222" t="inlineStr">
        <is>
          <t>Chopeiras</t>
        </is>
      </c>
      <c r="H222" s="10" t="n">
        <v>120</v>
      </c>
      <c r="I222" s="10">
        <f>IFERROR(T222*H222,0)</f>
        <v/>
      </c>
      <c r="J222" s="11" t="n">
        <v>45946</v>
      </c>
      <c r="K222" s="11" t="n"/>
      <c r="L222" t="inlineStr">
        <is>
          <t>Em transporte</t>
        </is>
      </c>
      <c r="M222">
        <f>IF(L222="","",IFERROR(VLOOKUP(L222,mapGrupoStatus,2,0),"Outros"))</f>
        <v/>
      </c>
      <c r="N222">
        <f>IF(O222="","",IF(O222&lt;=30,"0-30 dias",IF(O222&lt;=60,"31-60 dias",IF(O222&lt;=90,"61-90 dias","Mais de 90 dias"))))</f>
        <v/>
      </c>
      <c r="O222">
        <f>IF(OR(M222="Pendente",M222="Em andamento"),IF(J222="","",TODAY()-J222),"")</f>
        <v/>
      </c>
      <c r="P222" t="n">
        <v>12138</v>
      </c>
      <c r="Q222" t="inlineStr">
        <is>
          <t>Refrigeração Serviços (12138)</t>
        </is>
      </c>
      <c r="R222" t="inlineStr">
        <is>
          <t>PC-0032</t>
        </is>
      </c>
      <c r="S222" t="inlineStr">
        <is>
          <t>Regulador de pressão modelo 01</t>
        </is>
      </c>
      <c r="T222" t="n">
        <v>1</v>
      </c>
      <c r="U222" t="n">
        <v>130</v>
      </c>
      <c r="V222">
        <f>IF(J222="","",MONTH(J222))</f>
        <v/>
      </c>
      <c r="W222">
        <f>IF(J222="","",YEAR(J222))</f>
        <v/>
      </c>
      <c r="X222" t="inlineStr">
        <is>
          <t>ViaCargo</t>
        </is>
      </c>
      <c r="Y222">
        <f>IFERROR(INDEX(Rastreio!$H$2:$H$200,MATCH(X222&amp;"|"&amp;U222,Rastreio!$A$2:$A$200,0)),"")</f>
        <v/>
      </c>
    </row>
    <row r="223">
      <c r="A223">
        <f>IFERROR(INDEX(STAs!$G$2:$G$61,MATCH(P223,STAs!$F$2:$F$61,0))&amp;"","")</f>
        <v/>
      </c>
      <c r="B223" t="n">
        <v>20027549</v>
      </c>
      <c r="C223" t="inlineStr">
        <is>
          <t>Não</t>
        </is>
      </c>
      <c r="D223" t="inlineStr">
        <is>
          <t>MS</t>
        </is>
      </c>
      <c r="E223" t="inlineStr">
        <is>
          <t>CENTRO OESTE</t>
        </is>
      </c>
      <c r="F223" t="inlineStr">
        <is>
          <t>Cliente C - Misturador</t>
        </is>
      </c>
      <c r="G223" t="inlineStr">
        <is>
          <t>Refrigeradores</t>
        </is>
      </c>
      <c r="H223" s="10" t="n">
        <v>315</v>
      </c>
      <c r="I223" s="10">
        <f>IFERROR(T223*H223,0)</f>
        <v/>
      </c>
      <c r="J223" s="11" t="n">
        <v>45946</v>
      </c>
      <c r="K223" s="11" t="n"/>
      <c r="L223" t="inlineStr">
        <is>
          <t>Aguardando devolução</t>
        </is>
      </c>
      <c r="M223">
        <f>IF(L223="","",IFERROR(VLOOKUP(L223,mapGrupoStatus,2,0),"Outros"))</f>
        <v/>
      </c>
      <c r="N223">
        <f>IF(O223="","",IF(O223&lt;=30,"0-30 dias",IF(O223&lt;=60,"31-60 dias",IF(O223&lt;=90,"61-90 dias","Mais de 90 dias"))))</f>
        <v/>
      </c>
      <c r="O223">
        <f>IF(OR(M223="Pendente",M223="Em andamento"),IF(J223="","",TODAY()-J223),"")</f>
        <v/>
      </c>
      <c r="P223" t="n">
        <v>11726</v>
      </c>
      <c r="Q223" t="inlineStr">
        <is>
          <t>Norte Frio Refrigeração (11726)</t>
        </is>
      </c>
      <c r="R223" t="inlineStr">
        <is>
          <t>PC-0002</t>
        </is>
      </c>
      <c r="S223" t="inlineStr">
        <is>
          <t>Compressor modelo 02</t>
        </is>
      </c>
      <c r="T223" t="n">
        <v>2</v>
      </c>
      <c r="U223" t="inlineStr"/>
      <c r="V223">
        <f>IF(J223="","",MONTH(J223))</f>
        <v/>
      </c>
      <c r="W223">
        <f>IF(J223="","",YEAR(J223))</f>
        <v/>
      </c>
      <c r="X223" t="inlineStr"/>
      <c r="Y223">
        <f>IFERROR(INDEX(Rastreio!$H$2:$H$200,MATCH(X223&amp;"|"&amp;U223,Rastreio!$A$2:$A$200,0)),"")</f>
        <v/>
      </c>
    </row>
    <row r="224">
      <c r="A224">
        <f>IFERROR(INDEX(STAs!$G$2:$G$61,MATCH(P224,STAs!$F$2:$F$61,0))&amp;"","")</f>
        <v/>
      </c>
      <c r="B224" t="n">
        <v>20030717</v>
      </c>
      <c r="C224" t="inlineStr">
        <is>
          <t>Não</t>
        </is>
      </c>
      <c r="D224" t="inlineStr">
        <is>
          <t>MS</t>
        </is>
      </c>
      <c r="E224" t="inlineStr">
        <is>
          <t>CENTRO OESTE</t>
        </is>
      </c>
      <c r="F224" t="inlineStr">
        <is>
          <t>Cliente A - Refrigerador</t>
        </is>
      </c>
      <c r="G224" t="inlineStr">
        <is>
          <t>Misturadores</t>
        </is>
      </c>
      <c r="H224" s="10" t="n">
        <v>255</v>
      </c>
      <c r="I224" s="10">
        <f>IFERROR(T224*H224,0)</f>
        <v/>
      </c>
      <c r="J224" s="11" t="n">
        <v>45946</v>
      </c>
      <c r="K224" s="11" t="n">
        <v>45956</v>
      </c>
      <c r="L224" t="inlineStr">
        <is>
          <t>Ok. Devolvida</t>
        </is>
      </c>
      <c r="M224">
        <f>IF(L224="","",IFERROR(VLOOKUP(L224,mapGrupoStatus,2,0),"Outros"))</f>
        <v/>
      </c>
      <c r="N224">
        <f>IF(O224="","",IF(O224&lt;=30,"0-30 dias",IF(O224&lt;=60,"31-60 dias",IF(O224&lt;=90,"61-90 dias","Mais de 90 dias"))))</f>
        <v/>
      </c>
      <c r="O224">
        <f>IF(OR(M224="Pendente",M224="Em andamento"),IF(J224="","",TODAY()-J224),"")</f>
        <v/>
      </c>
      <c r="P224" t="n">
        <v>10302</v>
      </c>
      <c r="Q224" t="inlineStr">
        <is>
          <t>Ice Tech Express (10302)</t>
        </is>
      </c>
      <c r="R224" t="inlineStr">
        <is>
          <t>PC-0037</t>
        </is>
      </c>
      <c r="S224" t="inlineStr">
        <is>
          <t>Bomba de recirculação modelo 01</t>
        </is>
      </c>
      <c r="T224" t="n">
        <v>1</v>
      </c>
      <c r="U224" t="n">
        <v>154</v>
      </c>
      <c r="V224">
        <f>IF(J224="","",MONTH(J224))</f>
        <v/>
      </c>
      <c r="W224">
        <f>IF(J224="","",YEAR(J224))</f>
        <v/>
      </c>
      <c r="X224" t="inlineStr">
        <is>
          <t>TransNorte</t>
        </is>
      </c>
      <c r="Y224">
        <f>IFERROR(INDEX(Rastreio!$H$2:$H$200,MATCH(X224&amp;"|"&amp;U224,Rastreio!$A$2:$A$200,0)),"")</f>
        <v/>
      </c>
    </row>
    <row r="225">
      <c r="A225">
        <f>IFERROR(INDEX(STAs!$G$2:$G$61,MATCH(P225,STAs!$F$2:$F$61,0))&amp;"","")</f>
        <v/>
      </c>
      <c r="B225" t="n">
        <v>20034258</v>
      </c>
      <c r="C225" t="inlineStr">
        <is>
          <t>Não</t>
        </is>
      </c>
      <c r="D225" t="inlineStr">
        <is>
          <t>ES</t>
        </is>
      </c>
      <c r="E225" t="inlineStr">
        <is>
          <t>SUDESTE RJ e ES</t>
        </is>
      </c>
      <c r="F225" t="inlineStr">
        <is>
          <t>Cliente A - Refrigerador</t>
        </is>
      </c>
      <c r="G225" t="inlineStr">
        <is>
          <t>Refrigeradores</t>
        </is>
      </c>
      <c r="H225" s="10" t="n">
        <v>175</v>
      </c>
      <c r="I225" s="10">
        <f>IFERROR(T225*H225,0)</f>
        <v/>
      </c>
      <c r="J225" s="11" t="n">
        <v>45946</v>
      </c>
      <c r="K225" s="11" t="n">
        <v>45990</v>
      </c>
      <c r="L225" t="inlineStr">
        <is>
          <t>Ok. Devolvida</t>
        </is>
      </c>
      <c r="M225">
        <f>IF(L225="","",IFERROR(VLOOKUP(L225,mapGrupoStatus,2,0),"Outros"))</f>
        <v/>
      </c>
      <c r="N225">
        <f>IF(O225="","",IF(O225&lt;=30,"0-30 dias",IF(O225&lt;=60,"31-60 dias",IF(O225&lt;=90,"61-90 dias","Mais de 90 dias"))))</f>
        <v/>
      </c>
      <c r="O225">
        <f>IF(OR(M225="Pendente",M225="Em andamento"),IF(J225="","",TODAY()-J225),"")</f>
        <v/>
      </c>
      <c r="P225" t="n">
        <v>11162</v>
      </c>
      <c r="Q225" t="inlineStr">
        <is>
          <t>Ártico Refrigeração (11162)</t>
        </is>
      </c>
      <c r="R225" t="inlineStr">
        <is>
          <t>PC-0012</t>
        </is>
      </c>
      <c r="S225" t="inlineStr">
        <is>
          <t>Placa eletrônica modelo 02</t>
        </is>
      </c>
      <c r="T225" t="n">
        <v>1</v>
      </c>
      <c r="U225" t="n">
        <v>159</v>
      </c>
      <c r="V225">
        <f>IF(J225="","",MONTH(J225))</f>
        <v/>
      </c>
      <c r="W225">
        <f>IF(J225="","",YEAR(J225))</f>
        <v/>
      </c>
      <c r="X225" t="inlineStr">
        <is>
          <t>CargoMax</t>
        </is>
      </c>
      <c r="Y225">
        <f>IFERROR(INDEX(Rastreio!$H$2:$H$200,MATCH(X225&amp;"|"&amp;U225,Rastreio!$A$2:$A$200,0)),"")</f>
        <v/>
      </c>
    </row>
    <row r="226">
      <c r="A226">
        <f>IFERROR(INDEX(STAs!$G$2:$G$61,MATCH(P226,STAs!$F$2:$F$61,0))&amp;"","")</f>
        <v/>
      </c>
      <c r="B226" t="n">
        <v>20035110</v>
      </c>
      <c r="C226" t="inlineStr">
        <is>
          <t>Não</t>
        </is>
      </c>
      <c r="D226" t="inlineStr">
        <is>
          <t>ES</t>
        </is>
      </c>
      <c r="E226" t="inlineStr">
        <is>
          <t>SUDESTE RJ e ES</t>
        </is>
      </c>
      <c r="F226" t="inlineStr">
        <is>
          <t>Cliente C - Misturador</t>
        </is>
      </c>
      <c r="G226" t="inlineStr">
        <is>
          <t>Refrigeradores</t>
        </is>
      </c>
      <c r="H226" s="10" t="n">
        <v>330</v>
      </c>
      <c r="I226" s="10">
        <f>IFERROR(T226*H226,0)</f>
        <v/>
      </c>
      <c r="J226" s="11" t="n">
        <v>45946</v>
      </c>
      <c r="K226" s="11" t="n">
        <v>45988</v>
      </c>
      <c r="L226" t="inlineStr">
        <is>
          <t>Ok. Devolvida</t>
        </is>
      </c>
      <c r="M226">
        <f>IF(L226="","",IFERROR(VLOOKUP(L226,mapGrupoStatus,2,0),"Outros"))</f>
        <v/>
      </c>
      <c r="N226">
        <f>IF(O226="","",IF(O226&lt;=30,"0-30 dias",IF(O226&lt;=60,"31-60 dias",IF(O226&lt;=90,"61-90 dias","Mais de 90 dias"))))</f>
        <v/>
      </c>
      <c r="O226">
        <f>IF(OR(M226="Pendente",M226="Em andamento"),IF(J226="","",TODAY()-J226),"")</f>
        <v/>
      </c>
      <c r="P226" t="n">
        <v>12555</v>
      </c>
      <c r="Q226" t="inlineStr">
        <is>
          <t>Cool Service Serviços (12555)</t>
        </is>
      </c>
      <c r="R226" t="inlineStr">
        <is>
          <t>PC-0003</t>
        </is>
      </c>
      <c r="S226" t="inlineStr">
        <is>
          <t>Compressor modelo 03</t>
        </is>
      </c>
      <c r="T226" t="n">
        <v>1</v>
      </c>
      <c r="U226" t="n">
        <v>148</v>
      </c>
      <c r="V226">
        <f>IF(J226="","",MONTH(J226))</f>
        <v/>
      </c>
      <c r="W226">
        <f>IF(J226="","",YEAR(J226))</f>
        <v/>
      </c>
      <c r="X226" t="inlineStr">
        <is>
          <t>EntregaJá</t>
        </is>
      </c>
      <c r="Y226">
        <f>IFERROR(INDEX(Rastreio!$H$2:$H$200,MATCH(X226&amp;"|"&amp;U226,Rastreio!$A$2:$A$200,0)),"")</f>
        <v/>
      </c>
    </row>
    <row r="227">
      <c r="A227">
        <f>IFERROR(INDEX(STAs!$G$2:$G$61,MATCH(P227,STAs!$F$2:$F$61,0))&amp;"","")</f>
        <v/>
      </c>
      <c r="B227" t="n">
        <v>20001310</v>
      </c>
      <c r="C227" t="inlineStr">
        <is>
          <t>Não</t>
        </is>
      </c>
      <c r="D227" t="inlineStr">
        <is>
          <t>BA</t>
        </is>
      </c>
      <c r="E227" t="inlineStr">
        <is>
          <t>NORDESTE</t>
        </is>
      </c>
      <c r="F227" t="inlineStr">
        <is>
          <t>Cliente B - Chopeira</t>
        </is>
      </c>
      <c r="G227" t="inlineStr">
        <is>
          <t>Misturadores</t>
        </is>
      </c>
      <c r="H227" s="10" t="n">
        <v>50</v>
      </c>
      <c r="I227" s="10">
        <f>IFERROR(T227*H227,0)</f>
        <v/>
      </c>
      <c r="J227" s="11" t="n">
        <v>45947</v>
      </c>
      <c r="K227" s="11" t="n"/>
      <c r="L227" t="inlineStr">
        <is>
          <t>NF Vencida</t>
        </is>
      </c>
      <c r="M227">
        <f>IF(L227="","",IFERROR(VLOOKUP(L227,mapGrupoStatus,2,0),"Outros"))</f>
        <v/>
      </c>
      <c r="N227">
        <f>IF(O227="","",IF(O227&lt;=30,"0-30 dias",IF(O227&lt;=60,"31-60 dias",IF(O227&lt;=90,"61-90 dias","Mais de 90 dias"))))</f>
        <v/>
      </c>
      <c r="O227">
        <f>IF(OR(M227="Pendente",M227="Em andamento"),IF(J227="","",TODAY()-J227),"")</f>
        <v/>
      </c>
      <c r="P227" t="n">
        <v>11244</v>
      </c>
      <c r="Q227" t="inlineStr">
        <is>
          <t>Refrigeração Manutenção (11244)</t>
        </is>
      </c>
      <c r="R227" t="inlineStr">
        <is>
          <t>PC-0047</t>
        </is>
      </c>
      <c r="S227" t="inlineStr">
        <is>
          <t>Sensor de nível modelo 03</t>
        </is>
      </c>
      <c r="T227" t="n">
        <v>1</v>
      </c>
      <c r="U227" t="inlineStr"/>
      <c r="V227">
        <f>IF(J227="","",MONTH(J227))</f>
        <v/>
      </c>
      <c r="W227">
        <f>IF(J227="","",YEAR(J227))</f>
        <v/>
      </c>
      <c r="X227" t="inlineStr"/>
      <c r="Y227">
        <f>IFERROR(INDEX(Rastreio!$H$2:$H$200,MATCH(X227&amp;"|"&amp;U227,Rastreio!$A$2:$A$200,0)),"")</f>
        <v/>
      </c>
    </row>
    <row r="228">
      <c r="A228">
        <f>IFERROR(INDEX(STAs!$G$2:$G$61,MATCH(P228,STAs!$F$2:$F$61,0))&amp;"","")</f>
        <v/>
      </c>
      <c r="B228" t="n">
        <v>20013371</v>
      </c>
      <c r="C228" t="inlineStr">
        <is>
          <t>Não</t>
        </is>
      </c>
      <c r="D228" t="inlineStr">
        <is>
          <t>RR</t>
        </is>
      </c>
      <c r="E228" t="inlineStr">
        <is>
          <t>NORTE</t>
        </is>
      </c>
      <c r="F228" t="inlineStr">
        <is>
          <t>Cliente C - Misturador</t>
        </is>
      </c>
      <c r="G228" t="inlineStr">
        <is>
          <t>Chopeiras</t>
        </is>
      </c>
      <c r="H228" s="10" t="n">
        <v>215</v>
      </c>
      <c r="I228" s="10">
        <f>IFERROR(T228*H228,0)</f>
        <v/>
      </c>
      <c r="J228" s="11" t="n">
        <v>45947</v>
      </c>
      <c r="K228" s="11" t="n"/>
      <c r="L228" t="inlineStr">
        <is>
          <t>Não Devolve-Norte</t>
        </is>
      </c>
      <c r="M228">
        <f>IF(L228="","",IFERROR(VLOOKUP(L228,mapGrupoStatus,2,0),"Outros"))</f>
        <v/>
      </c>
      <c r="N228">
        <f>IF(O228="","",IF(O228&lt;=30,"0-30 dias",IF(O228&lt;=60,"31-60 dias",IF(O228&lt;=90,"61-90 dias","Mais de 90 dias"))))</f>
        <v/>
      </c>
      <c r="O228">
        <f>IF(OR(M228="Pendente",M228="Em andamento"),IF(J228="","",TODAY()-J228),"")</f>
        <v/>
      </c>
      <c r="P228" t="n">
        <v>10468</v>
      </c>
      <c r="Q228" t="inlineStr">
        <is>
          <t>Clima Express (10468)</t>
        </is>
      </c>
      <c r="R228" t="inlineStr">
        <is>
          <t>PC-0030</t>
        </is>
      </c>
      <c r="S228" t="inlineStr">
        <is>
          <t>Serpentina modelo 02</t>
        </is>
      </c>
      <c r="T228" t="n">
        <v>2</v>
      </c>
      <c r="U228" t="inlineStr"/>
      <c r="V228">
        <f>IF(J228="","",MONTH(J228))</f>
        <v/>
      </c>
      <c r="W228">
        <f>IF(J228="","",YEAR(J228))</f>
        <v/>
      </c>
      <c r="X228" t="inlineStr"/>
      <c r="Y228">
        <f>IFERROR(INDEX(Rastreio!$H$2:$H$200,MATCH(X228&amp;"|"&amp;U228,Rastreio!$A$2:$A$200,0)),"")</f>
        <v/>
      </c>
    </row>
    <row r="229">
      <c r="A229">
        <f>IFERROR(INDEX(STAs!$G$2:$G$61,MATCH(P229,STAs!$F$2:$F$61,0))&amp;"","")</f>
        <v/>
      </c>
      <c r="B229" t="n">
        <v>20013410</v>
      </c>
      <c r="C229" t="inlineStr">
        <is>
          <t>Não</t>
        </is>
      </c>
      <c r="D229" t="inlineStr">
        <is>
          <t>RJ</t>
        </is>
      </c>
      <c r="E229" t="inlineStr">
        <is>
          <t>SUDESTE RJ e ES</t>
        </is>
      </c>
      <c r="F229" t="inlineStr">
        <is>
          <t>Cliente A - Refrigerador</t>
        </is>
      </c>
      <c r="G229" t="inlineStr">
        <is>
          <t>Refrigeradores</t>
        </is>
      </c>
      <c r="H229" s="10" t="n">
        <v>185</v>
      </c>
      <c r="I229" s="10">
        <f>IFERROR(T229*H229,0)</f>
        <v/>
      </c>
      <c r="J229" s="11" t="n">
        <v>45947</v>
      </c>
      <c r="K229" s="11" t="n">
        <v>45996</v>
      </c>
      <c r="L229" t="inlineStr">
        <is>
          <t>Ok. Devolvida</t>
        </is>
      </c>
      <c r="M229">
        <f>IF(L229="","",IFERROR(VLOOKUP(L229,mapGrupoStatus,2,0),"Outros"))</f>
        <v/>
      </c>
      <c r="N229">
        <f>IF(O229="","",IF(O229&lt;=30,"0-30 dias",IF(O229&lt;=60,"31-60 dias",IF(O229&lt;=90,"61-90 dias","Mais de 90 dias"))))</f>
        <v/>
      </c>
      <c r="O229">
        <f>IF(OR(M229="Pendente",M229="Em andamento"),IF(J229="","",TODAY()-J229),"")</f>
        <v/>
      </c>
      <c r="P229" t="n">
        <v>12811</v>
      </c>
      <c r="Q229" t="inlineStr">
        <is>
          <t>Norte Frio Técnica (12811)</t>
        </is>
      </c>
      <c r="R229" t="inlineStr">
        <is>
          <t>PC-0013</t>
        </is>
      </c>
      <c r="S229" t="inlineStr">
        <is>
          <t>Placa eletrônica modelo 03</t>
        </is>
      </c>
      <c r="T229" t="n">
        <v>1</v>
      </c>
      <c r="U229" t="n">
        <v>124</v>
      </c>
      <c r="V229">
        <f>IF(J229="","",MONTH(J229))</f>
        <v/>
      </c>
      <c r="W229">
        <f>IF(J229="","",YEAR(J229))</f>
        <v/>
      </c>
      <c r="X229" t="inlineStr">
        <is>
          <t>EntregaJá</t>
        </is>
      </c>
      <c r="Y229">
        <f>IFERROR(INDEX(Rastreio!$H$2:$H$200,MATCH(X229&amp;"|"&amp;U229,Rastreio!$A$2:$A$200,0)),"")</f>
        <v/>
      </c>
    </row>
    <row r="230">
      <c r="A230">
        <f>IFERROR(INDEX(STAs!$G$2:$G$61,MATCH(P230,STAs!$F$2:$F$61,0))&amp;"","")</f>
        <v/>
      </c>
      <c r="B230" t="n">
        <v>20014302</v>
      </c>
      <c r="C230" t="inlineStr">
        <is>
          <t>Não</t>
        </is>
      </c>
      <c r="D230" t="inlineStr">
        <is>
          <t>GO</t>
        </is>
      </c>
      <c r="E230" t="inlineStr">
        <is>
          <t>CENTRO OESTE</t>
        </is>
      </c>
      <c r="F230" t="inlineStr">
        <is>
          <t>Cliente C - Misturador</t>
        </is>
      </c>
      <c r="G230" t="inlineStr">
        <is>
          <t>Misturadores</t>
        </is>
      </c>
      <c r="H230" s="10" t="n">
        <v>35</v>
      </c>
      <c r="I230" s="10">
        <f>IFERROR(T230*H230,0)</f>
        <v/>
      </c>
      <c r="J230" s="11" t="n">
        <v>45947</v>
      </c>
      <c r="K230" s="11" t="n">
        <v>45960</v>
      </c>
      <c r="L230" t="inlineStr">
        <is>
          <t>Ok. Devolvida</t>
        </is>
      </c>
      <c r="M230">
        <f>IF(L230="","",IFERROR(VLOOKUP(L230,mapGrupoStatus,2,0),"Outros"))</f>
        <v/>
      </c>
      <c r="N230">
        <f>IF(O230="","",IF(O230&lt;=30,"0-30 dias",IF(O230&lt;=60,"31-60 dias",IF(O230&lt;=90,"61-90 dias","Mais de 90 dias"))))</f>
        <v/>
      </c>
      <c r="O230">
        <f>IF(OR(M230="Pendente",M230="Em andamento"),IF(J230="","",TODAY()-J230),"")</f>
        <v/>
      </c>
      <c r="P230" t="n">
        <v>12007</v>
      </c>
      <c r="Q230" t="inlineStr">
        <is>
          <t>Refrigel Ltda (12007)</t>
        </is>
      </c>
      <c r="R230" t="inlineStr">
        <is>
          <t>PC-0043</t>
        </is>
      </c>
      <c r="S230" t="inlineStr">
        <is>
          <t>Bico dosador modelo 02</t>
        </is>
      </c>
      <c r="T230" t="n">
        <v>2</v>
      </c>
      <c r="U230" t="n">
        <v>127</v>
      </c>
      <c r="V230">
        <f>IF(J230="","",MONTH(J230))</f>
        <v/>
      </c>
      <c r="W230">
        <f>IF(J230="","",YEAR(J230))</f>
        <v/>
      </c>
      <c r="X230" t="inlineStr">
        <is>
          <t>CargoMax</t>
        </is>
      </c>
      <c r="Y230">
        <f>IFERROR(INDEX(Rastreio!$H$2:$H$200,MATCH(X230&amp;"|"&amp;U230,Rastreio!$A$2:$A$200,0)),"")</f>
        <v/>
      </c>
    </row>
    <row r="231">
      <c r="A231">
        <f>IFERROR(INDEX(STAs!$G$2:$G$61,MATCH(P231,STAs!$F$2:$F$61,0))&amp;"","")</f>
        <v/>
      </c>
      <c r="B231" t="n">
        <v>20017924</v>
      </c>
      <c r="C231" t="inlineStr">
        <is>
          <t>Não</t>
        </is>
      </c>
      <c r="D231" t="inlineStr">
        <is>
          <t>PE</t>
        </is>
      </c>
      <c r="E231" t="inlineStr">
        <is>
          <t>NORDESTE</t>
        </is>
      </c>
      <c r="F231" t="inlineStr">
        <is>
          <t>Cliente A - Refrigerador</t>
        </is>
      </c>
      <c r="G231" t="inlineStr">
        <is>
          <t>Refrigeradores</t>
        </is>
      </c>
      <c r="H231" s="10" t="n">
        <v>30</v>
      </c>
      <c r="I231" s="10">
        <f>IFERROR(T231*H231,0)</f>
        <v/>
      </c>
      <c r="J231" s="11" t="n">
        <v>45947</v>
      </c>
      <c r="K231" s="11" t="n"/>
      <c r="L231" t="inlineStr">
        <is>
          <t>Debitar do STA</t>
        </is>
      </c>
      <c r="M231">
        <f>IF(L231="","",IFERROR(VLOOKUP(L231,mapGrupoStatus,2,0),"Outros"))</f>
        <v/>
      </c>
      <c r="N231">
        <f>IF(O231="","",IF(O231&lt;=30,"0-30 dias",IF(O231&lt;=60,"31-60 dias",IF(O231&lt;=90,"61-90 dias","Mais de 90 dias"))))</f>
        <v/>
      </c>
      <c r="O231">
        <f>IF(OR(M231="Pendente",M231="Em andamento"),IF(J231="","",TODAY()-J231),"")</f>
        <v/>
      </c>
      <c r="P231" t="n">
        <v>11352</v>
      </c>
      <c r="Q231" t="inlineStr">
        <is>
          <t>Frio Express (11352)</t>
        </is>
      </c>
      <c r="R231" t="inlineStr">
        <is>
          <t>PC-0017</t>
        </is>
      </c>
      <c r="S231" t="inlineStr">
        <is>
          <t>Filtro secador modelo 03</t>
        </is>
      </c>
      <c r="T231" t="n">
        <v>1</v>
      </c>
      <c r="U231" t="inlineStr"/>
      <c r="V231">
        <f>IF(J231="","",MONTH(J231))</f>
        <v/>
      </c>
      <c r="W231">
        <f>IF(J231="","",YEAR(J231))</f>
        <v/>
      </c>
      <c r="X231" t="inlineStr"/>
      <c r="Y231">
        <f>IFERROR(INDEX(Rastreio!$H$2:$H$200,MATCH(X231&amp;"|"&amp;U231,Rastreio!$A$2:$A$200,0)),"")</f>
        <v/>
      </c>
    </row>
    <row r="232">
      <c r="A232">
        <f>IFERROR(INDEX(STAs!$G$2:$G$61,MATCH(P232,STAs!$F$2:$F$61,0))&amp;"","")</f>
        <v/>
      </c>
      <c r="B232" t="n">
        <v>20022336</v>
      </c>
      <c r="C232" t="inlineStr">
        <is>
          <t>Não</t>
        </is>
      </c>
      <c r="D232" t="inlineStr">
        <is>
          <t>RR</t>
        </is>
      </c>
      <c r="E232" t="inlineStr">
        <is>
          <t>NORTE</t>
        </is>
      </c>
      <c r="F232" t="inlineStr">
        <is>
          <t>Cliente A - Refrigerador</t>
        </is>
      </c>
      <c r="G232" t="inlineStr">
        <is>
          <t>Refrigeradores</t>
        </is>
      </c>
      <c r="H232" s="10" t="n">
        <v>190</v>
      </c>
      <c r="I232" s="10">
        <f>IFERROR(T232*H232,0)</f>
        <v/>
      </c>
      <c r="J232" s="11" t="n">
        <v>45947</v>
      </c>
      <c r="K232" s="11" t="n">
        <v>46002</v>
      </c>
      <c r="L232" t="inlineStr">
        <is>
          <t>Ok. Devolvida</t>
        </is>
      </c>
      <c r="M232">
        <f>IF(L232="","",IFERROR(VLOOKUP(L232,mapGrupoStatus,2,0),"Outros"))</f>
        <v/>
      </c>
      <c r="N232">
        <f>IF(O232="","",IF(O232&lt;=30,"0-30 dias",IF(O232&lt;=60,"31-60 dias",IF(O232&lt;=90,"61-90 dias","Mais de 90 dias"))))</f>
        <v/>
      </c>
      <c r="O232">
        <f>IF(OR(M232="Pendente",M232="Em andamento"),IF(J232="","",TODAY()-J232),"")</f>
        <v/>
      </c>
      <c r="P232" t="n">
        <v>10468</v>
      </c>
      <c r="Q232" t="inlineStr">
        <is>
          <t>Clima Express (10468)</t>
        </is>
      </c>
      <c r="R232" t="inlineStr">
        <is>
          <t>PC-0014</t>
        </is>
      </c>
      <c r="S232" t="inlineStr">
        <is>
          <t>Placa eletrônica modelo 04</t>
        </is>
      </c>
      <c r="T232" t="n">
        <v>1</v>
      </c>
      <c r="U232" t="n">
        <v>135</v>
      </c>
      <c r="V232">
        <f>IF(J232="","",MONTH(J232))</f>
        <v/>
      </c>
      <c r="W232">
        <f>IF(J232="","",YEAR(J232))</f>
        <v/>
      </c>
      <c r="X232" t="inlineStr">
        <is>
          <t>TransNorte</t>
        </is>
      </c>
      <c r="Y232">
        <f>IFERROR(INDEX(Rastreio!$H$2:$H$200,MATCH(X232&amp;"|"&amp;U232,Rastreio!$A$2:$A$200,0)),"")</f>
        <v/>
      </c>
    </row>
    <row r="233">
      <c r="A233">
        <f>IFERROR(INDEX(STAs!$G$2:$G$61,MATCH(P233,STAs!$F$2:$F$61,0))&amp;"","")</f>
        <v/>
      </c>
      <c r="B233" t="n">
        <v>20023036</v>
      </c>
      <c r="C233" t="inlineStr">
        <is>
          <t>Não</t>
        </is>
      </c>
      <c r="D233" t="inlineStr">
        <is>
          <t>PA</t>
        </is>
      </c>
      <c r="E233" t="inlineStr">
        <is>
          <t>NORTE</t>
        </is>
      </c>
      <c r="F233" t="inlineStr">
        <is>
          <t>Cliente A - Refrigerador</t>
        </is>
      </c>
      <c r="G233" t="inlineStr">
        <is>
          <t>Misturadores</t>
        </is>
      </c>
      <c r="H233" s="10" t="n">
        <v>50</v>
      </c>
      <c r="I233" s="10">
        <f>IFERROR(T233*H233,0)</f>
        <v/>
      </c>
      <c r="J233" s="11" t="n">
        <v>45947</v>
      </c>
      <c r="K233" s="11" t="n"/>
      <c r="L233" t="inlineStr">
        <is>
          <t>Não Devolve-Norte</t>
        </is>
      </c>
      <c r="M233">
        <f>IF(L233="","",IFERROR(VLOOKUP(L233,mapGrupoStatus,2,0),"Outros"))</f>
        <v/>
      </c>
      <c r="N233">
        <f>IF(O233="","",IF(O233&lt;=30,"0-30 dias",IF(O233&lt;=60,"31-60 dias",IF(O233&lt;=90,"61-90 dias","Mais de 90 dias"))))</f>
        <v/>
      </c>
      <c r="O233">
        <f>IF(OR(M233="Pendente",M233="Em andamento"),IF(J233="","",TODAY()-J233),"")</f>
        <v/>
      </c>
      <c r="P233" t="n">
        <v>11986</v>
      </c>
      <c r="Q233" t="inlineStr">
        <is>
          <t>Polar Serviços (11986)</t>
        </is>
      </c>
      <c r="R233" t="inlineStr">
        <is>
          <t>PC-0047</t>
        </is>
      </c>
      <c r="S233" t="inlineStr">
        <is>
          <t>Sensor de nível modelo 03</t>
        </is>
      </c>
      <c r="T233" t="n">
        <v>2</v>
      </c>
      <c r="U233" t="inlineStr"/>
      <c r="V233">
        <f>IF(J233="","",MONTH(J233))</f>
        <v/>
      </c>
      <c r="W233">
        <f>IF(J233="","",YEAR(J233))</f>
        <v/>
      </c>
      <c r="X233" t="inlineStr"/>
      <c r="Y233">
        <f>IFERROR(INDEX(Rastreio!$H$2:$H$200,MATCH(X233&amp;"|"&amp;U233,Rastreio!$A$2:$A$200,0)),"")</f>
        <v/>
      </c>
    </row>
    <row r="234">
      <c r="A234">
        <f>IFERROR(INDEX(STAs!$G$2:$G$61,MATCH(P234,STAs!$F$2:$F$61,0))&amp;"","")</f>
        <v/>
      </c>
      <c r="B234" t="n">
        <v>20030831</v>
      </c>
      <c r="C234" t="inlineStr">
        <is>
          <t>Não</t>
        </is>
      </c>
      <c r="D234" t="inlineStr">
        <is>
          <t>MG</t>
        </is>
      </c>
      <c r="E234" t="inlineStr">
        <is>
          <t>SUDESTE MG</t>
        </is>
      </c>
      <c r="F234" t="inlineStr">
        <is>
          <t>Cliente B - Chopeira</t>
        </is>
      </c>
      <c r="G234" t="inlineStr">
        <is>
          <t>Chopeiras</t>
        </is>
      </c>
      <c r="H234" s="10" t="n">
        <v>85</v>
      </c>
      <c r="I234" s="10">
        <f>IFERROR(T234*H234,0)</f>
        <v/>
      </c>
      <c r="J234" s="11" t="n">
        <v>45947</v>
      </c>
      <c r="K234" s="11" t="n">
        <v>45965</v>
      </c>
      <c r="L234" t="inlineStr">
        <is>
          <t>Ok. Devolvida</t>
        </is>
      </c>
      <c r="M234">
        <f>IF(L234="","",IFERROR(VLOOKUP(L234,mapGrupoStatus,2,0),"Outros"))</f>
        <v/>
      </c>
      <c r="N234">
        <f>IF(O234="","",IF(O234&lt;=30,"0-30 dias",IF(O234&lt;=60,"31-60 dias",IF(O234&lt;=90,"61-90 dias","Mais de 90 dias"))))</f>
        <v/>
      </c>
      <c r="O234">
        <f>IF(OR(M234="Pendente",M234="Em andamento"),IF(J234="","",TODAY()-J234),"")</f>
        <v/>
      </c>
      <c r="P234" t="n">
        <v>11619</v>
      </c>
      <c r="Q234" t="inlineStr">
        <is>
          <t>Refrigeração Ltda (11619)</t>
        </is>
      </c>
      <c r="R234" t="inlineStr">
        <is>
          <t>PC-0036</t>
        </is>
      </c>
      <c r="S234" t="inlineStr">
        <is>
          <t>Válvula extratora modelo 02</t>
        </is>
      </c>
      <c r="T234" t="n">
        <v>1</v>
      </c>
      <c r="U234" t="n">
        <v>149</v>
      </c>
      <c r="V234">
        <f>IF(J234="","",MONTH(J234))</f>
        <v/>
      </c>
      <c r="W234">
        <f>IF(J234="","",YEAR(J234))</f>
        <v/>
      </c>
      <c r="X234" t="inlineStr">
        <is>
          <t>ViaCargo</t>
        </is>
      </c>
      <c r="Y234">
        <f>IFERROR(INDEX(Rastreio!$H$2:$H$200,MATCH(X234&amp;"|"&amp;U234,Rastreio!$A$2:$A$200,0)),"")</f>
        <v/>
      </c>
    </row>
    <row r="235">
      <c r="A235">
        <f>IFERROR(INDEX(STAs!$G$2:$G$61,MATCH(P235,STAs!$F$2:$F$61,0))&amp;"","")</f>
        <v/>
      </c>
      <c r="B235" t="n">
        <v>20038323</v>
      </c>
      <c r="C235" t="inlineStr">
        <is>
          <t>Não</t>
        </is>
      </c>
      <c r="D235" t="inlineStr">
        <is>
          <t>SP</t>
        </is>
      </c>
      <c r="E235" t="inlineStr">
        <is>
          <t>SUDESTE SP</t>
        </is>
      </c>
      <c r="F235" t="inlineStr">
        <is>
          <t>Cliente C - Misturador</t>
        </is>
      </c>
      <c r="G235" t="inlineStr">
        <is>
          <t>Chopeiras</t>
        </is>
      </c>
      <c r="H235" s="10" t="n">
        <v>205</v>
      </c>
      <c r="I235" s="10">
        <f>IFERROR(T235*H235,0)</f>
        <v/>
      </c>
      <c r="J235" s="11" t="n">
        <v>45947</v>
      </c>
      <c r="K235" s="11" t="n"/>
      <c r="L235" t="inlineStr">
        <is>
          <t>Em andamento</t>
        </is>
      </c>
      <c r="M235">
        <f>IF(L235="","",IFERROR(VLOOKUP(L235,mapGrupoStatus,2,0),"Outros"))</f>
        <v/>
      </c>
      <c r="N235">
        <f>IF(O235="","",IF(O235&lt;=30,"0-30 dias",IF(O235&lt;=60,"31-60 dias",IF(O235&lt;=90,"61-90 dias","Mais de 90 dias"))))</f>
        <v/>
      </c>
      <c r="O235">
        <f>IF(OR(M235="Pendente",M235="Em andamento"),IF(J235="","",TODAY()-J235),"")</f>
        <v/>
      </c>
      <c r="P235" t="n">
        <v>10413</v>
      </c>
      <c r="Q235" t="inlineStr">
        <is>
          <t>Polar Manutenção (10413)</t>
        </is>
      </c>
      <c r="R235" t="inlineStr">
        <is>
          <t>PC-0031</t>
        </is>
      </c>
      <c r="S235" t="inlineStr">
        <is>
          <t>Serpentina modelo 03</t>
        </is>
      </c>
      <c r="T235" t="n">
        <v>1</v>
      </c>
      <c r="U235" t="n">
        <v>158</v>
      </c>
      <c r="V235">
        <f>IF(J235="","",MONTH(J235))</f>
        <v/>
      </c>
      <c r="W235">
        <f>IF(J235="","",YEAR(J235))</f>
        <v/>
      </c>
      <c r="X235" t="inlineStr">
        <is>
          <t>ViaCargo</t>
        </is>
      </c>
      <c r="Y235">
        <f>IFERROR(INDEX(Rastreio!$H$2:$H$200,MATCH(X235&amp;"|"&amp;U235,Rastreio!$A$2:$A$200,0)),"")</f>
        <v/>
      </c>
    </row>
    <row r="236">
      <c r="A236">
        <f>IFERROR(INDEX(STAs!$G$2:$G$61,MATCH(P236,STAs!$F$2:$F$61,0))&amp;"","")</f>
        <v/>
      </c>
      <c r="B236" t="n">
        <v>20038663</v>
      </c>
      <c r="C236" t="inlineStr">
        <is>
          <t>Não</t>
        </is>
      </c>
      <c r="D236" t="inlineStr">
        <is>
          <t>PR</t>
        </is>
      </c>
      <c r="E236" t="inlineStr">
        <is>
          <t>SUL</t>
        </is>
      </c>
      <c r="F236" t="inlineStr">
        <is>
          <t>Cliente B - Chopeira</t>
        </is>
      </c>
      <c r="G236" t="inlineStr">
        <is>
          <t>Refrigeradores</t>
        </is>
      </c>
      <c r="H236" s="10" t="n">
        <v>315</v>
      </c>
      <c r="I236" s="10">
        <f>IFERROR(T236*H236,0)</f>
        <v/>
      </c>
      <c r="J236" s="11" t="n">
        <v>45947</v>
      </c>
      <c r="K236" s="11" t="n"/>
      <c r="L236" t="inlineStr">
        <is>
          <t>Em transporte</t>
        </is>
      </c>
      <c r="M236">
        <f>IF(L236="","",IFERROR(VLOOKUP(L236,mapGrupoStatus,2,0),"Outros"))</f>
        <v/>
      </c>
      <c r="N236">
        <f>IF(O236="","",IF(O236&lt;=30,"0-30 dias",IF(O236&lt;=60,"31-60 dias",IF(O236&lt;=90,"61-90 dias","Mais de 90 dias"))))</f>
        <v/>
      </c>
      <c r="O236">
        <f>IF(OR(M236="Pendente",M236="Em andamento"),IF(J236="","",TODAY()-J236),"")</f>
        <v/>
      </c>
      <c r="P236" t="n">
        <v>11898</v>
      </c>
      <c r="Q236" t="inlineStr">
        <is>
          <t>Refrigel Express (11898)</t>
        </is>
      </c>
      <c r="R236" t="inlineStr">
        <is>
          <t>PC-0002</t>
        </is>
      </c>
      <c r="S236" t="inlineStr">
        <is>
          <t>Compressor modelo 02</t>
        </is>
      </c>
      <c r="T236" t="n">
        <v>2</v>
      </c>
      <c r="U236" t="n">
        <v>167</v>
      </c>
      <c r="V236">
        <f>IF(J236="","",MONTH(J236))</f>
        <v/>
      </c>
      <c r="W236">
        <f>IF(J236="","",YEAR(J236))</f>
        <v/>
      </c>
      <c r="X236" t="inlineStr">
        <is>
          <t>CargoMax</t>
        </is>
      </c>
      <c r="Y236">
        <f>IFERROR(INDEX(Rastreio!$H$2:$H$200,MATCH(X236&amp;"|"&amp;U236,Rastreio!$A$2:$A$200,0)),"")</f>
        <v/>
      </c>
    </row>
    <row r="237">
      <c r="A237">
        <f>IFERROR(INDEX(STAs!$G$2:$G$61,MATCH(P237,STAs!$F$2:$F$61,0))&amp;"","")</f>
        <v/>
      </c>
      <c r="B237" t="n">
        <v>20001766</v>
      </c>
      <c r="C237" t="inlineStr">
        <is>
          <t>Não</t>
        </is>
      </c>
      <c r="D237" t="inlineStr">
        <is>
          <t>MT</t>
        </is>
      </c>
      <c r="E237" t="inlineStr">
        <is>
          <t>CENTRO OESTE</t>
        </is>
      </c>
      <c r="F237" t="inlineStr">
        <is>
          <t>Cliente A - Refrigerador</t>
        </is>
      </c>
      <c r="G237" t="inlineStr">
        <is>
          <t>Refrigeradores</t>
        </is>
      </c>
      <c r="H237" s="10" t="n">
        <v>50</v>
      </c>
      <c r="I237" s="10">
        <f>IFERROR(T237*H237,0)</f>
        <v/>
      </c>
      <c r="J237" s="11" t="n">
        <v>45948</v>
      </c>
      <c r="K237" s="11" t="n">
        <v>46000</v>
      </c>
      <c r="L237" t="inlineStr">
        <is>
          <t>Ok. Devolvida</t>
        </is>
      </c>
      <c r="M237">
        <f>IF(L237="","",IFERROR(VLOOKUP(L237,mapGrupoStatus,2,0),"Outros"))</f>
        <v/>
      </c>
      <c r="N237">
        <f>IF(O237="","",IF(O237&lt;=30,"0-30 dias",IF(O237&lt;=60,"31-60 dias",IF(O237&lt;=90,"61-90 dias","Mais de 90 dias"))))</f>
        <v/>
      </c>
      <c r="O237">
        <f>IF(OR(M237="Pendente",M237="Em andamento"),IF(J237="","",TODAY()-J237),"")</f>
        <v/>
      </c>
      <c r="P237" t="n">
        <v>10227</v>
      </c>
      <c r="Q237" t="inlineStr">
        <is>
          <t>Assistência Técnica ME (10227)</t>
        </is>
      </c>
      <c r="R237" t="inlineStr">
        <is>
          <t>PC-0006</t>
        </is>
      </c>
      <c r="S237" t="inlineStr">
        <is>
          <t>Termostato modelo 03</t>
        </is>
      </c>
      <c r="T237" t="n">
        <v>1</v>
      </c>
      <c r="U237" t="n">
        <v>105</v>
      </c>
      <c r="V237">
        <f>IF(J237="","",MONTH(J237))</f>
        <v/>
      </c>
      <c r="W237">
        <f>IF(J237="","",YEAR(J237))</f>
        <v/>
      </c>
      <c r="X237" t="inlineStr">
        <is>
          <t>EntregaJá</t>
        </is>
      </c>
      <c r="Y237">
        <f>IFERROR(INDEX(Rastreio!$H$2:$H$200,MATCH(X237&amp;"|"&amp;U237,Rastreio!$A$2:$A$200,0)),"")</f>
        <v/>
      </c>
    </row>
    <row r="238">
      <c r="A238">
        <f>IFERROR(INDEX(STAs!$G$2:$G$61,MATCH(P238,STAs!$F$2:$F$61,0))&amp;"","")</f>
        <v/>
      </c>
      <c r="B238" t="n">
        <v>20002425</v>
      </c>
      <c r="C238" t="inlineStr">
        <is>
          <t>Não</t>
        </is>
      </c>
      <c r="D238" t="inlineStr">
        <is>
          <t>ES</t>
        </is>
      </c>
      <c r="E238" t="inlineStr">
        <is>
          <t>SUDESTE RJ e ES</t>
        </is>
      </c>
      <c r="F238" t="inlineStr">
        <is>
          <t>Cliente A - Refrigerador</t>
        </is>
      </c>
      <c r="G238" t="inlineStr">
        <is>
          <t>Refrigeradores</t>
        </is>
      </c>
      <c r="H238" s="10" t="n">
        <v>70</v>
      </c>
      <c r="I238" s="10">
        <f>IFERROR(T238*H238,0)</f>
        <v/>
      </c>
      <c r="J238" s="11" t="n">
        <v>45948</v>
      </c>
      <c r="K238" s="11" t="n"/>
      <c r="L238" t="inlineStr">
        <is>
          <t>Em andamento</t>
        </is>
      </c>
      <c r="M238">
        <f>IF(L238="","",IFERROR(VLOOKUP(L238,mapGrupoStatus,2,0),"Outros"))</f>
        <v/>
      </c>
      <c r="N238">
        <f>IF(O238="","",IF(O238&lt;=30,"0-30 dias",IF(O238&lt;=60,"31-60 dias",IF(O238&lt;=90,"61-90 dias","Mais de 90 dias"))))</f>
        <v/>
      </c>
      <c r="O238">
        <f>IF(OR(M238="Pendente",M238="Em andamento"),IF(J238="","",TODAY()-J238),"")</f>
        <v/>
      </c>
      <c r="P238" t="n">
        <v>11099</v>
      </c>
      <c r="Q238" t="inlineStr">
        <is>
          <t>Refrigel Serviços (11099)</t>
        </is>
      </c>
      <c r="R238" t="inlineStr">
        <is>
          <t>PC-0009</t>
        </is>
      </c>
      <c r="S238" t="inlineStr">
        <is>
          <t>Ventilador modelo 03</t>
        </is>
      </c>
      <c r="T238" t="n">
        <v>1</v>
      </c>
      <c r="U238" t="n">
        <v>106</v>
      </c>
      <c r="V238">
        <f>IF(J238="","",MONTH(J238))</f>
        <v/>
      </c>
      <c r="W238">
        <f>IF(J238="","",YEAR(J238))</f>
        <v/>
      </c>
      <c r="X238" t="inlineStr">
        <is>
          <t>RotaSul</t>
        </is>
      </c>
      <c r="Y238">
        <f>IFERROR(INDEX(Rastreio!$H$2:$H$200,MATCH(X238&amp;"|"&amp;U238,Rastreio!$A$2:$A$200,0)),"")</f>
        <v/>
      </c>
    </row>
    <row r="239">
      <c r="A239">
        <f>IFERROR(INDEX(STAs!$G$2:$G$61,MATCH(P239,STAs!$F$2:$F$61,0))&amp;"","")</f>
        <v/>
      </c>
      <c r="B239" t="n">
        <v>20005112</v>
      </c>
      <c r="C239" t="inlineStr">
        <is>
          <t>Não</t>
        </is>
      </c>
      <c r="D239" t="inlineStr">
        <is>
          <t>SP</t>
        </is>
      </c>
      <c r="E239" t="inlineStr">
        <is>
          <t>SUDESTE SP</t>
        </is>
      </c>
      <c r="F239" t="inlineStr">
        <is>
          <t>Cliente C - Misturador</t>
        </is>
      </c>
      <c r="G239" t="inlineStr">
        <is>
          <t>Refrigeradores</t>
        </is>
      </c>
      <c r="H239" s="10" t="n">
        <v>50</v>
      </c>
      <c r="I239" s="10">
        <f>IFERROR(T239*H239,0)</f>
        <v/>
      </c>
      <c r="J239" s="11" t="n">
        <v>45948</v>
      </c>
      <c r="K239" s="11" t="n">
        <v>45977</v>
      </c>
      <c r="L239" t="inlineStr">
        <is>
          <t>Ok. Devolvida</t>
        </is>
      </c>
      <c r="M239">
        <f>IF(L239="","",IFERROR(VLOOKUP(L239,mapGrupoStatus,2,0),"Outros"))</f>
        <v/>
      </c>
      <c r="N239">
        <f>IF(O239="","",IF(O239&lt;=30,"0-30 dias",IF(O239&lt;=60,"31-60 dias",IF(O239&lt;=90,"61-90 dias","Mais de 90 dias"))))</f>
        <v/>
      </c>
      <c r="O239">
        <f>IF(OR(M239="Pendente",M239="Em andamento"),IF(J239="","",TODAY()-J239),"")</f>
        <v/>
      </c>
      <c r="P239" t="n">
        <v>12052</v>
      </c>
      <c r="Q239" t="inlineStr">
        <is>
          <t>Brisa Refrigeração (12052)</t>
        </is>
      </c>
      <c r="R239" t="inlineStr">
        <is>
          <t>PC-0006</t>
        </is>
      </c>
      <c r="S239" t="inlineStr">
        <is>
          <t>Termostato modelo 03</t>
        </is>
      </c>
      <c r="T239" t="n">
        <v>1</v>
      </c>
      <c r="U239" t="n">
        <v>107</v>
      </c>
      <c r="V239">
        <f>IF(J239="","",MONTH(J239))</f>
        <v/>
      </c>
      <c r="W239">
        <f>IF(J239="","",YEAR(J239))</f>
        <v/>
      </c>
      <c r="X239" t="inlineStr">
        <is>
          <t>CargoMax</t>
        </is>
      </c>
      <c r="Y239">
        <f>IFERROR(INDEX(Rastreio!$H$2:$H$200,MATCH(X239&amp;"|"&amp;U239,Rastreio!$A$2:$A$200,0)),"")</f>
        <v/>
      </c>
    </row>
    <row r="240">
      <c r="A240">
        <f>IFERROR(INDEX(STAs!$G$2:$G$61,MATCH(P240,STAs!$F$2:$F$61,0))&amp;"","")</f>
        <v/>
      </c>
      <c r="B240" t="n">
        <v>20006922</v>
      </c>
      <c r="C240" t="inlineStr">
        <is>
          <t>Não</t>
        </is>
      </c>
      <c r="D240" t="inlineStr">
        <is>
          <t>RR</t>
        </is>
      </c>
      <c r="E240" t="inlineStr">
        <is>
          <t>NORTE</t>
        </is>
      </c>
      <c r="F240" t="inlineStr">
        <is>
          <t>Cliente C - Misturador</t>
        </is>
      </c>
      <c r="G240" t="inlineStr">
        <is>
          <t>Misturadores</t>
        </is>
      </c>
      <c r="H240" s="10" t="n">
        <v>60</v>
      </c>
      <c r="I240" s="10">
        <f>IFERROR(T240*H240,0)</f>
        <v/>
      </c>
      <c r="J240" s="11" t="n">
        <v>45948</v>
      </c>
      <c r="K240" s="11" t="n"/>
      <c r="L240" t="inlineStr">
        <is>
          <t>Não Devolve-Norte</t>
        </is>
      </c>
      <c r="M240">
        <f>IF(L240="","",IFERROR(VLOOKUP(L240,mapGrupoStatus,2,0),"Outros"))</f>
        <v/>
      </c>
      <c r="N240">
        <f>IF(O240="","",IF(O240&lt;=30,"0-30 dias",IF(O240&lt;=60,"31-60 dias",IF(O240&lt;=90,"61-90 dias","Mais de 90 dias"))))</f>
        <v/>
      </c>
      <c r="O240">
        <f>IF(OR(M240="Pendente",M240="Em andamento"),IF(J240="","",TODAY()-J240),"")</f>
        <v/>
      </c>
      <c r="P240" t="n">
        <v>10468</v>
      </c>
      <c r="Q240" t="inlineStr">
        <is>
          <t>Clima Express (10468)</t>
        </is>
      </c>
      <c r="R240" t="inlineStr">
        <is>
          <t>PC-0046</t>
        </is>
      </c>
      <c r="S240" t="inlineStr">
        <is>
          <t>Sensor de nível modelo 02</t>
        </is>
      </c>
      <c r="T240" t="n">
        <v>1</v>
      </c>
      <c r="U240" t="inlineStr"/>
      <c r="V240">
        <f>IF(J240="","",MONTH(J240))</f>
        <v/>
      </c>
      <c r="W240">
        <f>IF(J240="","",YEAR(J240))</f>
        <v/>
      </c>
      <c r="X240" t="inlineStr"/>
      <c r="Y240">
        <f>IFERROR(INDEX(Rastreio!$H$2:$H$200,MATCH(X240&amp;"|"&amp;U240,Rastreio!$A$2:$A$200,0)),"")</f>
        <v/>
      </c>
    </row>
    <row r="241">
      <c r="A241">
        <f>IFERROR(INDEX(STAs!$G$2:$G$61,MATCH(P241,STAs!$F$2:$F$61,0))&amp;"","")</f>
        <v/>
      </c>
      <c r="B241" t="n">
        <v>20036999</v>
      </c>
      <c r="C241" t="inlineStr">
        <is>
          <t>Sim</t>
        </is>
      </c>
      <c r="D241" t="inlineStr">
        <is>
          <t>GO</t>
        </is>
      </c>
      <c r="E241" t="inlineStr">
        <is>
          <t>CENTRO OESTE</t>
        </is>
      </c>
      <c r="F241" t="inlineStr">
        <is>
          <t>Cliente B - Chopeira</t>
        </is>
      </c>
      <c r="G241" t="inlineStr">
        <is>
          <t>Refrigeradores</t>
        </is>
      </c>
      <c r="H241" s="10" t="n">
        <v>190</v>
      </c>
      <c r="I241" s="10">
        <f>IFERROR(T241*H241,0)</f>
        <v/>
      </c>
      <c r="J241" s="11" t="n">
        <v>45948</v>
      </c>
      <c r="K241" s="11" t="n"/>
      <c r="L241" t="inlineStr">
        <is>
          <t>Aguardando devolução</t>
        </is>
      </c>
      <c r="M241">
        <f>IF(L241="","",IFERROR(VLOOKUP(L241,mapGrupoStatus,2,0),"Outros"))</f>
        <v/>
      </c>
      <c r="N241">
        <f>IF(O241="","",IF(O241&lt;=30,"0-30 dias",IF(O241&lt;=60,"31-60 dias",IF(O241&lt;=90,"61-90 dias","Mais de 90 dias"))))</f>
        <v/>
      </c>
      <c r="O241">
        <f>IF(OR(M241="Pendente",M241="Em andamento"),IF(J241="","",TODAY()-J241),"")</f>
        <v/>
      </c>
      <c r="P241" t="n">
        <v>11677</v>
      </c>
      <c r="Q241" t="inlineStr">
        <is>
          <t>Cool Service Manutenção (11677)</t>
        </is>
      </c>
      <c r="R241" t="inlineStr">
        <is>
          <t>PC-0011</t>
        </is>
      </c>
      <c r="S241" t="inlineStr">
        <is>
          <t>Placa eletrônica modelo 01</t>
        </is>
      </c>
      <c r="T241" t="n">
        <v>1</v>
      </c>
      <c r="U241" t="inlineStr"/>
      <c r="V241">
        <f>IF(J241="","",MONTH(J241))</f>
        <v/>
      </c>
      <c r="W241">
        <f>IF(J241="","",YEAR(J241))</f>
        <v/>
      </c>
      <c r="X241" t="inlineStr"/>
      <c r="Y241">
        <f>IFERROR(INDEX(Rastreio!$H$2:$H$200,MATCH(X241&amp;"|"&amp;U241,Rastreio!$A$2:$A$200,0)),"")</f>
        <v/>
      </c>
    </row>
    <row r="242">
      <c r="A242">
        <f>IFERROR(INDEX(STAs!$G$2:$G$61,MATCH(P242,STAs!$F$2:$F$61,0))&amp;"","")</f>
        <v/>
      </c>
      <c r="B242" t="n">
        <v>20040400</v>
      </c>
      <c r="C242" t="inlineStr">
        <is>
          <t>Sim</t>
        </is>
      </c>
      <c r="D242" t="inlineStr">
        <is>
          <t>PR</t>
        </is>
      </c>
      <c r="E242" t="inlineStr">
        <is>
          <t>SUL</t>
        </is>
      </c>
      <c r="F242" t="inlineStr">
        <is>
          <t>Cliente B - Chopeira</t>
        </is>
      </c>
      <c r="G242" t="inlineStr">
        <is>
          <t>Refrigeradores</t>
        </is>
      </c>
      <c r="H242" s="10" t="n">
        <v>50</v>
      </c>
      <c r="I242" s="10">
        <f>IFERROR(T242*H242,0)</f>
        <v/>
      </c>
      <c r="J242" s="11" t="n">
        <v>45948</v>
      </c>
      <c r="K242" s="11" t="n">
        <v>45977</v>
      </c>
      <c r="L242" t="inlineStr">
        <is>
          <t>Ok. Devolvida</t>
        </is>
      </c>
      <c r="M242">
        <f>IF(L242="","",IFERROR(VLOOKUP(L242,mapGrupoStatus,2,0),"Outros"))</f>
        <v/>
      </c>
      <c r="N242">
        <f>IF(O242="","",IF(O242&lt;=30,"0-30 dias",IF(O242&lt;=60,"31-60 dias",IF(O242&lt;=90,"61-90 dias","Mais de 90 dias"))))</f>
        <v/>
      </c>
      <c r="O242">
        <f>IF(OR(M242="Pendente",M242="Em andamento"),IF(J242="","",TODAY()-J242),"")</f>
        <v/>
      </c>
      <c r="P242" t="n">
        <v>10913</v>
      </c>
      <c r="Q242" t="inlineStr">
        <is>
          <t>Ice Tech &amp; Cia (10913)</t>
        </is>
      </c>
      <c r="R242" t="inlineStr">
        <is>
          <t>PC-0006</t>
        </is>
      </c>
      <c r="S242" t="inlineStr">
        <is>
          <t>Termostato modelo 03</t>
        </is>
      </c>
      <c r="T242" t="n">
        <v>1</v>
      </c>
      <c r="U242" t="n">
        <v>170</v>
      </c>
      <c r="V242">
        <f>IF(J242="","",MONTH(J242))</f>
        <v/>
      </c>
      <c r="W242">
        <f>IF(J242="","",YEAR(J242))</f>
        <v/>
      </c>
      <c r="X242" t="inlineStr">
        <is>
          <t>TransNorte</t>
        </is>
      </c>
      <c r="Y242">
        <f>IFERROR(INDEX(Rastreio!$H$2:$H$200,MATCH(X242&amp;"|"&amp;U242,Rastreio!$A$2:$A$200,0)),"")</f>
        <v/>
      </c>
    </row>
    <row r="243">
      <c r="A243">
        <f>IFERROR(INDEX(STAs!$G$2:$G$61,MATCH(P243,STAs!$F$2:$F$61,0))&amp;"","")</f>
        <v/>
      </c>
      <c r="B243" t="n">
        <v>20008998</v>
      </c>
      <c r="C243" t="inlineStr">
        <is>
          <t>Sim</t>
        </is>
      </c>
      <c r="D243" t="inlineStr">
        <is>
          <t>GO</t>
        </is>
      </c>
      <c r="E243" t="inlineStr">
        <is>
          <t>CENTRO OESTE</t>
        </is>
      </c>
      <c r="F243" t="inlineStr">
        <is>
          <t>Cliente C - Misturador</t>
        </is>
      </c>
      <c r="G243" t="inlineStr">
        <is>
          <t>Chopeiras</t>
        </is>
      </c>
      <c r="H243" s="10" t="n">
        <v>115</v>
      </c>
      <c r="I243" s="10">
        <f>IFERROR(T243*H243,0)</f>
        <v/>
      </c>
      <c r="J243" s="11" t="n">
        <v>45949</v>
      </c>
      <c r="K243" s="11" t="n">
        <v>46000</v>
      </c>
      <c r="L243" t="inlineStr">
        <is>
          <t>Ok. Devolvida</t>
        </is>
      </c>
      <c r="M243">
        <f>IF(L243="","",IFERROR(VLOOKUP(L243,mapGrupoStatus,2,0),"Outros"))</f>
        <v/>
      </c>
      <c r="N243">
        <f>IF(O243="","",IF(O243&lt;=30,"0-30 dias",IF(O243&lt;=60,"31-60 dias",IF(O243&lt;=90,"61-90 dias","Mais de 90 dias"))))</f>
        <v/>
      </c>
      <c r="O243">
        <f>IF(OR(M243="Pendente",M243="Em andamento"),IF(J243="","",TODAY()-J243),"")</f>
        <v/>
      </c>
      <c r="P243" t="n">
        <v>11677</v>
      </c>
      <c r="Q243" t="inlineStr">
        <is>
          <t>Cool Service Manutenção (11677)</t>
        </is>
      </c>
      <c r="R243" t="inlineStr">
        <is>
          <t>PC-0034</t>
        </is>
      </c>
      <c r="S243" t="inlineStr">
        <is>
          <t>Regulador de pressão modelo 03</t>
        </is>
      </c>
      <c r="T243" t="n">
        <v>1</v>
      </c>
      <c r="U243" t="n">
        <v>114</v>
      </c>
      <c r="V243">
        <f>IF(J243="","",MONTH(J243))</f>
        <v/>
      </c>
      <c r="W243">
        <f>IF(J243="","",YEAR(J243))</f>
        <v/>
      </c>
      <c r="X243" t="inlineStr">
        <is>
          <t>TransNorte</t>
        </is>
      </c>
      <c r="Y243">
        <f>IFERROR(INDEX(Rastreio!$H$2:$H$200,MATCH(X243&amp;"|"&amp;U243,Rastreio!$A$2:$A$200,0)),"")</f>
        <v/>
      </c>
    </row>
    <row r="244">
      <c r="A244">
        <f>IFERROR(INDEX(STAs!$G$2:$G$61,MATCH(P244,STAs!$F$2:$F$61,0))&amp;"","")</f>
        <v/>
      </c>
      <c r="B244" t="n">
        <v>20011920</v>
      </c>
      <c r="C244" t="inlineStr">
        <is>
          <t>Não</t>
        </is>
      </c>
      <c r="D244" t="inlineStr">
        <is>
          <t>SP</t>
        </is>
      </c>
      <c r="E244" t="inlineStr">
        <is>
          <t>SUDESTE SP</t>
        </is>
      </c>
      <c r="F244" t="inlineStr">
        <is>
          <t>Cliente B - Chopeira</t>
        </is>
      </c>
      <c r="G244" t="inlineStr">
        <is>
          <t>Refrigeradores</t>
        </is>
      </c>
      <c r="H244" s="10" t="n">
        <v>185</v>
      </c>
      <c r="I244" s="10">
        <f>IFERROR(T244*H244,0)</f>
        <v/>
      </c>
      <c r="J244" s="11" t="n">
        <v>45949</v>
      </c>
      <c r="K244" s="11" t="n">
        <v>45967</v>
      </c>
      <c r="L244" t="inlineStr">
        <is>
          <t>Ok. Devolvida</t>
        </is>
      </c>
      <c r="M244">
        <f>IF(L244="","",IFERROR(VLOOKUP(L244,mapGrupoStatus,2,0),"Outros"))</f>
        <v/>
      </c>
      <c r="N244">
        <f>IF(O244="","",IF(O244&lt;=30,"0-30 dias",IF(O244&lt;=60,"31-60 dias",IF(O244&lt;=90,"61-90 dias","Mais de 90 dias"))))</f>
        <v/>
      </c>
      <c r="O244">
        <f>IF(OR(M244="Pendente",M244="Em andamento"),IF(J244="","",TODAY()-J244),"")</f>
        <v/>
      </c>
      <c r="P244" t="n">
        <v>10111</v>
      </c>
      <c r="Q244" t="inlineStr">
        <is>
          <t>Refrigel Manutenção (10111)</t>
        </is>
      </c>
      <c r="R244" t="inlineStr">
        <is>
          <t>PC-0013</t>
        </is>
      </c>
      <c r="S244" t="inlineStr">
        <is>
          <t>Placa eletrônica modelo 03</t>
        </is>
      </c>
      <c r="T244" t="n">
        <v>2</v>
      </c>
      <c r="U244" t="n">
        <v>119</v>
      </c>
      <c r="V244">
        <f>IF(J244="","",MONTH(J244))</f>
        <v/>
      </c>
      <c r="W244">
        <f>IF(J244="","",YEAR(J244))</f>
        <v/>
      </c>
      <c r="X244" t="inlineStr">
        <is>
          <t>RotaSul</t>
        </is>
      </c>
      <c r="Y244">
        <f>IFERROR(INDEX(Rastreio!$H$2:$H$200,MATCH(X244&amp;"|"&amp;U244,Rastreio!$A$2:$A$200,0)),"")</f>
        <v/>
      </c>
    </row>
    <row r="245">
      <c r="A245">
        <f>IFERROR(INDEX(STAs!$G$2:$G$61,MATCH(P245,STAs!$F$2:$F$61,0))&amp;"","")</f>
        <v/>
      </c>
      <c r="B245" t="n">
        <v>20015598</v>
      </c>
      <c r="C245" t="inlineStr">
        <is>
          <t>Não</t>
        </is>
      </c>
      <c r="D245" t="inlineStr">
        <is>
          <t>PI</t>
        </is>
      </c>
      <c r="E245" t="inlineStr">
        <is>
          <t>NORDESTE</t>
        </is>
      </c>
      <c r="F245" t="inlineStr">
        <is>
          <t>Cliente B - Chopeira</t>
        </is>
      </c>
      <c r="G245" t="inlineStr">
        <is>
          <t>Refrigeradores</t>
        </is>
      </c>
      <c r="H245" s="10" t="n">
        <v>55</v>
      </c>
      <c r="I245" s="10">
        <f>IFERROR(T245*H245,0)</f>
        <v/>
      </c>
      <c r="J245" s="11" t="n">
        <v>45949</v>
      </c>
      <c r="K245" s="11" t="n"/>
      <c r="L245" t="inlineStr">
        <is>
          <t>Em transporte</t>
        </is>
      </c>
      <c r="M245">
        <f>IF(L245="","",IFERROR(VLOOKUP(L245,mapGrupoStatus,2,0),"Outros"))</f>
        <v/>
      </c>
      <c r="N245">
        <f>IF(O245="","",IF(O245&lt;=30,"0-30 dias",IF(O245&lt;=60,"31-60 dias",IF(O245&lt;=90,"61-90 dias","Mais de 90 dias"))))</f>
        <v/>
      </c>
      <c r="O245">
        <f>IF(OR(M245="Pendente",M245="Em andamento"),IF(J245="","",TODAY()-J245),"")</f>
        <v/>
      </c>
      <c r="P245" t="n">
        <v>10562</v>
      </c>
      <c r="Q245" t="inlineStr">
        <is>
          <t>Clima &amp; Cia (10562)</t>
        </is>
      </c>
      <c r="R245" t="inlineStr">
        <is>
          <t>PC-0008</t>
        </is>
      </c>
      <c r="S245" t="inlineStr">
        <is>
          <t>Ventilador modelo 02</t>
        </is>
      </c>
      <c r="T245" t="n">
        <v>1</v>
      </c>
      <c r="U245" t="n">
        <v>127</v>
      </c>
      <c r="V245">
        <f>IF(J245="","",MONTH(J245))</f>
        <v/>
      </c>
      <c r="W245">
        <f>IF(J245="","",YEAR(J245))</f>
        <v/>
      </c>
      <c r="X245" t="inlineStr">
        <is>
          <t>CargoMax</t>
        </is>
      </c>
      <c r="Y245">
        <f>IFERROR(INDEX(Rastreio!$H$2:$H$200,MATCH(X245&amp;"|"&amp;U245,Rastreio!$A$2:$A$200,0)),"")</f>
        <v/>
      </c>
    </row>
    <row r="246">
      <c r="A246">
        <f>IFERROR(INDEX(STAs!$G$2:$G$61,MATCH(P246,STAs!$F$2:$F$61,0))&amp;"","")</f>
        <v/>
      </c>
      <c r="B246" t="n">
        <v>20018893</v>
      </c>
      <c r="C246" t="inlineStr">
        <is>
          <t>Não</t>
        </is>
      </c>
      <c r="D246" t="inlineStr">
        <is>
          <t>MG</t>
        </is>
      </c>
      <c r="E246" t="inlineStr">
        <is>
          <t>SUDESTE MG</t>
        </is>
      </c>
      <c r="F246" t="inlineStr">
        <is>
          <t>Cliente B - Chopeira</t>
        </is>
      </c>
      <c r="G246" t="inlineStr">
        <is>
          <t>Chopeiras</t>
        </is>
      </c>
      <c r="H246" s="10" t="n">
        <v>85</v>
      </c>
      <c r="I246" s="10">
        <f>IFERROR(T246*H246,0)</f>
        <v/>
      </c>
      <c r="J246" s="11" t="n">
        <v>45949</v>
      </c>
      <c r="K246" s="11" t="n">
        <v>46000</v>
      </c>
      <c r="L246" t="inlineStr">
        <is>
          <t>Ok. Devolvida</t>
        </is>
      </c>
      <c r="M246">
        <f>IF(L246="","",IFERROR(VLOOKUP(L246,mapGrupoStatus,2,0),"Outros"))</f>
        <v/>
      </c>
      <c r="N246">
        <f>IF(O246="","",IF(O246&lt;=30,"0-30 dias",IF(O246&lt;=60,"31-60 dias",IF(O246&lt;=90,"61-90 dias","Mais de 90 dias"))))</f>
        <v/>
      </c>
      <c r="O246">
        <f>IF(OR(M246="Pendente",M246="Em andamento"),IF(J246="","",TODAY()-J246),"")</f>
        <v/>
      </c>
      <c r="P246" t="n">
        <v>11619</v>
      </c>
      <c r="Q246" t="inlineStr">
        <is>
          <t>Refrigeração Ltda (11619)</t>
        </is>
      </c>
      <c r="R246" t="inlineStr">
        <is>
          <t>PC-0028</t>
        </is>
      </c>
      <c r="S246" t="inlineStr">
        <is>
          <t>Torneira de chopp modelo 03</t>
        </is>
      </c>
      <c r="T246" t="n">
        <v>1</v>
      </c>
      <c r="U246" t="n">
        <v>136</v>
      </c>
      <c r="V246">
        <f>IF(J246="","",MONTH(J246))</f>
        <v/>
      </c>
      <c r="W246">
        <f>IF(J246="","",YEAR(J246))</f>
        <v/>
      </c>
      <c r="X246" t="inlineStr">
        <is>
          <t>CargoMax</t>
        </is>
      </c>
      <c r="Y246">
        <f>IFERROR(INDEX(Rastreio!$H$2:$H$200,MATCH(X246&amp;"|"&amp;U246,Rastreio!$A$2:$A$200,0)),"")</f>
        <v/>
      </c>
    </row>
    <row r="247">
      <c r="A247">
        <f>IFERROR(INDEX(STAs!$G$2:$G$61,MATCH(P247,STAs!$F$2:$F$61,0))&amp;"","")</f>
        <v/>
      </c>
      <c r="B247" t="n">
        <v>20021816</v>
      </c>
      <c r="C247" t="inlineStr">
        <is>
          <t>Não</t>
        </is>
      </c>
      <c r="D247" t="inlineStr">
        <is>
          <t>SP</t>
        </is>
      </c>
      <c r="E247" t="inlineStr">
        <is>
          <t>SUDESTE SP</t>
        </is>
      </c>
      <c r="F247" t="inlineStr">
        <is>
          <t>Cliente A - Refrigerador</t>
        </is>
      </c>
      <c r="G247" t="inlineStr">
        <is>
          <t>Misturadores</t>
        </is>
      </c>
      <c r="H247" s="10" t="n">
        <v>50</v>
      </c>
      <c r="I247" s="10">
        <f>IFERROR(T247*H247,0)</f>
        <v/>
      </c>
      <c r="J247" s="11" t="n">
        <v>45949</v>
      </c>
      <c r="K247" s="11" t="n">
        <v>45956</v>
      </c>
      <c r="L247" t="inlineStr">
        <is>
          <t>Ok. Devolvida</t>
        </is>
      </c>
      <c r="M247">
        <f>IF(L247="","",IFERROR(VLOOKUP(L247,mapGrupoStatus,2,0),"Outros"))</f>
        <v/>
      </c>
      <c r="N247">
        <f>IF(O247="","",IF(O247&lt;=30,"0-30 dias",IF(O247&lt;=60,"31-60 dias",IF(O247&lt;=90,"61-90 dias","Mais de 90 dias"))))</f>
        <v/>
      </c>
      <c r="O247">
        <f>IF(OR(M247="Pendente",M247="Em andamento"),IF(J247="","",TODAY()-J247),"")</f>
        <v/>
      </c>
      <c r="P247" t="n">
        <v>10538</v>
      </c>
      <c r="Q247" t="inlineStr">
        <is>
          <t>Frio Refrigeração (10538)</t>
        </is>
      </c>
      <c r="R247" t="inlineStr">
        <is>
          <t>PC-0045</t>
        </is>
      </c>
      <c r="S247" t="inlineStr">
        <is>
          <t>Sensor de nível modelo 01</t>
        </is>
      </c>
      <c r="T247" t="n">
        <v>1</v>
      </c>
      <c r="U247" t="n">
        <v>132</v>
      </c>
      <c r="V247">
        <f>IF(J247="","",MONTH(J247))</f>
        <v/>
      </c>
      <c r="W247">
        <f>IF(J247="","",YEAR(J247))</f>
        <v/>
      </c>
      <c r="X247" t="inlineStr">
        <is>
          <t>TransNorte</t>
        </is>
      </c>
      <c r="Y247">
        <f>IFERROR(INDEX(Rastreio!$H$2:$H$200,MATCH(X247&amp;"|"&amp;U247,Rastreio!$A$2:$A$200,0)),"")</f>
        <v/>
      </c>
    </row>
    <row r="248">
      <c r="A248">
        <f>IFERROR(INDEX(STAs!$G$2:$G$61,MATCH(P248,STAs!$F$2:$F$61,0))&amp;"","")</f>
        <v/>
      </c>
      <c r="B248" t="n">
        <v>20025367</v>
      </c>
      <c r="C248" t="inlineStr">
        <is>
          <t>Não</t>
        </is>
      </c>
      <c r="D248" t="inlineStr">
        <is>
          <t>RR</t>
        </is>
      </c>
      <c r="E248" t="inlineStr">
        <is>
          <t>NORTE</t>
        </is>
      </c>
      <c r="F248" t="inlineStr">
        <is>
          <t>Cliente B - Chopeira</t>
        </is>
      </c>
      <c r="G248" t="inlineStr">
        <is>
          <t>Refrigeradores</t>
        </is>
      </c>
      <c r="H248" s="10" t="n">
        <v>50</v>
      </c>
      <c r="I248" s="10">
        <f>IFERROR(T248*H248,0)</f>
        <v/>
      </c>
      <c r="J248" s="11" t="n">
        <v>45949</v>
      </c>
      <c r="K248" s="11" t="n"/>
      <c r="L248" t="inlineStr">
        <is>
          <t>Não Devolve-Norte</t>
        </is>
      </c>
      <c r="M248">
        <f>IF(L248="","",IFERROR(VLOOKUP(L248,mapGrupoStatus,2,0),"Outros"))</f>
        <v/>
      </c>
      <c r="N248">
        <f>IF(O248="","",IF(O248&lt;=30,"0-30 dias",IF(O248&lt;=60,"31-60 dias",IF(O248&lt;=90,"61-90 dias","Mais de 90 dias"))))</f>
        <v/>
      </c>
      <c r="O248">
        <f>IF(OR(M248="Pendente",M248="Em andamento"),IF(J248="","",TODAY()-J248),"")</f>
        <v/>
      </c>
      <c r="P248" t="n">
        <v>12422</v>
      </c>
      <c r="Q248" t="inlineStr">
        <is>
          <t>Assistência Técnica Refrigeração (12422)</t>
        </is>
      </c>
      <c r="R248" t="inlineStr">
        <is>
          <t>PC-0006</t>
        </is>
      </c>
      <c r="S248" t="inlineStr">
        <is>
          <t>Termostato modelo 03</t>
        </is>
      </c>
      <c r="T248" t="n">
        <v>1</v>
      </c>
      <c r="U248" t="inlineStr"/>
      <c r="V248">
        <f>IF(J248="","",MONTH(J248))</f>
        <v/>
      </c>
      <c r="W248">
        <f>IF(J248="","",YEAR(J248))</f>
        <v/>
      </c>
      <c r="X248" t="inlineStr"/>
      <c r="Y248">
        <f>IFERROR(INDEX(Rastreio!$H$2:$H$200,MATCH(X248&amp;"|"&amp;U248,Rastreio!$A$2:$A$200,0)),"")</f>
        <v/>
      </c>
    </row>
    <row r="249">
      <c r="A249">
        <f>IFERROR(INDEX(STAs!$G$2:$G$61,MATCH(P249,STAs!$F$2:$F$61,0))&amp;"","")</f>
        <v/>
      </c>
      <c r="B249" t="n">
        <v>20027040</v>
      </c>
      <c r="C249" t="inlineStr">
        <is>
          <t>Não</t>
        </is>
      </c>
      <c r="D249" t="inlineStr">
        <is>
          <t>TO</t>
        </is>
      </c>
      <c r="E249" t="inlineStr">
        <is>
          <t>NORTE</t>
        </is>
      </c>
      <c r="F249" t="inlineStr">
        <is>
          <t>Cliente C - Misturador</t>
        </is>
      </c>
      <c r="G249" t="inlineStr">
        <is>
          <t>Misturadores</t>
        </is>
      </c>
      <c r="H249" s="10" t="n">
        <v>50</v>
      </c>
      <c r="I249" s="10">
        <f>IFERROR(T249*H249,0)</f>
        <v/>
      </c>
      <c r="J249" s="11" t="n">
        <v>45949</v>
      </c>
      <c r="K249" s="11" t="n">
        <v>45993</v>
      </c>
      <c r="L249" t="inlineStr">
        <is>
          <t>Ok. Devolvida</t>
        </is>
      </c>
      <c r="M249">
        <f>IF(L249="","",IFERROR(VLOOKUP(L249,mapGrupoStatus,2,0),"Outros"))</f>
        <v/>
      </c>
      <c r="N249">
        <f>IF(O249="","",IF(O249&lt;=30,"0-30 dias",IF(O249&lt;=60,"31-60 dias",IF(O249&lt;=90,"61-90 dias","Mais de 90 dias"))))</f>
        <v/>
      </c>
      <c r="O249">
        <f>IF(OR(M249="Pendente",M249="Em andamento"),IF(J249="","",TODAY()-J249),"")</f>
        <v/>
      </c>
      <c r="P249" t="n">
        <v>10939</v>
      </c>
      <c r="Q249" t="inlineStr">
        <is>
          <t>Zero Grau Manutenção (10939)</t>
        </is>
      </c>
      <c r="R249" t="inlineStr">
        <is>
          <t>PC-0047</t>
        </is>
      </c>
      <c r="S249" t="inlineStr">
        <is>
          <t>Sensor de nível modelo 03</t>
        </is>
      </c>
      <c r="T249" t="n">
        <v>1</v>
      </c>
      <c r="U249" t="n">
        <v>147</v>
      </c>
      <c r="V249">
        <f>IF(J249="","",MONTH(J249))</f>
        <v/>
      </c>
      <c r="W249">
        <f>IF(J249="","",YEAR(J249))</f>
        <v/>
      </c>
      <c r="X249" t="inlineStr">
        <is>
          <t>RotaSul</t>
        </is>
      </c>
      <c r="Y249">
        <f>IFERROR(INDEX(Rastreio!$H$2:$H$200,MATCH(X249&amp;"|"&amp;U249,Rastreio!$A$2:$A$200,0)),"")</f>
        <v/>
      </c>
    </row>
    <row r="250">
      <c r="A250">
        <f>IFERROR(INDEX(STAs!$G$2:$G$61,MATCH(P250,STAs!$F$2:$F$61,0))&amp;"","")</f>
        <v/>
      </c>
      <c r="B250" t="n">
        <v>20034793</v>
      </c>
      <c r="C250" t="inlineStr">
        <is>
          <t>Não</t>
        </is>
      </c>
      <c r="D250" t="inlineStr">
        <is>
          <t>MS</t>
        </is>
      </c>
      <c r="E250" t="inlineStr">
        <is>
          <t>CENTRO OESTE</t>
        </is>
      </c>
      <c r="F250" t="inlineStr">
        <is>
          <t>Cliente B - Chopeira</t>
        </is>
      </c>
      <c r="G250" t="inlineStr">
        <is>
          <t>Refrigeradores</t>
        </is>
      </c>
      <c r="H250" s="10" t="n">
        <v>40</v>
      </c>
      <c r="I250" s="10">
        <f>IFERROR(T250*H250,0)</f>
        <v/>
      </c>
      <c r="J250" s="11" t="n">
        <v>45949</v>
      </c>
      <c r="K250" s="11" t="n">
        <v>45987</v>
      </c>
      <c r="L250" t="inlineStr">
        <is>
          <t>Ok. Devolvida</t>
        </is>
      </c>
      <c r="M250">
        <f>IF(L250="","",IFERROR(VLOOKUP(L250,mapGrupoStatus,2,0),"Outros"))</f>
        <v/>
      </c>
      <c r="N250">
        <f>IF(O250="","",IF(O250&lt;=30,"0-30 dias",IF(O250&lt;=60,"31-60 dias",IF(O250&lt;=90,"61-90 dias","Mais de 90 dias"))))</f>
        <v/>
      </c>
      <c r="O250">
        <f>IF(OR(M250="Pendente",M250="Em andamento"),IF(J250="","",TODAY()-J250),"")</f>
        <v/>
      </c>
      <c r="P250" t="n">
        <v>11726</v>
      </c>
      <c r="Q250" t="inlineStr">
        <is>
          <t>Norte Frio Refrigeração (11726)</t>
        </is>
      </c>
      <c r="R250" t="inlineStr">
        <is>
          <t>PC-0004</t>
        </is>
      </c>
      <c r="S250" t="inlineStr">
        <is>
          <t>Termostato modelo 01</t>
        </is>
      </c>
      <c r="T250" t="n">
        <v>1</v>
      </c>
      <c r="U250" t="n">
        <v>162</v>
      </c>
      <c r="V250">
        <f>IF(J250="","",MONTH(J250))</f>
        <v/>
      </c>
      <c r="W250">
        <f>IF(J250="","",YEAR(J250))</f>
        <v/>
      </c>
      <c r="X250" t="inlineStr">
        <is>
          <t>LogExpress</t>
        </is>
      </c>
      <c r="Y250">
        <f>IFERROR(INDEX(Rastreio!$H$2:$H$200,MATCH(X250&amp;"|"&amp;U250,Rastreio!$A$2:$A$200,0)),"")</f>
        <v/>
      </c>
    </row>
    <row r="251">
      <c r="A251">
        <f>IFERROR(INDEX(STAs!$G$2:$G$61,MATCH(P251,STAs!$F$2:$F$61,0))&amp;"","")</f>
        <v/>
      </c>
      <c r="B251" t="n">
        <v>20005091</v>
      </c>
      <c r="C251" t="inlineStr">
        <is>
          <t>Não</t>
        </is>
      </c>
      <c r="D251" t="inlineStr">
        <is>
          <t>RR</t>
        </is>
      </c>
      <c r="E251" t="inlineStr">
        <is>
          <t>NORTE</t>
        </is>
      </c>
      <c r="F251" t="inlineStr">
        <is>
          <t>Cliente C - Misturador</t>
        </is>
      </c>
      <c r="G251" t="inlineStr">
        <is>
          <t>Refrigeradores</t>
        </is>
      </c>
      <c r="H251" s="10" t="n">
        <v>175</v>
      </c>
      <c r="I251" s="10">
        <f>IFERROR(T251*H251,0)</f>
        <v/>
      </c>
      <c r="J251" s="11" t="n">
        <v>45950</v>
      </c>
      <c r="K251" s="11" t="n"/>
      <c r="L251" t="inlineStr">
        <is>
          <t>Não Devolve-Norte</t>
        </is>
      </c>
      <c r="M251">
        <f>IF(L251="","",IFERROR(VLOOKUP(L251,mapGrupoStatus,2,0),"Outros"))</f>
        <v/>
      </c>
      <c r="N251">
        <f>IF(O251="","",IF(O251&lt;=30,"0-30 dias",IF(O251&lt;=60,"31-60 dias",IF(O251&lt;=90,"61-90 dias","Mais de 90 dias"))))</f>
        <v/>
      </c>
      <c r="O251">
        <f>IF(OR(M251="Pendente",M251="Em andamento"),IF(J251="","",TODAY()-J251),"")</f>
        <v/>
      </c>
      <c r="P251" t="n">
        <v>12422</v>
      </c>
      <c r="Q251" t="inlineStr">
        <is>
          <t>Assistência Técnica Refrigeração (12422)</t>
        </is>
      </c>
      <c r="R251" t="inlineStr">
        <is>
          <t>PC-0012</t>
        </is>
      </c>
      <c r="S251" t="inlineStr">
        <is>
          <t>Placa eletrônica modelo 02</t>
        </is>
      </c>
      <c r="T251" t="n">
        <v>1</v>
      </c>
      <c r="U251" t="inlineStr"/>
      <c r="V251">
        <f>IF(J251="","",MONTH(J251))</f>
        <v/>
      </c>
      <c r="W251">
        <f>IF(J251="","",YEAR(J251))</f>
        <v/>
      </c>
      <c r="X251" t="inlineStr"/>
      <c r="Y251">
        <f>IFERROR(INDEX(Rastreio!$H$2:$H$200,MATCH(X251&amp;"|"&amp;U251,Rastreio!$A$2:$A$200,0)),"")</f>
        <v/>
      </c>
    </row>
    <row r="252">
      <c r="A252">
        <f>IFERROR(INDEX(STAs!$G$2:$G$61,MATCH(P252,STAs!$F$2:$F$61,0))&amp;"","")</f>
        <v/>
      </c>
      <c r="B252" t="n">
        <v>20014863</v>
      </c>
      <c r="C252" t="inlineStr">
        <is>
          <t>Não</t>
        </is>
      </c>
      <c r="D252" t="inlineStr">
        <is>
          <t>RJ</t>
        </is>
      </c>
      <c r="E252" t="inlineStr">
        <is>
          <t>SUDESTE RJ e ES</t>
        </is>
      </c>
      <c r="F252" t="inlineStr">
        <is>
          <t>Cliente C - Misturador</t>
        </is>
      </c>
      <c r="G252" t="inlineStr">
        <is>
          <t>Chopeiras</t>
        </is>
      </c>
      <c r="H252" s="10" t="n">
        <v>115</v>
      </c>
      <c r="I252" s="10">
        <f>IFERROR(T252*H252,0)</f>
        <v/>
      </c>
      <c r="J252" s="11" t="n">
        <v>45950</v>
      </c>
      <c r="K252" s="11" t="n"/>
      <c r="L252" t="inlineStr">
        <is>
          <t>Debitar do STA</t>
        </is>
      </c>
      <c r="M252">
        <f>IF(L252="","",IFERROR(VLOOKUP(L252,mapGrupoStatus,2,0),"Outros"))</f>
        <v/>
      </c>
      <c r="N252">
        <f>IF(O252="","",IF(O252&lt;=30,"0-30 dias",IF(O252&lt;=60,"31-60 dias",IF(O252&lt;=90,"61-90 dias","Mais de 90 dias"))))</f>
        <v/>
      </c>
      <c r="O252">
        <f>IF(OR(M252="Pendente",M252="Em andamento"),IF(J252="","",TODAY()-J252),"")</f>
        <v/>
      </c>
      <c r="P252" t="n">
        <v>11059</v>
      </c>
      <c r="Q252" t="inlineStr">
        <is>
          <t>Frio Ltda (11059)</t>
        </is>
      </c>
      <c r="R252" t="inlineStr">
        <is>
          <t>PC-0034</t>
        </is>
      </c>
      <c r="S252" t="inlineStr">
        <is>
          <t>Regulador de pressão modelo 03</t>
        </is>
      </c>
      <c r="T252" t="n">
        <v>1</v>
      </c>
      <c r="U252" t="inlineStr"/>
      <c r="V252">
        <f>IF(J252="","",MONTH(J252))</f>
        <v/>
      </c>
      <c r="W252">
        <f>IF(J252="","",YEAR(J252))</f>
        <v/>
      </c>
      <c r="X252" t="inlineStr"/>
      <c r="Y252">
        <f>IFERROR(INDEX(Rastreio!$H$2:$H$200,MATCH(X252&amp;"|"&amp;U252,Rastreio!$A$2:$A$200,0)),"")</f>
        <v/>
      </c>
    </row>
    <row r="253">
      <c r="A253">
        <f>IFERROR(INDEX(STAs!$G$2:$G$61,MATCH(P253,STAs!$F$2:$F$61,0))&amp;"","")</f>
        <v/>
      </c>
      <c r="B253" t="n">
        <v>20020816</v>
      </c>
      <c r="C253" t="inlineStr">
        <is>
          <t>Não</t>
        </is>
      </c>
      <c r="D253" t="inlineStr">
        <is>
          <t>TO</t>
        </is>
      </c>
      <c r="E253" t="inlineStr">
        <is>
          <t>NORTE</t>
        </is>
      </c>
      <c r="F253" t="inlineStr">
        <is>
          <t>Cliente C - Misturador</t>
        </is>
      </c>
      <c r="G253" t="inlineStr">
        <is>
          <t>Refrigeradores</t>
        </is>
      </c>
      <c r="H253" s="10" t="n">
        <v>30</v>
      </c>
      <c r="I253" s="10">
        <f>IFERROR(T253*H253,0)</f>
        <v/>
      </c>
      <c r="J253" s="11" t="n">
        <v>45950</v>
      </c>
      <c r="K253" s="11" t="n"/>
      <c r="L253" t="inlineStr">
        <is>
          <t>Não Devolve-Norte</t>
        </is>
      </c>
      <c r="M253">
        <f>IF(L253="","",IFERROR(VLOOKUP(L253,mapGrupoStatus,2,0),"Outros"))</f>
        <v/>
      </c>
      <c r="N253">
        <f>IF(O253="","",IF(O253&lt;=30,"0-30 dias",IF(O253&lt;=60,"31-60 dias",IF(O253&lt;=90,"61-90 dias","Mais de 90 dias"))))</f>
        <v/>
      </c>
      <c r="O253">
        <f>IF(OR(M253="Pendente",M253="Em andamento"),IF(J253="","",TODAY()-J253),"")</f>
        <v/>
      </c>
      <c r="P253" t="n">
        <v>10939</v>
      </c>
      <c r="Q253" t="inlineStr">
        <is>
          <t>Zero Grau Manutenção (10939)</t>
        </is>
      </c>
      <c r="R253" t="inlineStr">
        <is>
          <t>PC-0025</t>
        </is>
      </c>
      <c r="S253" t="inlineStr">
        <is>
          <t>Relé de partida modelo 03</t>
        </is>
      </c>
      <c r="T253" t="n">
        <v>1</v>
      </c>
      <c r="U253" t="inlineStr"/>
      <c r="V253">
        <f>IF(J253="","",MONTH(J253))</f>
        <v/>
      </c>
      <c r="W253">
        <f>IF(J253="","",YEAR(J253))</f>
        <v/>
      </c>
      <c r="X253" t="inlineStr"/>
      <c r="Y253">
        <f>IFERROR(INDEX(Rastreio!$H$2:$H$200,MATCH(X253&amp;"|"&amp;U253,Rastreio!$A$2:$A$200,0)),"")</f>
        <v/>
      </c>
    </row>
    <row r="254">
      <c r="A254">
        <f>IFERROR(INDEX(STAs!$G$2:$G$61,MATCH(P254,STAs!$F$2:$F$61,0))&amp;"","")</f>
        <v/>
      </c>
      <c r="B254" t="n">
        <v>20029367</v>
      </c>
      <c r="C254" t="inlineStr">
        <is>
          <t>Não</t>
        </is>
      </c>
      <c r="D254" t="inlineStr">
        <is>
          <t>RO</t>
        </is>
      </c>
      <c r="E254" t="inlineStr">
        <is>
          <t>NORTE</t>
        </is>
      </c>
      <c r="F254" t="inlineStr">
        <is>
          <t>Cliente A - Refrigerador</t>
        </is>
      </c>
      <c r="G254" t="inlineStr">
        <is>
          <t>Refrigeradores</t>
        </is>
      </c>
      <c r="H254" s="10" t="n">
        <v>45</v>
      </c>
      <c r="I254" s="10">
        <f>IFERROR(T254*H254,0)</f>
        <v/>
      </c>
      <c r="J254" s="11" t="n">
        <v>45950</v>
      </c>
      <c r="K254" s="11" t="n">
        <v>46003</v>
      </c>
      <c r="L254" t="inlineStr">
        <is>
          <t>Ok. Devolvida</t>
        </is>
      </c>
      <c r="M254">
        <f>IF(L254="","",IFERROR(VLOOKUP(L254,mapGrupoStatus,2,0),"Outros"))</f>
        <v/>
      </c>
      <c r="N254">
        <f>IF(O254="","",IF(O254&lt;=30,"0-30 dias",IF(O254&lt;=60,"31-60 dias",IF(O254&lt;=90,"61-90 dias","Mais de 90 dias"))))</f>
        <v/>
      </c>
      <c r="O254">
        <f>IF(OR(M254="Pendente",M254="Em andamento"),IF(J254="","",TODAY()-J254),"")</f>
        <v/>
      </c>
      <c r="P254" t="n">
        <v>12019</v>
      </c>
      <c r="Q254" t="inlineStr">
        <is>
          <t>Ártico Serviços (12019)</t>
        </is>
      </c>
      <c r="R254" t="inlineStr">
        <is>
          <t>PC-0018</t>
        </is>
      </c>
      <c r="S254" t="inlineStr">
        <is>
          <t>Gaxeta da porta modelo 01</t>
        </is>
      </c>
      <c r="T254" t="n">
        <v>3</v>
      </c>
      <c r="U254" t="n">
        <v>151</v>
      </c>
      <c r="V254">
        <f>IF(J254="","",MONTH(J254))</f>
        <v/>
      </c>
      <c r="W254">
        <f>IF(J254="","",YEAR(J254))</f>
        <v/>
      </c>
      <c r="X254" t="inlineStr">
        <is>
          <t>TransNorte</t>
        </is>
      </c>
      <c r="Y254">
        <f>IFERROR(INDEX(Rastreio!$H$2:$H$200,MATCH(X254&amp;"|"&amp;U254,Rastreio!$A$2:$A$200,0)),"")</f>
        <v/>
      </c>
    </row>
    <row r="255">
      <c r="A255">
        <f>IFERROR(INDEX(STAs!$G$2:$G$61,MATCH(P255,STAs!$F$2:$F$61,0))&amp;"","")</f>
        <v/>
      </c>
      <c r="B255" t="n">
        <v>20029612</v>
      </c>
      <c r="C255" t="inlineStr">
        <is>
          <t>Não</t>
        </is>
      </c>
      <c r="D255" t="inlineStr">
        <is>
          <t>SP</t>
        </is>
      </c>
      <c r="E255" t="inlineStr">
        <is>
          <t>SUDESTE SP</t>
        </is>
      </c>
      <c r="F255" t="inlineStr">
        <is>
          <t>Cliente B - Chopeira</t>
        </is>
      </c>
      <c r="G255" t="inlineStr">
        <is>
          <t>Chopeiras</t>
        </is>
      </c>
      <c r="H255" s="10" t="n">
        <v>205</v>
      </c>
      <c r="I255" s="10">
        <f>IFERROR(T255*H255,0)</f>
        <v/>
      </c>
      <c r="J255" s="11" t="n">
        <v>45950</v>
      </c>
      <c r="K255" s="11" t="n">
        <v>46003</v>
      </c>
      <c r="L255" t="inlineStr">
        <is>
          <t>Ok. Devolvida</t>
        </is>
      </c>
      <c r="M255">
        <f>IF(L255="","",IFERROR(VLOOKUP(L255,mapGrupoStatus,2,0),"Outros"))</f>
        <v/>
      </c>
      <c r="N255">
        <f>IF(O255="","",IF(O255&lt;=30,"0-30 dias",IF(O255&lt;=60,"31-60 dias",IF(O255&lt;=90,"61-90 dias","Mais de 90 dias"))))</f>
        <v/>
      </c>
      <c r="O255">
        <f>IF(OR(M255="Pendente",M255="Em andamento"),IF(J255="","",TODAY()-J255),"")</f>
        <v/>
      </c>
      <c r="P255" t="n">
        <v>11710</v>
      </c>
      <c r="Q255" t="inlineStr">
        <is>
          <t>Brisa &amp; Cia (11710)</t>
        </is>
      </c>
      <c r="R255" t="inlineStr">
        <is>
          <t>PC-0031</t>
        </is>
      </c>
      <c r="S255" t="inlineStr">
        <is>
          <t>Serpentina modelo 03</t>
        </is>
      </c>
      <c r="T255" t="n">
        <v>1</v>
      </c>
      <c r="U255" t="n">
        <v>146</v>
      </c>
      <c r="V255">
        <f>IF(J255="","",MONTH(J255))</f>
        <v/>
      </c>
      <c r="W255">
        <f>IF(J255="","",YEAR(J255))</f>
        <v/>
      </c>
      <c r="X255" t="inlineStr">
        <is>
          <t>ViaCargo</t>
        </is>
      </c>
      <c r="Y255">
        <f>IFERROR(INDEX(Rastreio!$H$2:$H$200,MATCH(X255&amp;"|"&amp;U255,Rastreio!$A$2:$A$200,0)),"")</f>
        <v/>
      </c>
    </row>
    <row r="256">
      <c r="A256">
        <f>IFERROR(INDEX(STAs!$G$2:$G$61,MATCH(P256,STAs!$F$2:$F$61,0))&amp;"","")</f>
        <v/>
      </c>
      <c r="B256" t="n">
        <v>20031025</v>
      </c>
      <c r="C256" t="inlineStr">
        <is>
          <t>Não</t>
        </is>
      </c>
      <c r="D256" t="inlineStr">
        <is>
          <t>ES</t>
        </is>
      </c>
      <c r="E256" t="inlineStr">
        <is>
          <t>SUDESTE RJ e ES</t>
        </is>
      </c>
      <c r="F256" t="inlineStr">
        <is>
          <t>Cliente B - Chopeira</t>
        </is>
      </c>
      <c r="G256" t="inlineStr">
        <is>
          <t>Chopeiras</t>
        </is>
      </c>
      <c r="H256" s="10" t="n">
        <v>215</v>
      </c>
      <c r="I256" s="10">
        <f>IFERROR(T256*H256,0)</f>
        <v/>
      </c>
      <c r="J256" s="11" t="n">
        <v>45950</v>
      </c>
      <c r="K256" s="11" t="n">
        <v>45975</v>
      </c>
      <c r="L256" t="inlineStr">
        <is>
          <t>Ok. Devolvida</t>
        </is>
      </c>
      <c r="M256">
        <f>IF(L256="","",IFERROR(VLOOKUP(L256,mapGrupoStatus,2,0),"Outros"))</f>
        <v/>
      </c>
      <c r="N256">
        <f>IF(O256="","",IF(O256&lt;=30,"0-30 dias",IF(O256&lt;=60,"31-60 dias",IF(O256&lt;=90,"61-90 dias","Mais de 90 dias"))))</f>
        <v/>
      </c>
      <c r="O256">
        <f>IF(OR(M256="Pendente",M256="Em andamento"),IF(J256="","",TODAY()-J256),"")</f>
        <v/>
      </c>
      <c r="P256" t="n">
        <v>12555</v>
      </c>
      <c r="Q256" t="inlineStr">
        <is>
          <t>Cool Service Serviços (12555)</t>
        </is>
      </c>
      <c r="R256" t="inlineStr">
        <is>
          <t>PC-0030</t>
        </is>
      </c>
      <c r="S256" t="inlineStr">
        <is>
          <t>Serpentina modelo 02</t>
        </is>
      </c>
      <c r="T256" t="n">
        <v>2</v>
      </c>
      <c r="U256" t="n">
        <v>154</v>
      </c>
      <c r="V256">
        <f>IF(J256="","",MONTH(J256))</f>
        <v/>
      </c>
      <c r="W256">
        <f>IF(J256="","",YEAR(J256))</f>
        <v/>
      </c>
      <c r="X256" t="inlineStr">
        <is>
          <t>TransNorte</t>
        </is>
      </c>
      <c r="Y256">
        <f>IFERROR(INDEX(Rastreio!$H$2:$H$200,MATCH(X256&amp;"|"&amp;U256,Rastreio!$A$2:$A$200,0)),"")</f>
        <v/>
      </c>
    </row>
    <row r="257">
      <c r="A257">
        <f>IFERROR(INDEX(STAs!$G$2:$G$61,MATCH(P257,STAs!$F$2:$F$61,0))&amp;"","")</f>
        <v/>
      </c>
      <c r="B257" t="n">
        <v>20034495</v>
      </c>
      <c r="C257" t="inlineStr">
        <is>
          <t>Não</t>
        </is>
      </c>
      <c r="D257" t="inlineStr">
        <is>
          <t>SP</t>
        </is>
      </c>
      <c r="E257" t="inlineStr">
        <is>
          <t>SUDESTE SP</t>
        </is>
      </c>
      <c r="F257" t="inlineStr">
        <is>
          <t>Cliente C - Misturador</t>
        </is>
      </c>
      <c r="G257" t="inlineStr">
        <is>
          <t>Misturadores</t>
        </is>
      </c>
      <c r="H257" s="10" t="n">
        <v>265</v>
      </c>
      <c r="I257" s="10">
        <f>IFERROR(T257*H257,0)</f>
        <v/>
      </c>
      <c r="J257" s="11" t="n">
        <v>45950</v>
      </c>
      <c r="K257" s="11" t="n"/>
      <c r="L257" t="inlineStr">
        <is>
          <t>NPD</t>
        </is>
      </c>
      <c r="M257">
        <f>IF(L257="","",IFERROR(VLOOKUP(L257,mapGrupoStatus,2,0),"Outros"))</f>
        <v/>
      </c>
      <c r="N257">
        <f>IF(O257="","",IF(O257&lt;=30,"0-30 dias",IF(O257&lt;=60,"31-60 dias",IF(O257&lt;=90,"61-90 dias","Mais de 90 dias"))))</f>
        <v/>
      </c>
      <c r="O257">
        <f>IF(OR(M257="Pendente",M257="Em andamento"),IF(J257="","",TODAY()-J257),"")</f>
        <v/>
      </c>
      <c r="P257" t="n">
        <v>11710</v>
      </c>
      <c r="Q257" t="inlineStr">
        <is>
          <t>Brisa &amp; Cia (11710)</t>
        </is>
      </c>
      <c r="R257" t="inlineStr">
        <is>
          <t>PC-0038</t>
        </is>
      </c>
      <c r="S257" t="inlineStr">
        <is>
          <t>Bomba de recirculação modelo 02</t>
        </is>
      </c>
      <c r="T257" t="n">
        <v>1</v>
      </c>
      <c r="U257" t="inlineStr"/>
      <c r="V257">
        <f>IF(J257="","",MONTH(J257))</f>
        <v/>
      </c>
      <c r="W257">
        <f>IF(J257="","",YEAR(J257))</f>
        <v/>
      </c>
      <c r="X257" t="inlineStr"/>
      <c r="Y257">
        <f>IFERROR(INDEX(Rastreio!$H$2:$H$200,MATCH(X257&amp;"|"&amp;U257,Rastreio!$A$2:$A$200,0)),"")</f>
        <v/>
      </c>
    </row>
    <row r="258">
      <c r="A258">
        <f>IFERROR(INDEX(STAs!$G$2:$G$61,MATCH(P258,STAs!$F$2:$F$61,0))&amp;"","")</f>
        <v/>
      </c>
      <c r="B258" t="n">
        <v>20037327</v>
      </c>
      <c r="C258" t="inlineStr">
        <is>
          <t>Não</t>
        </is>
      </c>
      <c r="D258" t="inlineStr">
        <is>
          <t>MG</t>
        </is>
      </c>
      <c r="E258" t="inlineStr">
        <is>
          <t>SUDESTE MG</t>
        </is>
      </c>
      <c r="F258" t="inlineStr">
        <is>
          <t>Cliente B - Chopeira</t>
        </is>
      </c>
      <c r="G258" t="inlineStr">
        <is>
          <t>Misturadores</t>
        </is>
      </c>
      <c r="H258" s="10" t="n">
        <v>255</v>
      </c>
      <c r="I258" s="10">
        <f>IFERROR(T258*H258,0)</f>
        <v/>
      </c>
      <c r="J258" s="11" t="n">
        <v>45950</v>
      </c>
      <c r="K258" s="11" t="n">
        <v>45968</v>
      </c>
      <c r="L258" t="inlineStr">
        <is>
          <t>Ok. Devolvida</t>
        </is>
      </c>
      <c r="M258">
        <f>IF(L258="","",IFERROR(VLOOKUP(L258,mapGrupoStatus,2,0),"Outros"))</f>
        <v/>
      </c>
      <c r="N258">
        <f>IF(O258="","",IF(O258&lt;=30,"0-30 dias",IF(O258&lt;=60,"31-60 dias",IF(O258&lt;=90,"61-90 dias","Mais de 90 dias"))))</f>
        <v/>
      </c>
      <c r="O258">
        <f>IF(OR(M258="Pendente",M258="Em andamento"),IF(J258="","",TODAY()-J258),"")</f>
        <v/>
      </c>
      <c r="P258" t="n">
        <v>12158</v>
      </c>
      <c r="Q258" t="inlineStr">
        <is>
          <t>Gelo Serviços (12158)</t>
        </is>
      </c>
      <c r="R258" t="inlineStr">
        <is>
          <t>PC-0037</t>
        </is>
      </c>
      <c r="S258" t="inlineStr">
        <is>
          <t>Bomba de recirculação modelo 01</t>
        </is>
      </c>
      <c r="T258" t="n">
        <v>1</v>
      </c>
      <c r="U258" t="n">
        <v>154</v>
      </c>
      <c r="V258">
        <f>IF(J258="","",MONTH(J258))</f>
        <v/>
      </c>
      <c r="W258">
        <f>IF(J258="","",YEAR(J258))</f>
        <v/>
      </c>
      <c r="X258" t="inlineStr">
        <is>
          <t>EntregaJá</t>
        </is>
      </c>
      <c r="Y258">
        <f>IFERROR(INDEX(Rastreio!$H$2:$H$200,MATCH(X258&amp;"|"&amp;U258,Rastreio!$A$2:$A$200,0)),"")</f>
        <v/>
      </c>
    </row>
    <row r="259">
      <c r="A259">
        <f>IFERROR(INDEX(STAs!$G$2:$G$61,MATCH(P259,STAs!$F$2:$F$61,0))&amp;"","")</f>
        <v/>
      </c>
      <c r="B259" t="n">
        <v>20015728</v>
      </c>
      <c r="C259" t="inlineStr">
        <is>
          <t>Não</t>
        </is>
      </c>
      <c r="D259" t="inlineStr">
        <is>
          <t>AC</t>
        </is>
      </c>
      <c r="E259" t="inlineStr">
        <is>
          <t>NORTE</t>
        </is>
      </c>
      <c r="F259" t="inlineStr">
        <is>
          <t>Cliente A - Refrigerador</t>
        </is>
      </c>
      <c r="G259" t="inlineStr">
        <is>
          <t>Refrigeradores</t>
        </is>
      </c>
      <c r="H259" s="10" t="n">
        <v>155</v>
      </c>
      <c r="I259" s="10">
        <f>IFERROR(T259*H259,0)</f>
        <v/>
      </c>
      <c r="J259" s="11" t="n">
        <v>45951</v>
      </c>
      <c r="K259" s="11" t="n"/>
      <c r="L259" t="inlineStr">
        <is>
          <t>Não Devolve-Norte</t>
        </is>
      </c>
      <c r="M259">
        <f>IF(L259="","",IFERROR(VLOOKUP(L259,mapGrupoStatus,2,0),"Outros"))</f>
        <v/>
      </c>
      <c r="N259">
        <f>IF(O259="","",IF(O259&lt;=30,"0-30 dias",IF(O259&lt;=60,"31-60 dias",IF(O259&lt;=90,"61-90 dias","Mais de 90 dias"))))</f>
        <v/>
      </c>
      <c r="O259">
        <f>IF(OR(M259="Pendente",M259="Em andamento"),IF(J259="","",TODAY()-J259),"")</f>
        <v/>
      </c>
      <c r="P259" t="n">
        <v>10372</v>
      </c>
      <c r="Q259" t="inlineStr">
        <is>
          <t>Zero Grau ME (10372)</t>
        </is>
      </c>
      <c r="R259" t="inlineStr">
        <is>
          <t>PC-0021</t>
        </is>
      </c>
      <c r="S259" t="inlineStr">
        <is>
          <t>Controlador digital modelo 01</t>
        </is>
      </c>
      <c r="T259" t="n">
        <v>1</v>
      </c>
      <c r="U259" t="inlineStr"/>
      <c r="V259">
        <f>IF(J259="","",MONTH(J259))</f>
        <v/>
      </c>
      <c r="W259">
        <f>IF(J259="","",YEAR(J259))</f>
        <v/>
      </c>
      <c r="X259" t="inlineStr"/>
      <c r="Y259">
        <f>IFERROR(INDEX(Rastreio!$H$2:$H$200,MATCH(X259&amp;"|"&amp;U259,Rastreio!$A$2:$A$200,0)),"")</f>
        <v/>
      </c>
    </row>
    <row r="260">
      <c r="A260">
        <f>IFERROR(INDEX(STAs!$G$2:$G$61,MATCH(P260,STAs!$F$2:$F$61,0))&amp;"","")</f>
        <v/>
      </c>
      <c r="B260" t="n">
        <v>20017447</v>
      </c>
      <c r="C260" t="inlineStr">
        <is>
          <t>Não</t>
        </is>
      </c>
      <c r="D260" t="inlineStr">
        <is>
          <t>GO</t>
        </is>
      </c>
      <c r="E260" t="inlineStr">
        <is>
          <t>CENTRO OESTE</t>
        </is>
      </c>
      <c r="F260" t="inlineStr">
        <is>
          <t>Cliente A - Refrigerador</t>
        </is>
      </c>
      <c r="G260" t="inlineStr">
        <is>
          <t>Refrigeradores</t>
        </is>
      </c>
      <c r="H260" s="10" t="n">
        <v>155</v>
      </c>
      <c r="I260" s="10">
        <f>IFERROR(T260*H260,0)</f>
        <v/>
      </c>
      <c r="J260" s="11" t="n">
        <v>45951</v>
      </c>
      <c r="K260" s="11" t="n"/>
      <c r="L260" t="inlineStr">
        <is>
          <t>Aguardando devolução</t>
        </is>
      </c>
      <c r="M260">
        <f>IF(L260="","",IFERROR(VLOOKUP(L260,mapGrupoStatus,2,0),"Outros"))</f>
        <v/>
      </c>
      <c r="N260">
        <f>IF(O260="","",IF(O260&lt;=30,"0-30 dias",IF(O260&lt;=60,"31-60 dias",IF(O260&lt;=90,"61-90 dias","Mais de 90 dias"))))</f>
        <v/>
      </c>
      <c r="O260">
        <f>IF(OR(M260="Pendente",M260="Em andamento"),IF(J260="","",TODAY()-J260),"")</f>
        <v/>
      </c>
      <c r="P260" t="n">
        <v>11293</v>
      </c>
      <c r="Q260" t="inlineStr">
        <is>
          <t>Assistência Técnica Ltda (11293)</t>
        </is>
      </c>
      <c r="R260" t="inlineStr">
        <is>
          <t>PC-0021</t>
        </is>
      </c>
      <c r="S260" t="inlineStr">
        <is>
          <t>Controlador digital modelo 01</t>
        </is>
      </c>
      <c r="T260" t="n">
        <v>1</v>
      </c>
      <c r="U260" t="inlineStr"/>
      <c r="V260">
        <f>IF(J260="","",MONTH(J260))</f>
        <v/>
      </c>
      <c r="W260">
        <f>IF(J260="","",YEAR(J260))</f>
        <v/>
      </c>
      <c r="X260" t="inlineStr"/>
      <c r="Y260">
        <f>IFERROR(INDEX(Rastreio!$H$2:$H$200,MATCH(X260&amp;"|"&amp;U260,Rastreio!$A$2:$A$200,0)),"")</f>
        <v/>
      </c>
    </row>
    <row r="261">
      <c r="A261">
        <f>IFERROR(INDEX(STAs!$G$2:$G$61,MATCH(P261,STAs!$F$2:$F$61,0))&amp;"","")</f>
        <v/>
      </c>
      <c r="B261" t="n">
        <v>20019849</v>
      </c>
      <c r="C261" t="inlineStr">
        <is>
          <t>Não</t>
        </is>
      </c>
      <c r="D261" t="inlineStr">
        <is>
          <t>MS</t>
        </is>
      </c>
      <c r="E261" t="inlineStr">
        <is>
          <t>CENTRO OESTE</t>
        </is>
      </c>
      <c r="F261" t="inlineStr">
        <is>
          <t>Cliente A - Refrigerador</t>
        </is>
      </c>
      <c r="G261" t="inlineStr">
        <is>
          <t>Refrigeradores</t>
        </is>
      </c>
      <c r="H261" s="10" t="n">
        <v>35</v>
      </c>
      <c r="I261" s="10">
        <f>IFERROR(T261*H261,0)</f>
        <v/>
      </c>
      <c r="J261" s="11" t="n">
        <v>45951</v>
      </c>
      <c r="K261" s="11" t="n">
        <v>45983</v>
      </c>
      <c r="L261" t="inlineStr">
        <is>
          <t>Ok. Devolvida</t>
        </is>
      </c>
      <c r="M261">
        <f>IF(L261="","",IFERROR(VLOOKUP(L261,mapGrupoStatus,2,0),"Outros"))</f>
        <v/>
      </c>
      <c r="N261">
        <f>IF(O261="","",IF(O261&lt;=30,"0-30 dias",IF(O261&lt;=60,"31-60 dias",IF(O261&lt;=90,"61-90 dias","Mais de 90 dias"))))</f>
        <v/>
      </c>
      <c r="O261">
        <f>IF(OR(M261="Pendente",M261="Em andamento"),IF(J261="","",TODAY()-J261),"")</f>
        <v/>
      </c>
      <c r="P261" t="n">
        <v>12280</v>
      </c>
      <c r="Q261" t="inlineStr">
        <is>
          <t>Termotec &amp; Cia (12280)</t>
        </is>
      </c>
      <c r="R261" t="inlineStr">
        <is>
          <t>PC-0024</t>
        </is>
      </c>
      <c r="S261" t="inlineStr">
        <is>
          <t>Relé de partida modelo 02</t>
        </is>
      </c>
      <c r="T261" t="n">
        <v>1</v>
      </c>
      <c r="U261" t="n">
        <v>128</v>
      </c>
      <c r="V261">
        <f>IF(J261="","",MONTH(J261))</f>
        <v/>
      </c>
      <c r="W261">
        <f>IF(J261="","",YEAR(J261))</f>
        <v/>
      </c>
      <c r="X261" t="inlineStr">
        <is>
          <t>RotaSul</t>
        </is>
      </c>
      <c r="Y261">
        <f>IFERROR(INDEX(Rastreio!$H$2:$H$200,MATCH(X261&amp;"|"&amp;U261,Rastreio!$A$2:$A$200,0)),"")</f>
        <v/>
      </c>
    </row>
    <row r="262">
      <c r="A262">
        <f>IFERROR(INDEX(STAs!$G$2:$G$61,MATCH(P262,STAs!$F$2:$F$61,0))&amp;"","")</f>
        <v/>
      </c>
      <c r="B262" t="n">
        <v>20021457</v>
      </c>
      <c r="C262" t="inlineStr">
        <is>
          <t>Não</t>
        </is>
      </c>
      <c r="D262" t="inlineStr">
        <is>
          <t>MS</t>
        </is>
      </c>
      <c r="E262" t="inlineStr">
        <is>
          <t>CENTRO OESTE</t>
        </is>
      </c>
      <c r="F262" t="inlineStr">
        <is>
          <t>Cliente B - Chopeira</t>
        </is>
      </c>
      <c r="G262" t="inlineStr">
        <is>
          <t>Refrigeradores</t>
        </is>
      </c>
      <c r="H262" s="10" t="n">
        <v>45</v>
      </c>
      <c r="I262" s="10">
        <f>IFERROR(T262*H262,0)</f>
        <v/>
      </c>
      <c r="J262" s="11" t="n">
        <v>45951</v>
      </c>
      <c r="K262" s="11" t="n">
        <v>45979</v>
      </c>
      <c r="L262" t="inlineStr">
        <is>
          <t>Ok. Devolvida</t>
        </is>
      </c>
      <c r="M262">
        <f>IF(L262="","",IFERROR(VLOOKUP(L262,mapGrupoStatus,2,0),"Outros"))</f>
        <v/>
      </c>
      <c r="N262">
        <f>IF(O262="","",IF(O262&lt;=30,"0-30 dias",IF(O262&lt;=60,"31-60 dias",IF(O262&lt;=90,"61-90 dias","Mais de 90 dias"))))</f>
        <v/>
      </c>
      <c r="O262">
        <f>IF(OR(M262="Pendente",M262="Em andamento"),IF(J262="","",TODAY()-J262),"")</f>
        <v/>
      </c>
      <c r="P262" t="n">
        <v>10302</v>
      </c>
      <c r="Q262" t="inlineStr">
        <is>
          <t>Ice Tech Express (10302)</t>
        </is>
      </c>
      <c r="R262" t="inlineStr">
        <is>
          <t>PC-0018</t>
        </is>
      </c>
      <c r="S262" t="inlineStr">
        <is>
          <t>Gaxeta da porta modelo 01</t>
        </is>
      </c>
      <c r="T262" t="n">
        <v>1</v>
      </c>
      <c r="U262" t="n">
        <v>138</v>
      </c>
      <c r="V262">
        <f>IF(J262="","",MONTH(J262))</f>
        <v/>
      </c>
      <c r="W262">
        <f>IF(J262="","",YEAR(J262))</f>
        <v/>
      </c>
      <c r="X262" t="inlineStr">
        <is>
          <t>LogExpress</t>
        </is>
      </c>
      <c r="Y262">
        <f>IFERROR(INDEX(Rastreio!$H$2:$H$200,MATCH(X262&amp;"|"&amp;U262,Rastreio!$A$2:$A$200,0)),"")</f>
        <v/>
      </c>
    </row>
    <row r="263">
      <c r="A263">
        <f>IFERROR(INDEX(STAs!$G$2:$G$61,MATCH(P263,STAs!$F$2:$F$61,0))&amp;"","")</f>
        <v/>
      </c>
      <c r="B263" t="n">
        <v>20024428</v>
      </c>
      <c r="C263" t="inlineStr">
        <is>
          <t>Não</t>
        </is>
      </c>
      <c r="D263" t="inlineStr">
        <is>
          <t>PI</t>
        </is>
      </c>
      <c r="E263" t="inlineStr">
        <is>
          <t>NORDESTE</t>
        </is>
      </c>
      <c r="F263" t="inlineStr">
        <is>
          <t>Cliente C - Misturador</t>
        </is>
      </c>
      <c r="G263" t="inlineStr">
        <is>
          <t>Misturadores</t>
        </is>
      </c>
      <c r="H263" s="10" t="n">
        <v>60</v>
      </c>
      <c r="I263" s="10">
        <f>IFERROR(T263*H263,0)</f>
        <v/>
      </c>
      <c r="J263" s="11" t="n">
        <v>45951</v>
      </c>
      <c r="K263" s="11" t="n">
        <v>45990</v>
      </c>
      <c r="L263" t="inlineStr">
        <is>
          <t>Ok. Devolvida</t>
        </is>
      </c>
      <c r="M263">
        <f>IF(L263="","",IFERROR(VLOOKUP(L263,mapGrupoStatus,2,0),"Outros"))</f>
        <v/>
      </c>
      <c r="N263">
        <f>IF(O263="","",IF(O263&lt;=30,"0-30 dias",IF(O263&lt;=60,"31-60 dias",IF(O263&lt;=90,"61-90 dias","Mais de 90 dias"))))</f>
        <v/>
      </c>
      <c r="O263">
        <f>IF(OR(M263="Pendente",M263="Em andamento"),IF(J263="","",TODAY()-J263),"")</f>
        <v/>
      </c>
      <c r="P263" t="n">
        <v>10562</v>
      </c>
      <c r="Q263" t="inlineStr">
        <is>
          <t>Clima &amp; Cia (10562)</t>
        </is>
      </c>
      <c r="R263" t="inlineStr">
        <is>
          <t>PC-0046</t>
        </is>
      </c>
      <c r="S263" t="inlineStr">
        <is>
          <t>Sensor de nível modelo 02</t>
        </is>
      </c>
      <c r="T263" t="n">
        <v>1</v>
      </c>
      <c r="U263" t="n">
        <v>142</v>
      </c>
      <c r="V263">
        <f>IF(J263="","",MONTH(J263))</f>
        <v/>
      </c>
      <c r="W263">
        <f>IF(J263="","",YEAR(J263))</f>
        <v/>
      </c>
      <c r="X263" t="inlineStr">
        <is>
          <t>CargoMax</t>
        </is>
      </c>
      <c r="Y263">
        <f>IFERROR(INDEX(Rastreio!$H$2:$H$200,MATCH(X263&amp;"|"&amp;U263,Rastreio!$A$2:$A$200,0)),"")</f>
        <v/>
      </c>
    </row>
    <row r="264">
      <c r="A264">
        <f>IFERROR(INDEX(STAs!$G$2:$G$61,MATCH(P264,STAs!$F$2:$F$61,0))&amp;"","")</f>
        <v/>
      </c>
      <c r="B264" t="n">
        <v>20026927</v>
      </c>
      <c r="C264" t="inlineStr">
        <is>
          <t>Não</t>
        </is>
      </c>
      <c r="D264" t="inlineStr">
        <is>
          <t>RS</t>
        </is>
      </c>
      <c r="E264" t="inlineStr">
        <is>
          <t>SUL</t>
        </is>
      </c>
      <c r="F264" t="inlineStr">
        <is>
          <t>Cliente A - Refrigerador</t>
        </is>
      </c>
      <c r="G264" t="inlineStr">
        <is>
          <t>Refrigeradores</t>
        </is>
      </c>
      <c r="H264" s="10" t="n">
        <v>45</v>
      </c>
      <c r="I264" s="10">
        <f>IFERROR(T264*H264,0)</f>
        <v/>
      </c>
      <c r="J264" s="11" t="n">
        <v>45951</v>
      </c>
      <c r="K264" s="11" t="n">
        <v>45980</v>
      </c>
      <c r="L264" t="inlineStr">
        <is>
          <t>Ok. Devolvida</t>
        </is>
      </c>
      <c r="M264">
        <f>IF(L264="","",IFERROR(VLOOKUP(L264,mapGrupoStatus,2,0),"Outros"))</f>
        <v/>
      </c>
      <c r="N264">
        <f>IF(O264="","",IF(O264&lt;=30,"0-30 dias",IF(O264&lt;=60,"31-60 dias",IF(O264&lt;=90,"61-90 dias","Mais de 90 dias"))))</f>
        <v/>
      </c>
      <c r="O264">
        <f>IF(OR(M264="Pendente",M264="Em andamento"),IF(J264="","",TODAY()-J264),"")</f>
        <v/>
      </c>
      <c r="P264" t="n">
        <v>11459</v>
      </c>
      <c r="Q264" t="inlineStr">
        <is>
          <t>Frio ME (11459)</t>
        </is>
      </c>
      <c r="R264" t="inlineStr">
        <is>
          <t>PC-0018</t>
        </is>
      </c>
      <c r="S264" t="inlineStr">
        <is>
          <t>Gaxeta da porta modelo 01</t>
        </is>
      </c>
      <c r="T264" t="n">
        <v>1</v>
      </c>
      <c r="U264" t="n">
        <v>138</v>
      </c>
      <c r="V264">
        <f>IF(J264="","",MONTH(J264))</f>
        <v/>
      </c>
      <c r="W264">
        <f>IF(J264="","",YEAR(J264))</f>
        <v/>
      </c>
      <c r="X264" t="inlineStr">
        <is>
          <t>EntregaJá</t>
        </is>
      </c>
      <c r="Y264">
        <f>IFERROR(INDEX(Rastreio!$H$2:$H$200,MATCH(X264&amp;"|"&amp;U264,Rastreio!$A$2:$A$200,0)),"")</f>
        <v/>
      </c>
    </row>
    <row r="265">
      <c r="A265">
        <f>IFERROR(INDEX(STAs!$G$2:$G$61,MATCH(P265,STAs!$F$2:$F$61,0))&amp;"","")</f>
        <v/>
      </c>
      <c r="B265" t="n">
        <v>20029338</v>
      </c>
      <c r="C265" t="inlineStr">
        <is>
          <t>Sim</t>
        </is>
      </c>
      <c r="D265" t="inlineStr">
        <is>
          <t>PR</t>
        </is>
      </c>
      <c r="E265" t="inlineStr">
        <is>
          <t>SUL</t>
        </is>
      </c>
      <c r="F265" t="inlineStr">
        <is>
          <t>Cliente B - Chopeira</t>
        </is>
      </c>
      <c r="G265" t="inlineStr">
        <is>
          <t>Misturadores</t>
        </is>
      </c>
      <c r="H265" s="10" t="n">
        <v>200</v>
      </c>
      <c r="I265" s="10">
        <f>IFERROR(T265*H265,0)</f>
        <v/>
      </c>
      <c r="J265" s="11" t="n">
        <v>45951</v>
      </c>
      <c r="K265" s="11" t="n">
        <v>45966</v>
      </c>
      <c r="L265" t="inlineStr">
        <is>
          <t>Ok. Devolvida</t>
        </is>
      </c>
      <c r="M265">
        <f>IF(L265="","",IFERROR(VLOOKUP(L265,mapGrupoStatus,2,0),"Outros"))</f>
        <v/>
      </c>
      <c r="N265">
        <f>IF(O265="","",IF(O265&lt;=30,"0-30 dias",IF(O265&lt;=60,"31-60 dias",IF(O265&lt;=90,"61-90 dias","Mais de 90 dias"))))</f>
        <v/>
      </c>
      <c r="O265">
        <f>IF(OR(M265="Pendente",M265="Em andamento"),IF(J265="","",TODAY()-J265),"")</f>
        <v/>
      </c>
      <c r="P265" t="n">
        <v>12724</v>
      </c>
      <c r="Q265" t="inlineStr">
        <is>
          <t>Cool Service &amp; Cia (12724)</t>
        </is>
      </c>
      <c r="R265" t="inlineStr">
        <is>
          <t>PC-0040</t>
        </is>
      </c>
      <c r="S265" t="inlineStr">
        <is>
          <t>Motor agitador modelo 01</t>
        </is>
      </c>
      <c r="T265" t="n">
        <v>1</v>
      </c>
      <c r="U265" t="n">
        <v>155</v>
      </c>
      <c r="V265">
        <f>IF(J265="","",MONTH(J265))</f>
        <v/>
      </c>
      <c r="W265">
        <f>IF(J265="","",YEAR(J265))</f>
        <v/>
      </c>
      <c r="X265" t="inlineStr">
        <is>
          <t>LogExpress</t>
        </is>
      </c>
      <c r="Y265">
        <f>IFERROR(INDEX(Rastreio!$H$2:$H$200,MATCH(X265&amp;"|"&amp;U265,Rastreio!$A$2:$A$200,0)),"")</f>
        <v/>
      </c>
    </row>
    <row r="266">
      <c r="A266">
        <f>IFERROR(INDEX(STAs!$G$2:$G$61,MATCH(P266,STAs!$F$2:$F$61,0))&amp;"","")</f>
        <v/>
      </c>
      <c r="B266" t="n">
        <v>20035010</v>
      </c>
      <c r="C266" t="inlineStr">
        <is>
          <t>Não</t>
        </is>
      </c>
      <c r="D266" t="inlineStr">
        <is>
          <t>RO</t>
        </is>
      </c>
      <c r="E266" t="inlineStr">
        <is>
          <t>NORTE</t>
        </is>
      </c>
      <c r="F266" t="inlineStr">
        <is>
          <t>Cliente C - Misturador</t>
        </is>
      </c>
      <c r="G266" t="inlineStr">
        <is>
          <t>Chopeiras</t>
        </is>
      </c>
      <c r="H266" s="10" t="n">
        <v>205</v>
      </c>
      <c r="I266" s="10">
        <f>IFERROR(T266*H266,0)</f>
        <v/>
      </c>
      <c r="J266" s="11" t="n">
        <v>45951</v>
      </c>
      <c r="K266" s="11" t="n"/>
      <c r="L266" t="inlineStr">
        <is>
          <t>Não Devolve-Norte</t>
        </is>
      </c>
      <c r="M266">
        <f>IF(L266="","",IFERROR(VLOOKUP(L266,mapGrupoStatus,2,0),"Outros"))</f>
        <v/>
      </c>
      <c r="N266">
        <f>IF(O266="","",IF(O266&lt;=30,"0-30 dias",IF(O266&lt;=60,"31-60 dias",IF(O266&lt;=90,"61-90 dias","Mais de 90 dias"))))</f>
        <v/>
      </c>
      <c r="O266">
        <f>IF(OR(M266="Pendente",M266="Em andamento"),IF(J266="","",TODAY()-J266),"")</f>
        <v/>
      </c>
      <c r="P266" t="n">
        <v>10172</v>
      </c>
      <c r="Q266" t="inlineStr">
        <is>
          <t>Frigo Serviços (10172)</t>
        </is>
      </c>
      <c r="R266" t="inlineStr">
        <is>
          <t>PC-0031</t>
        </is>
      </c>
      <c r="S266" t="inlineStr">
        <is>
          <t>Serpentina modelo 03</t>
        </is>
      </c>
      <c r="T266" t="n">
        <v>1</v>
      </c>
      <c r="U266" t="inlineStr"/>
      <c r="V266">
        <f>IF(J266="","",MONTH(J266))</f>
        <v/>
      </c>
      <c r="W266">
        <f>IF(J266="","",YEAR(J266))</f>
        <v/>
      </c>
      <c r="X266" t="inlineStr"/>
      <c r="Y266">
        <f>IFERROR(INDEX(Rastreio!$H$2:$H$200,MATCH(X266&amp;"|"&amp;U266,Rastreio!$A$2:$A$200,0)),"")</f>
        <v/>
      </c>
    </row>
    <row r="267">
      <c r="A267">
        <f>IFERROR(INDEX(STAs!$G$2:$G$61,MATCH(P267,STAs!$F$2:$F$61,0))&amp;"","")</f>
        <v/>
      </c>
      <c r="B267" t="n">
        <v>20037846</v>
      </c>
      <c r="C267" t="inlineStr">
        <is>
          <t>Não</t>
        </is>
      </c>
      <c r="D267" t="inlineStr">
        <is>
          <t>MG</t>
        </is>
      </c>
      <c r="E267" t="inlineStr">
        <is>
          <t>SUDESTE MG</t>
        </is>
      </c>
      <c r="F267" t="inlineStr">
        <is>
          <t>Cliente C - Misturador</t>
        </is>
      </c>
      <c r="G267" t="inlineStr">
        <is>
          <t>Refrigeradores</t>
        </is>
      </c>
      <c r="H267" s="10" t="n">
        <v>30</v>
      </c>
      <c r="I267" s="10">
        <f>IFERROR(T267*H267,0)</f>
        <v/>
      </c>
      <c r="J267" s="11" t="n">
        <v>45951</v>
      </c>
      <c r="K267" s="11" t="n">
        <v>45993</v>
      </c>
      <c r="L267" t="inlineStr">
        <is>
          <t>Ok. Devolvida</t>
        </is>
      </c>
      <c r="M267">
        <f>IF(L267="","",IFERROR(VLOOKUP(L267,mapGrupoStatus,2,0),"Outros"))</f>
        <v/>
      </c>
      <c r="N267">
        <f>IF(O267="","",IF(O267&lt;=30,"0-30 dias",IF(O267&lt;=60,"31-60 dias",IF(O267&lt;=90,"61-90 dias","Mais de 90 dias"))))</f>
        <v/>
      </c>
      <c r="O267">
        <f>IF(OR(M267="Pendente",M267="Em andamento"),IF(J267="","",TODAY()-J267),"")</f>
        <v/>
      </c>
      <c r="P267" t="n">
        <v>11494</v>
      </c>
      <c r="Q267" t="inlineStr">
        <is>
          <t>Clima Técnica (11494)</t>
        </is>
      </c>
      <c r="R267" t="inlineStr">
        <is>
          <t>PC-0025</t>
        </is>
      </c>
      <c r="S267" t="inlineStr">
        <is>
          <t>Relé de partida modelo 03</t>
        </is>
      </c>
      <c r="T267" t="n">
        <v>1</v>
      </c>
      <c r="U267" t="n">
        <v>165</v>
      </c>
      <c r="V267">
        <f>IF(J267="","",MONTH(J267))</f>
        <v/>
      </c>
      <c r="W267">
        <f>IF(J267="","",YEAR(J267))</f>
        <v/>
      </c>
      <c r="X267" t="inlineStr">
        <is>
          <t>CargoMax</t>
        </is>
      </c>
      <c r="Y267">
        <f>IFERROR(INDEX(Rastreio!$H$2:$H$200,MATCH(X267&amp;"|"&amp;U267,Rastreio!$A$2:$A$200,0)),"")</f>
        <v/>
      </c>
    </row>
    <row r="268">
      <c r="A268">
        <f>IFERROR(INDEX(STAs!$G$2:$G$61,MATCH(P268,STAs!$F$2:$F$61,0))&amp;"","")</f>
        <v/>
      </c>
      <c r="B268" t="n">
        <v>20038127</v>
      </c>
      <c r="C268" t="inlineStr">
        <is>
          <t>Não</t>
        </is>
      </c>
      <c r="D268" t="inlineStr">
        <is>
          <t>MG</t>
        </is>
      </c>
      <c r="E268" t="inlineStr">
        <is>
          <t>SUDESTE MG</t>
        </is>
      </c>
      <c r="F268" t="inlineStr">
        <is>
          <t>Cliente A - Refrigerador</t>
        </is>
      </c>
      <c r="G268" t="inlineStr">
        <is>
          <t>Chopeiras</t>
        </is>
      </c>
      <c r="H268" s="10" t="n">
        <v>205</v>
      </c>
      <c r="I268" s="10">
        <f>IFERROR(T268*H268,0)</f>
        <v/>
      </c>
      <c r="J268" s="11" t="n">
        <v>45951</v>
      </c>
      <c r="K268" s="11" t="n">
        <v>45991</v>
      </c>
      <c r="L268" t="inlineStr">
        <is>
          <t>Ok. Devolvida</t>
        </is>
      </c>
      <c r="M268">
        <f>IF(L268="","",IFERROR(VLOOKUP(L268,mapGrupoStatus,2,0),"Outros"))</f>
        <v/>
      </c>
      <c r="N268">
        <f>IF(O268="","",IF(O268&lt;=30,"0-30 dias",IF(O268&lt;=60,"31-60 dias",IF(O268&lt;=90,"61-90 dias","Mais de 90 dias"))))</f>
        <v/>
      </c>
      <c r="O268">
        <f>IF(OR(M268="Pendente",M268="Em andamento"),IF(J268="","",TODAY()-J268),"")</f>
        <v/>
      </c>
      <c r="P268" t="n">
        <v>11494</v>
      </c>
      <c r="Q268" t="inlineStr">
        <is>
          <t>Clima Técnica (11494)</t>
        </is>
      </c>
      <c r="R268" t="inlineStr">
        <is>
          <t>PC-0031</t>
        </is>
      </c>
      <c r="S268" t="inlineStr">
        <is>
          <t>Serpentina modelo 03</t>
        </is>
      </c>
      <c r="T268" t="n">
        <v>1</v>
      </c>
      <c r="U268" t="n">
        <v>156</v>
      </c>
      <c r="V268">
        <f>IF(J268="","",MONTH(J268))</f>
        <v/>
      </c>
      <c r="W268">
        <f>IF(J268="","",YEAR(J268))</f>
        <v/>
      </c>
      <c r="X268" t="inlineStr">
        <is>
          <t>EntregaJá</t>
        </is>
      </c>
      <c r="Y268">
        <f>IFERROR(INDEX(Rastreio!$H$2:$H$200,MATCH(X268&amp;"|"&amp;U268,Rastreio!$A$2:$A$200,0)),"")</f>
        <v/>
      </c>
    </row>
    <row r="269">
      <c r="A269">
        <f>IFERROR(INDEX(STAs!$G$2:$G$61,MATCH(P269,STAs!$F$2:$F$61,0))&amp;"","")</f>
        <v/>
      </c>
      <c r="B269" t="n">
        <v>20007721</v>
      </c>
      <c r="C269" t="inlineStr">
        <is>
          <t>Não</t>
        </is>
      </c>
      <c r="D269" t="inlineStr">
        <is>
          <t>ES</t>
        </is>
      </c>
      <c r="E269" t="inlineStr">
        <is>
          <t>SUDESTE RJ e ES</t>
        </is>
      </c>
      <c r="F269" t="inlineStr">
        <is>
          <t>Cliente C - Misturador</t>
        </is>
      </c>
      <c r="G269" t="inlineStr">
        <is>
          <t>Refrigeradores</t>
        </is>
      </c>
      <c r="H269" s="10" t="n">
        <v>190</v>
      </c>
      <c r="I269" s="10">
        <f>IFERROR(T269*H269,0)</f>
        <v/>
      </c>
      <c r="J269" s="11" t="n">
        <v>45952</v>
      </c>
      <c r="K269" s="11" t="n">
        <v>45969</v>
      </c>
      <c r="L269" t="inlineStr">
        <is>
          <t>Ok. Devolvida</t>
        </is>
      </c>
      <c r="M269">
        <f>IF(L269="","",IFERROR(VLOOKUP(L269,mapGrupoStatus,2,0),"Outros"))</f>
        <v/>
      </c>
      <c r="N269">
        <f>IF(O269="","",IF(O269&lt;=30,"0-30 dias",IF(O269&lt;=60,"31-60 dias",IF(O269&lt;=90,"61-90 dias","Mais de 90 dias"))))</f>
        <v/>
      </c>
      <c r="O269">
        <f>IF(OR(M269="Pendente",M269="Em andamento"),IF(J269="","",TODAY()-J269),"")</f>
        <v/>
      </c>
      <c r="P269" t="n">
        <v>11396</v>
      </c>
      <c r="Q269" t="inlineStr">
        <is>
          <t>Frio Manutenção (11396)</t>
        </is>
      </c>
      <c r="R269" t="inlineStr">
        <is>
          <t>PC-0011</t>
        </is>
      </c>
      <c r="S269" t="inlineStr">
        <is>
          <t>Placa eletrônica modelo 01</t>
        </is>
      </c>
      <c r="T269" t="n">
        <v>2</v>
      </c>
      <c r="U269" t="n">
        <v>113</v>
      </c>
      <c r="V269">
        <f>IF(J269="","",MONTH(J269))</f>
        <v/>
      </c>
      <c r="W269">
        <f>IF(J269="","",YEAR(J269))</f>
        <v/>
      </c>
      <c r="X269" t="inlineStr">
        <is>
          <t>RotaSul</t>
        </is>
      </c>
      <c r="Y269">
        <f>IFERROR(INDEX(Rastreio!$H$2:$H$200,MATCH(X269&amp;"|"&amp;U269,Rastreio!$A$2:$A$200,0)),"")</f>
        <v/>
      </c>
    </row>
    <row r="270">
      <c r="A270">
        <f>IFERROR(INDEX(STAs!$G$2:$G$61,MATCH(P270,STAs!$F$2:$F$61,0))&amp;"","")</f>
        <v/>
      </c>
      <c r="B270" t="n">
        <v>20008018</v>
      </c>
      <c r="C270" t="inlineStr">
        <is>
          <t>Não</t>
        </is>
      </c>
      <c r="D270" t="inlineStr">
        <is>
          <t>GO</t>
        </is>
      </c>
      <c r="E270" t="inlineStr">
        <is>
          <t>CENTRO OESTE</t>
        </is>
      </c>
      <c r="F270" t="inlineStr">
        <is>
          <t>Cliente C - Misturador</t>
        </is>
      </c>
      <c r="G270" t="inlineStr">
        <is>
          <t>Refrigeradores</t>
        </is>
      </c>
      <c r="H270" s="10" t="n">
        <v>55</v>
      </c>
      <c r="I270" s="10">
        <f>IFERROR(T270*H270,0)</f>
        <v/>
      </c>
      <c r="J270" s="11" t="n">
        <v>45952</v>
      </c>
      <c r="K270" s="11" t="n"/>
      <c r="L270" t="inlineStr">
        <is>
          <t>Aguardando devolução</t>
        </is>
      </c>
      <c r="M270">
        <f>IF(L270="","",IFERROR(VLOOKUP(L270,mapGrupoStatus,2,0),"Outros"))</f>
        <v/>
      </c>
      <c r="N270">
        <f>IF(O270="","",IF(O270&lt;=30,"0-30 dias",IF(O270&lt;=60,"31-60 dias",IF(O270&lt;=90,"61-90 dias","Mais de 90 dias"))))</f>
        <v/>
      </c>
      <c r="O270">
        <f>IF(OR(M270="Pendente",M270="Em andamento"),IF(J270="","",TODAY()-J270),"")</f>
        <v/>
      </c>
      <c r="P270" t="n">
        <v>10317</v>
      </c>
      <c r="Q270" t="inlineStr">
        <is>
          <t>Termotec Manutenção (10317)</t>
        </is>
      </c>
      <c r="R270" t="inlineStr">
        <is>
          <t>PC-0007</t>
        </is>
      </c>
      <c r="S270" t="inlineStr">
        <is>
          <t>Ventilador modelo 01</t>
        </is>
      </c>
      <c r="T270" t="n">
        <v>2</v>
      </c>
      <c r="U270" t="inlineStr"/>
      <c r="V270">
        <f>IF(J270="","",MONTH(J270))</f>
        <v/>
      </c>
      <c r="W270">
        <f>IF(J270="","",YEAR(J270))</f>
        <v/>
      </c>
      <c r="X270" t="inlineStr"/>
      <c r="Y270">
        <f>IFERROR(INDEX(Rastreio!$H$2:$H$200,MATCH(X270&amp;"|"&amp;U270,Rastreio!$A$2:$A$200,0)),"")</f>
        <v/>
      </c>
    </row>
    <row r="271">
      <c r="A271">
        <f>IFERROR(INDEX(STAs!$G$2:$G$61,MATCH(P271,STAs!$F$2:$F$61,0))&amp;"","")</f>
        <v/>
      </c>
      <c r="B271" t="n">
        <v>20008779</v>
      </c>
      <c r="C271" t="inlineStr">
        <is>
          <t>Não</t>
        </is>
      </c>
      <c r="D271" t="inlineStr">
        <is>
          <t>MS</t>
        </is>
      </c>
      <c r="E271" t="inlineStr">
        <is>
          <t>CENTRO OESTE</t>
        </is>
      </c>
      <c r="F271" t="inlineStr">
        <is>
          <t>Cliente C - Misturador</t>
        </is>
      </c>
      <c r="G271" t="inlineStr">
        <is>
          <t>Chopeiras</t>
        </is>
      </c>
      <c r="H271" s="10" t="n">
        <v>115</v>
      </c>
      <c r="I271" s="10">
        <f>IFERROR(T271*H271,0)</f>
        <v/>
      </c>
      <c r="J271" s="11" t="n">
        <v>45952</v>
      </c>
      <c r="K271" s="11" t="n"/>
      <c r="L271" t="inlineStr">
        <is>
          <t>NF Vencida</t>
        </is>
      </c>
      <c r="M271">
        <f>IF(L271="","",IFERROR(VLOOKUP(L271,mapGrupoStatus,2,0),"Outros"))</f>
        <v/>
      </c>
      <c r="N271">
        <f>IF(O271="","",IF(O271&lt;=30,"0-30 dias",IF(O271&lt;=60,"31-60 dias",IF(O271&lt;=90,"61-90 dias","Mais de 90 dias"))))</f>
        <v/>
      </c>
      <c r="O271">
        <f>IF(OR(M271="Pendente",M271="Em andamento"),IF(J271="","",TODAY()-J271),"")</f>
        <v/>
      </c>
      <c r="P271" t="n">
        <v>10302</v>
      </c>
      <c r="Q271" t="inlineStr">
        <is>
          <t>Ice Tech Express (10302)</t>
        </is>
      </c>
      <c r="R271" t="inlineStr">
        <is>
          <t>PC-0033</t>
        </is>
      </c>
      <c r="S271" t="inlineStr">
        <is>
          <t>Regulador de pressão modelo 02</t>
        </is>
      </c>
      <c r="T271" t="n">
        <v>1</v>
      </c>
      <c r="U271" t="inlineStr"/>
      <c r="V271">
        <f>IF(J271="","",MONTH(J271))</f>
        <v/>
      </c>
      <c r="W271">
        <f>IF(J271="","",YEAR(J271))</f>
        <v/>
      </c>
      <c r="X271" t="inlineStr"/>
      <c r="Y271">
        <f>IFERROR(INDEX(Rastreio!$H$2:$H$200,MATCH(X271&amp;"|"&amp;U271,Rastreio!$A$2:$A$200,0)),"")</f>
        <v/>
      </c>
    </row>
    <row r="272">
      <c r="A272">
        <f>IFERROR(INDEX(STAs!$G$2:$G$61,MATCH(P272,STAs!$F$2:$F$61,0))&amp;"","")</f>
        <v/>
      </c>
      <c r="B272" t="n">
        <v>20012280</v>
      </c>
      <c r="C272" t="inlineStr">
        <is>
          <t>Sim</t>
        </is>
      </c>
      <c r="D272" t="inlineStr">
        <is>
          <t>CE</t>
        </is>
      </c>
      <c r="E272" t="inlineStr">
        <is>
          <t>NORDESTE</t>
        </is>
      </c>
      <c r="F272" t="inlineStr">
        <is>
          <t>Cliente A - Refrigerador</t>
        </is>
      </c>
      <c r="G272" t="inlineStr">
        <is>
          <t>Chopeiras</t>
        </is>
      </c>
      <c r="H272" s="10" t="n">
        <v>115</v>
      </c>
      <c r="I272" s="10">
        <f>IFERROR(T272*H272,0)</f>
        <v/>
      </c>
      <c r="J272" s="11" t="n">
        <v>45952</v>
      </c>
      <c r="K272" s="11" t="n"/>
      <c r="L272" t="inlineStr">
        <is>
          <t>Aguardando Transporte</t>
        </is>
      </c>
      <c r="M272">
        <f>IF(L272="","",IFERROR(VLOOKUP(L272,mapGrupoStatus,2,0),"Outros"))</f>
        <v/>
      </c>
      <c r="N272">
        <f>IF(O272="","",IF(O272&lt;=30,"0-30 dias",IF(O272&lt;=60,"31-60 dias",IF(O272&lt;=90,"61-90 dias","Mais de 90 dias"))))</f>
        <v/>
      </c>
      <c r="O272">
        <f>IF(OR(M272="Pendente",M272="Em andamento"),IF(J272="","",TODAY()-J272),"")</f>
        <v/>
      </c>
      <c r="P272" t="n">
        <v>10615</v>
      </c>
      <c r="Q272" t="inlineStr">
        <is>
          <t>Brisa Técnica (10615)</t>
        </is>
      </c>
      <c r="R272" t="inlineStr">
        <is>
          <t>PC-0034</t>
        </is>
      </c>
      <c r="S272" t="inlineStr">
        <is>
          <t>Regulador de pressão modelo 03</t>
        </is>
      </c>
      <c r="T272" t="n">
        <v>1</v>
      </c>
      <c r="U272" t="n">
        <v>123</v>
      </c>
      <c r="V272">
        <f>IF(J272="","",MONTH(J272))</f>
        <v/>
      </c>
      <c r="W272">
        <f>IF(J272="","",YEAR(J272))</f>
        <v/>
      </c>
      <c r="X272" t="inlineStr">
        <is>
          <t>CargoMax</t>
        </is>
      </c>
      <c r="Y272">
        <f>IFERROR(INDEX(Rastreio!$H$2:$H$200,MATCH(X272&amp;"|"&amp;U272,Rastreio!$A$2:$A$200,0)),"")</f>
        <v/>
      </c>
    </row>
    <row r="273">
      <c r="A273">
        <f>IFERROR(INDEX(STAs!$G$2:$G$61,MATCH(P273,STAs!$F$2:$F$61,0))&amp;"","")</f>
        <v/>
      </c>
      <c r="B273" t="n">
        <v>20021182</v>
      </c>
      <c r="C273" t="inlineStr">
        <is>
          <t>Não</t>
        </is>
      </c>
      <c r="D273" t="inlineStr">
        <is>
          <t>DF</t>
        </is>
      </c>
      <c r="E273" t="inlineStr">
        <is>
          <t>CENTRO OESTE</t>
        </is>
      </c>
      <c r="F273" t="inlineStr">
        <is>
          <t>Cliente A - Refrigerador</t>
        </is>
      </c>
      <c r="G273" t="inlineStr">
        <is>
          <t>Refrigeradores</t>
        </is>
      </c>
      <c r="H273" s="10" t="n">
        <v>175</v>
      </c>
      <c r="I273" s="10">
        <f>IFERROR(T273*H273,0)</f>
        <v/>
      </c>
      <c r="J273" s="11" t="n">
        <v>45952</v>
      </c>
      <c r="K273" s="11" t="n">
        <v>46000</v>
      </c>
      <c r="L273" t="inlineStr">
        <is>
          <t>Ok. Devolvida</t>
        </is>
      </c>
      <c r="M273">
        <f>IF(L273="","",IFERROR(VLOOKUP(L273,mapGrupoStatus,2,0),"Outros"))</f>
        <v/>
      </c>
      <c r="N273">
        <f>IF(O273="","",IF(O273&lt;=30,"0-30 dias",IF(O273&lt;=60,"31-60 dias",IF(O273&lt;=90,"61-90 dias","Mais de 90 dias"))))</f>
        <v/>
      </c>
      <c r="O273">
        <f>IF(OR(M273="Pendente",M273="Em andamento"),IF(J273="","",TODAY()-J273),"")</f>
        <v/>
      </c>
      <c r="P273" t="n">
        <v>10021</v>
      </c>
      <c r="Q273" t="inlineStr">
        <is>
          <t>Termotec Técnica (10021)</t>
        </is>
      </c>
      <c r="R273" t="inlineStr">
        <is>
          <t>PC-0012</t>
        </is>
      </c>
      <c r="S273" t="inlineStr">
        <is>
          <t>Placa eletrônica modelo 02</t>
        </is>
      </c>
      <c r="T273" t="n">
        <v>1</v>
      </c>
      <c r="U273" t="n">
        <v>131</v>
      </c>
      <c r="V273">
        <f>IF(J273="","",MONTH(J273))</f>
        <v/>
      </c>
      <c r="W273">
        <f>IF(J273="","",YEAR(J273))</f>
        <v/>
      </c>
      <c r="X273" t="inlineStr">
        <is>
          <t>TransNorte</t>
        </is>
      </c>
      <c r="Y273">
        <f>IFERROR(INDEX(Rastreio!$H$2:$H$200,MATCH(X273&amp;"|"&amp;U273,Rastreio!$A$2:$A$200,0)),"")</f>
        <v/>
      </c>
    </row>
    <row r="274">
      <c r="A274">
        <f>IFERROR(INDEX(STAs!$G$2:$G$61,MATCH(P274,STAs!$F$2:$F$61,0))&amp;"","")</f>
        <v/>
      </c>
      <c r="B274" t="n">
        <v>20025246</v>
      </c>
      <c r="C274" t="inlineStr">
        <is>
          <t>Não</t>
        </is>
      </c>
      <c r="D274" t="inlineStr">
        <is>
          <t>RJ</t>
        </is>
      </c>
      <c r="E274" t="inlineStr">
        <is>
          <t>SUDESTE RJ e ES</t>
        </is>
      </c>
      <c r="F274" t="inlineStr">
        <is>
          <t>Cliente B - Chopeira</t>
        </is>
      </c>
      <c r="G274" t="inlineStr">
        <is>
          <t>Misturadores</t>
        </is>
      </c>
      <c r="H274" s="10" t="n">
        <v>60</v>
      </c>
      <c r="I274" s="10">
        <f>IFERROR(T274*H274,0)</f>
        <v/>
      </c>
      <c r="J274" s="11" t="n">
        <v>45952</v>
      </c>
      <c r="K274" s="11" t="n">
        <v>46006</v>
      </c>
      <c r="L274" t="inlineStr">
        <is>
          <t>Ok. Devolvida</t>
        </is>
      </c>
      <c r="M274">
        <f>IF(L274="","",IFERROR(VLOOKUP(L274,mapGrupoStatus,2,0),"Outros"))</f>
        <v/>
      </c>
      <c r="N274">
        <f>IF(O274="","",IF(O274&lt;=30,"0-30 dias",IF(O274&lt;=60,"31-60 dias",IF(O274&lt;=90,"61-90 dias","Mais de 90 dias"))))</f>
        <v/>
      </c>
      <c r="O274">
        <f>IF(OR(M274="Pendente",M274="Em andamento"),IF(J274="","",TODAY()-J274),"")</f>
        <v/>
      </c>
      <c r="P274" t="n">
        <v>12811</v>
      </c>
      <c r="Q274" t="inlineStr">
        <is>
          <t>Norte Frio Técnica (12811)</t>
        </is>
      </c>
      <c r="R274" t="inlineStr">
        <is>
          <t>PC-0048</t>
        </is>
      </c>
      <c r="S274" t="inlineStr">
        <is>
          <t>Sensor de nível modelo 04</t>
        </is>
      </c>
      <c r="T274" t="n">
        <v>1</v>
      </c>
      <c r="U274" t="n">
        <v>144</v>
      </c>
      <c r="V274">
        <f>IF(J274="","",MONTH(J274))</f>
        <v/>
      </c>
      <c r="W274">
        <f>IF(J274="","",YEAR(J274))</f>
        <v/>
      </c>
      <c r="X274" t="inlineStr">
        <is>
          <t>TransNorte</t>
        </is>
      </c>
      <c r="Y274">
        <f>IFERROR(INDEX(Rastreio!$H$2:$H$200,MATCH(X274&amp;"|"&amp;U274,Rastreio!$A$2:$A$200,0)),"")</f>
        <v/>
      </c>
    </row>
    <row r="275">
      <c r="A275">
        <f>IFERROR(INDEX(STAs!$G$2:$G$61,MATCH(P275,STAs!$F$2:$F$61,0))&amp;"","")</f>
        <v/>
      </c>
      <c r="B275" t="n">
        <v>20025939</v>
      </c>
      <c r="C275" t="inlineStr">
        <is>
          <t>Não</t>
        </is>
      </c>
      <c r="D275" t="inlineStr">
        <is>
          <t>AM</t>
        </is>
      </c>
      <c r="E275" t="inlineStr">
        <is>
          <t>NORTE</t>
        </is>
      </c>
      <c r="F275" t="inlineStr">
        <is>
          <t>Cliente B - Chopeira</t>
        </is>
      </c>
      <c r="G275" t="inlineStr">
        <is>
          <t>Misturadores</t>
        </is>
      </c>
      <c r="H275" s="10" t="n">
        <v>200</v>
      </c>
      <c r="I275" s="10">
        <f>IFERROR(T275*H275,0)</f>
        <v/>
      </c>
      <c r="J275" s="11" t="n">
        <v>45952</v>
      </c>
      <c r="K275" s="11" t="n"/>
      <c r="L275" t="inlineStr">
        <is>
          <t>Em andamento</t>
        </is>
      </c>
      <c r="M275">
        <f>IF(L275="","",IFERROR(VLOOKUP(L275,mapGrupoStatus,2,0),"Outros"))</f>
        <v/>
      </c>
      <c r="N275">
        <f>IF(O275="","",IF(O275&lt;=30,"0-30 dias",IF(O275&lt;=60,"31-60 dias",IF(O275&lt;=90,"61-90 dias","Mais de 90 dias"))))</f>
        <v/>
      </c>
      <c r="O275">
        <f>IF(OR(M275="Pendente",M275="Em andamento"),IF(J275="","",TODAY()-J275),"")</f>
        <v/>
      </c>
      <c r="P275" t="n">
        <v>12269</v>
      </c>
      <c r="Q275" t="inlineStr">
        <is>
          <t>Polar Técnica (12269)</t>
        </is>
      </c>
      <c r="R275" t="inlineStr">
        <is>
          <t>PC-0040</t>
        </is>
      </c>
      <c r="S275" t="inlineStr">
        <is>
          <t>Motor agitador modelo 01</t>
        </is>
      </c>
      <c r="T275" t="n">
        <v>1</v>
      </c>
      <c r="U275" t="n">
        <v>147</v>
      </c>
      <c r="V275">
        <f>IF(J275="","",MONTH(J275))</f>
        <v/>
      </c>
      <c r="W275">
        <f>IF(J275="","",YEAR(J275))</f>
        <v/>
      </c>
      <c r="X275" t="inlineStr">
        <is>
          <t>LogExpress</t>
        </is>
      </c>
      <c r="Y275">
        <f>IFERROR(INDEX(Rastreio!$H$2:$H$200,MATCH(X275&amp;"|"&amp;U275,Rastreio!$A$2:$A$200,0)),"")</f>
        <v/>
      </c>
    </row>
    <row r="276">
      <c r="A276">
        <f>IFERROR(INDEX(STAs!$G$2:$G$61,MATCH(P276,STAs!$F$2:$F$61,0))&amp;"","")</f>
        <v/>
      </c>
      <c r="B276" t="n">
        <v>20033275</v>
      </c>
      <c r="C276" t="inlineStr">
        <is>
          <t>Não</t>
        </is>
      </c>
      <c r="D276" t="inlineStr">
        <is>
          <t>GO</t>
        </is>
      </c>
      <c r="E276" t="inlineStr">
        <is>
          <t>CENTRO OESTE</t>
        </is>
      </c>
      <c r="F276" t="inlineStr">
        <is>
          <t>Cliente C - Misturador</t>
        </is>
      </c>
      <c r="G276" t="inlineStr">
        <is>
          <t>Chopeiras</t>
        </is>
      </c>
      <c r="H276" s="10" t="n">
        <v>100</v>
      </c>
      <c r="I276" s="10">
        <f>IFERROR(T276*H276,0)</f>
        <v/>
      </c>
      <c r="J276" s="11" t="n">
        <v>45952</v>
      </c>
      <c r="K276" s="11" t="n">
        <v>45976</v>
      </c>
      <c r="L276" t="inlineStr">
        <is>
          <t>Ok. Devolvida</t>
        </is>
      </c>
      <c r="M276">
        <f>IF(L276="","",IFERROR(VLOOKUP(L276,mapGrupoStatus,2,0),"Outros"))</f>
        <v/>
      </c>
      <c r="N276">
        <f>IF(O276="","",IF(O276&lt;=30,"0-30 dias",IF(O276&lt;=60,"31-60 dias",IF(O276&lt;=90,"61-90 dias","Mais de 90 dias"))))</f>
        <v/>
      </c>
      <c r="O276">
        <f>IF(OR(M276="Pendente",M276="Em andamento"),IF(J276="","",TODAY()-J276),"")</f>
        <v/>
      </c>
      <c r="P276" t="n">
        <v>11293</v>
      </c>
      <c r="Q276" t="inlineStr">
        <is>
          <t>Assistência Técnica Ltda (11293)</t>
        </is>
      </c>
      <c r="R276" t="inlineStr">
        <is>
          <t>PC-0027</t>
        </is>
      </c>
      <c r="S276" t="inlineStr">
        <is>
          <t>Torneira de chopp modelo 02</t>
        </is>
      </c>
      <c r="T276" t="n">
        <v>1</v>
      </c>
      <c r="U276" t="n">
        <v>159</v>
      </c>
      <c r="V276">
        <f>IF(J276="","",MONTH(J276))</f>
        <v/>
      </c>
      <c r="W276">
        <f>IF(J276="","",YEAR(J276))</f>
        <v/>
      </c>
      <c r="X276" t="inlineStr">
        <is>
          <t>LogExpress</t>
        </is>
      </c>
      <c r="Y276">
        <f>IFERROR(INDEX(Rastreio!$H$2:$H$200,MATCH(X276&amp;"|"&amp;U276,Rastreio!$A$2:$A$200,0)),"")</f>
        <v/>
      </c>
    </row>
    <row r="277">
      <c r="A277">
        <f>IFERROR(INDEX(STAs!$G$2:$G$61,MATCH(P277,STAs!$F$2:$F$61,0))&amp;"","")</f>
        <v/>
      </c>
      <c r="B277" t="n">
        <v>20037964</v>
      </c>
      <c r="C277" t="inlineStr">
        <is>
          <t>Não</t>
        </is>
      </c>
      <c r="D277" t="inlineStr">
        <is>
          <t>RS</t>
        </is>
      </c>
      <c r="E277" t="inlineStr">
        <is>
          <t>SUL</t>
        </is>
      </c>
      <c r="F277" t="inlineStr">
        <is>
          <t>Cliente C - Misturador</t>
        </is>
      </c>
      <c r="G277" t="inlineStr">
        <is>
          <t>Misturadores</t>
        </is>
      </c>
      <c r="H277" s="10" t="n">
        <v>50</v>
      </c>
      <c r="I277" s="10">
        <f>IFERROR(T277*H277,0)</f>
        <v/>
      </c>
      <c r="J277" s="11" t="n">
        <v>45952</v>
      </c>
      <c r="K277" s="11" t="n">
        <v>45965</v>
      </c>
      <c r="L277" t="inlineStr">
        <is>
          <t>Ok. Devolvida</t>
        </is>
      </c>
      <c r="M277">
        <f>IF(L277="","",IFERROR(VLOOKUP(L277,mapGrupoStatus,2,0),"Outros"))</f>
        <v/>
      </c>
      <c r="N277">
        <f>IF(O277="","",IF(O277&lt;=30,"0-30 dias",IF(O277&lt;=60,"31-60 dias",IF(O277&lt;=90,"61-90 dias","Mais de 90 dias"))))</f>
        <v/>
      </c>
      <c r="O277">
        <f>IF(OR(M277="Pendente",M277="Em andamento"),IF(J277="","",TODAY()-J277),"")</f>
        <v/>
      </c>
      <c r="P277" t="n">
        <v>11459</v>
      </c>
      <c r="Q277" t="inlineStr">
        <is>
          <t>Frio ME (11459)</t>
        </is>
      </c>
      <c r="R277" t="inlineStr">
        <is>
          <t>PC-0045</t>
        </is>
      </c>
      <c r="S277" t="inlineStr">
        <is>
          <t>Sensor de nível modelo 01</t>
        </is>
      </c>
      <c r="T277" t="n">
        <v>1</v>
      </c>
      <c r="U277" t="n">
        <v>156</v>
      </c>
      <c r="V277">
        <f>IF(J277="","",MONTH(J277))</f>
        <v/>
      </c>
      <c r="W277">
        <f>IF(J277="","",YEAR(J277))</f>
        <v/>
      </c>
      <c r="X277" t="inlineStr">
        <is>
          <t>EntregaJá</t>
        </is>
      </c>
      <c r="Y277">
        <f>IFERROR(INDEX(Rastreio!$H$2:$H$200,MATCH(X277&amp;"|"&amp;U277,Rastreio!$A$2:$A$200,0)),"")</f>
        <v/>
      </c>
    </row>
    <row r="278">
      <c r="A278">
        <f>IFERROR(INDEX(STAs!$G$2:$G$61,MATCH(P278,STAs!$F$2:$F$61,0))&amp;"","")</f>
        <v/>
      </c>
      <c r="B278" t="n">
        <v>20038712</v>
      </c>
      <c r="C278" t="inlineStr">
        <is>
          <t>Não</t>
        </is>
      </c>
      <c r="D278" t="inlineStr">
        <is>
          <t>RS</t>
        </is>
      </c>
      <c r="E278" t="inlineStr">
        <is>
          <t>SUL</t>
        </is>
      </c>
      <c r="F278" t="inlineStr">
        <is>
          <t>Cliente B - Chopeira</t>
        </is>
      </c>
      <c r="G278" t="inlineStr">
        <is>
          <t>Refrigeradores</t>
        </is>
      </c>
      <c r="H278" s="10" t="n">
        <v>190</v>
      </c>
      <c r="I278" s="10">
        <f>IFERROR(T278*H278,0)</f>
        <v/>
      </c>
      <c r="J278" s="11" t="n">
        <v>45952</v>
      </c>
      <c r="K278" s="11" t="n"/>
      <c r="L278" t="inlineStr">
        <is>
          <t>Aguardando devolução</t>
        </is>
      </c>
      <c r="M278">
        <f>IF(L278="","",IFERROR(VLOOKUP(L278,mapGrupoStatus,2,0),"Outros"))</f>
        <v/>
      </c>
      <c r="N278">
        <f>IF(O278="","",IF(O278&lt;=30,"0-30 dias",IF(O278&lt;=60,"31-60 dias",IF(O278&lt;=90,"61-90 dias","Mais de 90 dias"))))</f>
        <v/>
      </c>
      <c r="O278">
        <f>IF(OR(M278="Pendente",M278="Em andamento"),IF(J278="","",TODAY()-J278),"")</f>
        <v/>
      </c>
      <c r="P278" t="n">
        <v>11459</v>
      </c>
      <c r="Q278" t="inlineStr">
        <is>
          <t>Frio ME (11459)</t>
        </is>
      </c>
      <c r="R278" t="inlineStr">
        <is>
          <t>PC-0014</t>
        </is>
      </c>
      <c r="S278" t="inlineStr">
        <is>
          <t>Placa eletrônica modelo 04</t>
        </is>
      </c>
      <c r="T278" t="n">
        <v>1</v>
      </c>
      <c r="U278" t="inlineStr"/>
      <c r="V278">
        <f>IF(J278="","",MONTH(J278))</f>
        <v/>
      </c>
      <c r="W278">
        <f>IF(J278="","",YEAR(J278))</f>
        <v/>
      </c>
      <c r="X278" t="inlineStr"/>
      <c r="Y278">
        <f>IFERROR(INDEX(Rastreio!$H$2:$H$200,MATCH(X278&amp;"|"&amp;U278,Rastreio!$A$2:$A$200,0)),"")</f>
        <v/>
      </c>
    </row>
    <row r="279">
      <c r="A279">
        <f>IFERROR(INDEX(STAs!$G$2:$G$61,MATCH(P279,STAs!$F$2:$F$61,0))&amp;"","")</f>
        <v/>
      </c>
      <c r="B279" t="n">
        <v>20000133</v>
      </c>
      <c r="C279" t="inlineStr">
        <is>
          <t>Não</t>
        </is>
      </c>
      <c r="D279" t="inlineStr">
        <is>
          <t>RR</t>
        </is>
      </c>
      <c r="E279" t="inlineStr">
        <is>
          <t>NORTE</t>
        </is>
      </c>
      <c r="F279" t="inlineStr">
        <is>
          <t>Cliente C - Misturador</t>
        </is>
      </c>
      <c r="G279" t="inlineStr">
        <is>
          <t>Misturadores</t>
        </is>
      </c>
      <c r="H279" s="10" t="n">
        <v>50</v>
      </c>
      <c r="I279" s="10">
        <f>IFERROR(T279*H279,0)</f>
        <v/>
      </c>
      <c r="J279" s="11" t="n">
        <v>45953</v>
      </c>
      <c r="K279" s="11" t="n"/>
      <c r="L279" t="inlineStr">
        <is>
          <t>Não Devolve-Norte</t>
        </is>
      </c>
      <c r="M279">
        <f>IF(L279="","",IFERROR(VLOOKUP(L279,mapGrupoStatus,2,0),"Outros"))</f>
        <v/>
      </c>
      <c r="N279">
        <f>IF(O279="","",IF(O279&lt;=30,"0-30 dias",IF(O279&lt;=60,"31-60 dias",IF(O279&lt;=90,"61-90 dias","Mais de 90 dias"))))</f>
        <v/>
      </c>
      <c r="O279">
        <f>IF(OR(M279="Pendente",M279="Em andamento"),IF(J279="","",TODAY()-J279),"")</f>
        <v/>
      </c>
      <c r="P279" t="n">
        <v>11818</v>
      </c>
      <c r="Q279" t="inlineStr">
        <is>
          <t>Termotec Ltda (11818)</t>
        </is>
      </c>
      <c r="R279" t="inlineStr">
        <is>
          <t>PC-0045</t>
        </is>
      </c>
      <c r="S279" t="inlineStr">
        <is>
          <t>Sensor de nível modelo 01</t>
        </is>
      </c>
      <c r="T279" t="n">
        <v>1</v>
      </c>
      <c r="U279" t="inlineStr"/>
      <c r="V279">
        <f>IF(J279="","",MONTH(J279))</f>
        <v/>
      </c>
      <c r="W279">
        <f>IF(J279="","",YEAR(J279))</f>
        <v/>
      </c>
      <c r="X279" t="inlineStr"/>
      <c r="Y279">
        <f>IFERROR(INDEX(Rastreio!$H$2:$H$200,MATCH(X279&amp;"|"&amp;U279,Rastreio!$A$2:$A$200,0)),"")</f>
        <v/>
      </c>
    </row>
    <row r="280">
      <c r="A280">
        <f>IFERROR(INDEX(STAs!$G$2:$G$61,MATCH(P280,STAs!$F$2:$F$61,0))&amp;"","")</f>
        <v/>
      </c>
      <c r="B280" t="n">
        <v>20000452</v>
      </c>
      <c r="C280" t="inlineStr">
        <is>
          <t>Não</t>
        </is>
      </c>
      <c r="D280" t="inlineStr">
        <is>
          <t>PR</t>
        </is>
      </c>
      <c r="E280" t="inlineStr">
        <is>
          <t>SUL</t>
        </is>
      </c>
      <c r="F280" t="inlineStr">
        <is>
          <t>Cliente C - Misturador</t>
        </is>
      </c>
      <c r="G280" t="inlineStr">
        <is>
          <t>Refrigeradores</t>
        </is>
      </c>
      <c r="H280" s="10" t="n">
        <v>70</v>
      </c>
      <c r="I280" s="10">
        <f>IFERROR(T280*H280,0)</f>
        <v/>
      </c>
      <c r="J280" s="11" t="n">
        <v>45953</v>
      </c>
      <c r="K280" s="11" t="n"/>
      <c r="L280" t="inlineStr">
        <is>
          <t>NF Vencida</t>
        </is>
      </c>
      <c r="M280">
        <f>IF(L280="","",IFERROR(VLOOKUP(L280,mapGrupoStatus,2,0),"Outros"))</f>
        <v/>
      </c>
      <c r="N280">
        <f>IF(O280="","",IF(O280&lt;=30,"0-30 dias",IF(O280&lt;=60,"31-60 dias",IF(O280&lt;=90,"61-90 dias","Mais de 90 dias"))))</f>
        <v/>
      </c>
      <c r="O280">
        <f>IF(OR(M280="Pendente",M280="Em andamento"),IF(J280="","",TODAY()-J280),"")</f>
        <v/>
      </c>
      <c r="P280" t="n">
        <v>12089</v>
      </c>
      <c r="Q280" t="inlineStr">
        <is>
          <t>Termotec Serviços (12089)</t>
        </is>
      </c>
      <c r="R280" t="inlineStr">
        <is>
          <t>PC-0009</t>
        </is>
      </c>
      <c r="S280" t="inlineStr">
        <is>
          <t>Ventilador modelo 03</t>
        </is>
      </c>
      <c r="T280" t="n">
        <v>1</v>
      </c>
      <c r="U280" t="inlineStr"/>
      <c r="V280">
        <f>IF(J280="","",MONTH(J280))</f>
        <v/>
      </c>
      <c r="W280">
        <f>IF(J280="","",YEAR(J280))</f>
        <v/>
      </c>
      <c r="X280" t="inlineStr"/>
      <c r="Y280">
        <f>IFERROR(INDEX(Rastreio!$H$2:$H$200,MATCH(X280&amp;"|"&amp;U280,Rastreio!$A$2:$A$200,0)),"")</f>
        <v/>
      </c>
    </row>
    <row r="281">
      <c r="A281">
        <f>IFERROR(INDEX(STAs!$G$2:$G$61,MATCH(P281,STAs!$F$2:$F$61,0))&amp;"","")</f>
        <v/>
      </c>
      <c r="B281" t="n">
        <v>20002652</v>
      </c>
      <c r="C281" t="inlineStr">
        <is>
          <t>Não</t>
        </is>
      </c>
      <c r="D281" t="inlineStr">
        <is>
          <t>MG</t>
        </is>
      </c>
      <c r="E281" t="inlineStr">
        <is>
          <t>SUDESTE MG</t>
        </is>
      </c>
      <c r="F281" t="inlineStr">
        <is>
          <t>Cliente B - Chopeira</t>
        </is>
      </c>
      <c r="G281" t="inlineStr">
        <is>
          <t>Refrigeradores</t>
        </is>
      </c>
      <c r="H281" s="10" t="n">
        <v>35</v>
      </c>
      <c r="I281" s="10">
        <f>IFERROR(T281*H281,0)</f>
        <v/>
      </c>
      <c r="J281" s="11" t="n">
        <v>45953</v>
      </c>
      <c r="K281" s="11" t="n"/>
      <c r="L281" t="inlineStr">
        <is>
          <t>Aguardando Transporte</t>
        </is>
      </c>
      <c r="M281">
        <f>IF(L281="","",IFERROR(VLOOKUP(L281,mapGrupoStatus,2,0),"Outros"))</f>
        <v/>
      </c>
      <c r="N281">
        <f>IF(O281="","",IF(O281&lt;=30,"0-30 dias",IF(O281&lt;=60,"31-60 dias",IF(O281&lt;=90,"61-90 dias","Mais de 90 dias"))))</f>
        <v/>
      </c>
      <c r="O281">
        <f>IF(OR(M281="Pendente",M281="Em andamento"),IF(J281="","",TODAY()-J281),"")</f>
        <v/>
      </c>
      <c r="P281" t="n">
        <v>12689</v>
      </c>
      <c r="Q281" t="inlineStr">
        <is>
          <t>Norte Frio Manutenção (12689)</t>
        </is>
      </c>
      <c r="R281" t="inlineStr">
        <is>
          <t>PC-0024</t>
        </is>
      </c>
      <c r="S281" t="inlineStr">
        <is>
          <t>Relé de partida modelo 02</t>
        </is>
      </c>
      <c r="T281" t="n">
        <v>1</v>
      </c>
      <c r="U281" t="n">
        <v>103</v>
      </c>
      <c r="V281">
        <f>IF(J281="","",MONTH(J281))</f>
        <v/>
      </c>
      <c r="W281">
        <f>IF(J281="","",YEAR(J281))</f>
        <v/>
      </c>
      <c r="X281" t="inlineStr">
        <is>
          <t>CargoMax</t>
        </is>
      </c>
      <c r="Y281">
        <f>IFERROR(INDEX(Rastreio!$H$2:$H$200,MATCH(X281&amp;"|"&amp;U281,Rastreio!$A$2:$A$200,0)),"")</f>
        <v/>
      </c>
    </row>
    <row r="282">
      <c r="A282">
        <f>IFERROR(INDEX(STAs!$G$2:$G$61,MATCH(P282,STAs!$F$2:$F$61,0))&amp;"","")</f>
        <v/>
      </c>
      <c r="B282" t="n">
        <v>20009057</v>
      </c>
      <c r="C282" t="inlineStr">
        <is>
          <t>Não</t>
        </is>
      </c>
      <c r="D282" t="inlineStr">
        <is>
          <t>AC</t>
        </is>
      </c>
      <c r="E282" t="inlineStr">
        <is>
          <t>NORTE</t>
        </is>
      </c>
      <c r="F282" t="inlineStr">
        <is>
          <t>Cliente C - Misturador</t>
        </is>
      </c>
      <c r="G282" t="inlineStr">
        <is>
          <t>Chopeiras</t>
        </is>
      </c>
      <c r="H282" s="10" t="n">
        <v>120</v>
      </c>
      <c r="I282" s="10">
        <f>IFERROR(T282*H282,0)</f>
        <v/>
      </c>
      <c r="J282" s="11" t="n">
        <v>45953</v>
      </c>
      <c r="K282" s="11" t="n"/>
      <c r="L282" t="inlineStr">
        <is>
          <t>Não Devolve-Norte</t>
        </is>
      </c>
      <c r="M282">
        <f>IF(L282="","",IFERROR(VLOOKUP(L282,mapGrupoStatus,2,0),"Outros"))</f>
        <v/>
      </c>
      <c r="N282">
        <f>IF(O282="","",IF(O282&lt;=30,"0-30 dias",IF(O282&lt;=60,"31-60 dias",IF(O282&lt;=90,"61-90 dias","Mais de 90 dias"))))</f>
        <v/>
      </c>
      <c r="O282">
        <f>IF(OR(M282="Pendente",M282="Em andamento"),IF(J282="","",TODAY()-J282),"")</f>
        <v/>
      </c>
      <c r="P282" t="n">
        <v>10372</v>
      </c>
      <c r="Q282" t="inlineStr">
        <is>
          <t>Zero Grau ME (10372)</t>
        </is>
      </c>
      <c r="R282" t="inlineStr">
        <is>
          <t>PC-0032</t>
        </is>
      </c>
      <c r="S282" t="inlineStr">
        <is>
          <t>Regulador de pressão modelo 01</t>
        </is>
      </c>
      <c r="T282" t="n">
        <v>1</v>
      </c>
      <c r="U282" t="inlineStr"/>
      <c r="V282">
        <f>IF(J282="","",MONTH(J282))</f>
        <v/>
      </c>
      <c r="W282">
        <f>IF(J282="","",YEAR(J282))</f>
        <v/>
      </c>
      <c r="X282" t="inlineStr"/>
      <c r="Y282">
        <f>IFERROR(INDEX(Rastreio!$H$2:$H$200,MATCH(X282&amp;"|"&amp;U282,Rastreio!$A$2:$A$200,0)),"")</f>
        <v/>
      </c>
    </row>
    <row r="283">
      <c r="A283">
        <f>IFERROR(INDEX(STAs!$G$2:$G$61,MATCH(P283,STAs!$F$2:$F$61,0))&amp;"","")</f>
        <v/>
      </c>
      <c r="B283" t="n">
        <v>20010261</v>
      </c>
      <c r="C283" t="inlineStr">
        <is>
          <t>Não</t>
        </is>
      </c>
      <c r="D283" t="inlineStr">
        <is>
          <t>SP</t>
        </is>
      </c>
      <c r="E283" t="inlineStr">
        <is>
          <t>SUDESTE SP</t>
        </is>
      </c>
      <c r="F283" t="inlineStr">
        <is>
          <t>Cliente B - Chopeira</t>
        </is>
      </c>
      <c r="G283" t="inlineStr">
        <is>
          <t>Misturadores</t>
        </is>
      </c>
      <c r="H283" s="10" t="n">
        <v>40</v>
      </c>
      <c r="I283" s="10">
        <f>IFERROR(T283*H283,0)</f>
        <v/>
      </c>
      <c r="J283" s="11" t="n">
        <v>45953</v>
      </c>
      <c r="K283" s="11" t="n"/>
      <c r="L283" t="inlineStr">
        <is>
          <t>Aguardando Transporte</t>
        </is>
      </c>
      <c r="M283">
        <f>IF(L283="","",IFERROR(VLOOKUP(L283,mapGrupoStatus,2,0),"Outros"))</f>
        <v/>
      </c>
      <c r="N283">
        <f>IF(O283="","",IF(O283&lt;=30,"0-30 dias",IF(O283&lt;=60,"31-60 dias",IF(O283&lt;=90,"61-90 dias","Mais de 90 dias"))))</f>
        <v/>
      </c>
      <c r="O283">
        <f>IF(OR(M283="Pendente",M283="Em andamento"),IF(J283="","",TODAY()-J283),"")</f>
        <v/>
      </c>
      <c r="P283" t="n">
        <v>10111</v>
      </c>
      <c r="Q283" t="inlineStr">
        <is>
          <t>Refrigel Manutenção (10111)</t>
        </is>
      </c>
      <c r="R283" t="inlineStr">
        <is>
          <t>PC-0042</t>
        </is>
      </c>
      <c r="S283" t="inlineStr">
        <is>
          <t>Bico dosador modelo 01</t>
        </is>
      </c>
      <c r="T283" t="n">
        <v>2</v>
      </c>
      <c r="U283" t="n">
        <v>120</v>
      </c>
      <c r="V283">
        <f>IF(J283="","",MONTH(J283))</f>
        <v/>
      </c>
      <c r="W283">
        <f>IF(J283="","",YEAR(J283))</f>
        <v/>
      </c>
      <c r="X283" t="inlineStr">
        <is>
          <t>CargoMax</t>
        </is>
      </c>
      <c r="Y283">
        <f>IFERROR(INDEX(Rastreio!$H$2:$H$200,MATCH(X283&amp;"|"&amp;U283,Rastreio!$A$2:$A$200,0)),"")</f>
        <v/>
      </c>
    </row>
    <row r="284">
      <c r="A284">
        <f>IFERROR(INDEX(STAs!$G$2:$G$61,MATCH(P284,STAs!$F$2:$F$61,0))&amp;"","")</f>
        <v/>
      </c>
      <c r="B284" t="n">
        <v>20011826</v>
      </c>
      <c r="C284" t="inlineStr">
        <is>
          <t>Não</t>
        </is>
      </c>
      <c r="D284" t="inlineStr">
        <is>
          <t>SP</t>
        </is>
      </c>
      <c r="E284" t="inlineStr">
        <is>
          <t>SUDESTE SP</t>
        </is>
      </c>
      <c r="F284" t="inlineStr">
        <is>
          <t>Cliente A - Refrigerador</t>
        </is>
      </c>
      <c r="G284" t="inlineStr">
        <is>
          <t>Refrigeradores</t>
        </is>
      </c>
      <c r="H284" s="10" t="n">
        <v>315</v>
      </c>
      <c r="I284" s="10">
        <f>IFERROR(T284*H284,0)</f>
        <v/>
      </c>
      <c r="J284" s="11" t="n">
        <v>45953</v>
      </c>
      <c r="K284" s="11" t="n">
        <v>45966</v>
      </c>
      <c r="L284" t="inlineStr">
        <is>
          <t>Ok. Devolvida</t>
        </is>
      </c>
      <c r="M284">
        <f>IF(L284="","",IFERROR(VLOOKUP(L284,mapGrupoStatus,2,0),"Outros"))</f>
        <v/>
      </c>
      <c r="N284">
        <f>IF(O284="","",IF(O284&lt;=30,"0-30 dias",IF(O284&lt;=60,"31-60 dias",IF(O284&lt;=90,"61-90 dias","Mais de 90 dias"))))</f>
        <v/>
      </c>
      <c r="O284">
        <f>IF(OR(M284="Pendente",M284="Em andamento"),IF(J284="","",TODAY()-J284),"")</f>
        <v/>
      </c>
      <c r="P284" t="n">
        <v>11710</v>
      </c>
      <c r="Q284" t="inlineStr">
        <is>
          <t>Brisa &amp; Cia (11710)</t>
        </is>
      </c>
      <c r="R284" t="inlineStr">
        <is>
          <t>PC-0002</t>
        </is>
      </c>
      <c r="S284" t="inlineStr">
        <is>
          <t>Compressor modelo 02</t>
        </is>
      </c>
      <c r="T284" t="n">
        <v>1</v>
      </c>
      <c r="U284" t="n">
        <v>123</v>
      </c>
      <c r="V284">
        <f>IF(J284="","",MONTH(J284))</f>
        <v/>
      </c>
      <c r="W284">
        <f>IF(J284="","",YEAR(J284))</f>
        <v/>
      </c>
      <c r="X284" t="inlineStr">
        <is>
          <t>EntregaJá</t>
        </is>
      </c>
      <c r="Y284">
        <f>IFERROR(INDEX(Rastreio!$H$2:$H$200,MATCH(X284&amp;"|"&amp;U284,Rastreio!$A$2:$A$200,0)),"")</f>
        <v/>
      </c>
    </row>
    <row r="285">
      <c r="A285">
        <f>IFERROR(INDEX(STAs!$G$2:$G$61,MATCH(P285,STAs!$F$2:$F$61,0))&amp;"","")</f>
        <v/>
      </c>
      <c r="B285" t="n">
        <v>20019396</v>
      </c>
      <c r="C285" t="inlineStr">
        <is>
          <t>Não</t>
        </is>
      </c>
      <c r="D285" t="inlineStr">
        <is>
          <t>RJ</t>
        </is>
      </c>
      <c r="E285" t="inlineStr">
        <is>
          <t>SUDESTE RJ e ES</t>
        </is>
      </c>
      <c r="F285" t="inlineStr">
        <is>
          <t>Cliente A - Refrigerador</t>
        </is>
      </c>
      <c r="G285" t="inlineStr">
        <is>
          <t>Misturadores</t>
        </is>
      </c>
      <c r="H285" s="10" t="n">
        <v>200</v>
      </c>
      <c r="I285" s="10">
        <f>IFERROR(T285*H285,0)</f>
        <v/>
      </c>
      <c r="J285" s="11" t="n">
        <v>45953</v>
      </c>
      <c r="K285" s="11" t="n"/>
      <c r="L285" t="inlineStr">
        <is>
          <t>Aguardando devolução</t>
        </is>
      </c>
      <c r="M285">
        <f>IF(L285="","",IFERROR(VLOOKUP(L285,mapGrupoStatus,2,0),"Outros"))</f>
        <v/>
      </c>
      <c r="N285">
        <f>IF(O285="","",IF(O285&lt;=30,"0-30 dias",IF(O285&lt;=60,"31-60 dias",IF(O285&lt;=90,"61-90 dias","Mais de 90 dias"))))</f>
        <v/>
      </c>
      <c r="O285">
        <f>IF(OR(M285="Pendente",M285="Em andamento"),IF(J285="","",TODAY()-J285),"")</f>
        <v/>
      </c>
      <c r="P285" t="n">
        <v>12336</v>
      </c>
      <c r="Q285" t="inlineStr">
        <is>
          <t>Termotec ME (12336)</t>
        </is>
      </c>
      <c r="R285" t="inlineStr">
        <is>
          <t>PC-0040</t>
        </is>
      </c>
      <c r="S285" t="inlineStr">
        <is>
          <t>Motor agitador modelo 01</t>
        </is>
      </c>
      <c r="T285" t="n">
        <v>1</v>
      </c>
      <c r="U285" t="inlineStr"/>
      <c r="V285">
        <f>IF(J285="","",MONTH(J285))</f>
        <v/>
      </c>
      <c r="W285">
        <f>IF(J285="","",YEAR(J285))</f>
        <v/>
      </c>
      <c r="X285" t="inlineStr"/>
      <c r="Y285">
        <f>IFERROR(INDEX(Rastreio!$H$2:$H$200,MATCH(X285&amp;"|"&amp;U285,Rastreio!$A$2:$A$200,0)),"")</f>
        <v/>
      </c>
    </row>
    <row r="286">
      <c r="A286">
        <f>IFERROR(INDEX(STAs!$G$2:$G$61,MATCH(P286,STAs!$F$2:$F$61,0))&amp;"","")</f>
        <v/>
      </c>
      <c r="B286" t="n">
        <v>20024749</v>
      </c>
      <c r="C286" t="inlineStr">
        <is>
          <t>Não</t>
        </is>
      </c>
      <c r="D286" t="inlineStr">
        <is>
          <t>GO</t>
        </is>
      </c>
      <c r="E286" t="inlineStr">
        <is>
          <t>CENTRO OESTE</t>
        </is>
      </c>
      <c r="F286" t="inlineStr">
        <is>
          <t>Cliente A - Refrigerador</t>
        </is>
      </c>
      <c r="G286" t="inlineStr">
        <is>
          <t>Chopeiras</t>
        </is>
      </c>
      <c r="H286" s="10" t="n">
        <v>85</v>
      </c>
      <c r="I286" s="10">
        <f>IFERROR(T286*H286,0)</f>
        <v/>
      </c>
      <c r="J286" s="11" t="n">
        <v>45953</v>
      </c>
      <c r="K286" s="11" t="n">
        <v>46011</v>
      </c>
      <c r="L286" t="inlineStr">
        <is>
          <t>Ok. Devolvida</t>
        </is>
      </c>
      <c r="M286">
        <f>IF(L286="","",IFERROR(VLOOKUP(L286,mapGrupoStatus,2,0),"Outros"))</f>
        <v/>
      </c>
      <c r="N286">
        <f>IF(O286="","",IF(O286&lt;=30,"0-30 dias",IF(O286&lt;=60,"31-60 dias",IF(O286&lt;=90,"61-90 dias","Mais de 90 dias"))))</f>
        <v/>
      </c>
      <c r="O286">
        <f>IF(OR(M286="Pendente",M286="Em andamento"),IF(J286="","",TODAY()-J286),"")</f>
        <v/>
      </c>
      <c r="P286" t="n">
        <v>10317</v>
      </c>
      <c r="Q286" t="inlineStr">
        <is>
          <t>Termotec Manutenção (10317)</t>
        </is>
      </c>
      <c r="R286" t="inlineStr">
        <is>
          <t>PC-0035</t>
        </is>
      </c>
      <c r="S286" t="inlineStr">
        <is>
          <t>Válvula extratora modelo 01</t>
        </is>
      </c>
      <c r="T286" t="n">
        <v>1</v>
      </c>
      <c r="U286" t="n">
        <v>143</v>
      </c>
      <c r="V286">
        <f>IF(J286="","",MONTH(J286))</f>
        <v/>
      </c>
      <c r="W286">
        <f>IF(J286="","",YEAR(J286))</f>
        <v/>
      </c>
      <c r="X286" t="inlineStr">
        <is>
          <t>RotaSul</t>
        </is>
      </c>
      <c r="Y286">
        <f>IFERROR(INDEX(Rastreio!$H$2:$H$200,MATCH(X286&amp;"|"&amp;U286,Rastreio!$A$2:$A$200,0)),"")</f>
        <v/>
      </c>
    </row>
    <row r="287">
      <c r="A287">
        <f>IFERROR(INDEX(STAs!$G$2:$G$61,MATCH(P287,STAs!$F$2:$F$61,0))&amp;"","")</f>
        <v/>
      </c>
      <c r="B287" t="n">
        <v>20012320</v>
      </c>
      <c r="C287" t="inlineStr">
        <is>
          <t>Não</t>
        </is>
      </c>
      <c r="D287" t="inlineStr">
        <is>
          <t>SP</t>
        </is>
      </c>
      <c r="E287" t="inlineStr">
        <is>
          <t>SUDESTE SP</t>
        </is>
      </c>
      <c r="F287" t="inlineStr">
        <is>
          <t>Cliente B - Chopeira</t>
        </is>
      </c>
      <c r="G287" t="inlineStr">
        <is>
          <t>Chopeiras</t>
        </is>
      </c>
      <c r="H287" s="10" t="n">
        <v>215</v>
      </c>
      <c r="I287" s="10">
        <f>IFERROR(T287*H287,0)</f>
        <v/>
      </c>
      <c r="J287" s="11" t="n">
        <v>45954</v>
      </c>
      <c r="K287" s="11" t="n">
        <v>45970</v>
      </c>
      <c r="L287" t="inlineStr">
        <is>
          <t>Ok. Devolvida</t>
        </is>
      </c>
      <c r="M287">
        <f>IF(L287="","",IFERROR(VLOOKUP(L287,mapGrupoStatus,2,0),"Outros"))</f>
        <v/>
      </c>
      <c r="N287">
        <f>IF(O287="","",IF(O287&lt;=30,"0-30 dias",IF(O287&lt;=60,"31-60 dias",IF(O287&lt;=90,"61-90 dias","Mais de 90 dias"))))</f>
        <v/>
      </c>
      <c r="O287">
        <f>IF(OR(M287="Pendente",M287="Em andamento"),IF(J287="","",TODAY()-J287),"")</f>
        <v/>
      </c>
      <c r="P287" t="n">
        <v>12052</v>
      </c>
      <c r="Q287" t="inlineStr">
        <is>
          <t>Brisa Refrigeração (12052)</t>
        </is>
      </c>
      <c r="R287" t="inlineStr">
        <is>
          <t>PC-0030</t>
        </is>
      </c>
      <c r="S287" t="inlineStr">
        <is>
          <t>Serpentina modelo 02</t>
        </is>
      </c>
      <c r="T287" t="n">
        <v>1</v>
      </c>
      <c r="U287" t="n">
        <v>123</v>
      </c>
      <c r="V287">
        <f>IF(J287="","",MONTH(J287))</f>
        <v/>
      </c>
      <c r="W287">
        <f>IF(J287="","",YEAR(J287))</f>
        <v/>
      </c>
      <c r="X287" t="inlineStr">
        <is>
          <t>CargoMax</t>
        </is>
      </c>
      <c r="Y287">
        <f>IFERROR(INDEX(Rastreio!$H$2:$H$200,MATCH(X287&amp;"|"&amp;U287,Rastreio!$A$2:$A$200,0)),"")</f>
        <v/>
      </c>
    </row>
    <row r="288">
      <c r="A288">
        <f>IFERROR(INDEX(STAs!$G$2:$G$61,MATCH(P288,STAs!$F$2:$F$61,0))&amp;"","")</f>
        <v/>
      </c>
      <c r="B288" t="n">
        <v>20024810</v>
      </c>
      <c r="C288" t="inlineStr">
        <is>
          <t>Não</t>
        </is>
      </c>
      <c r="D288" t="inlineStr">
        <is>
          <t>PR</t>
        </is>
      </c>
      <c r="E288" t="inlineStr">
        <is>
          <t>SUL</t>
        </is>
      </c>
      <c r="F288" t="inlineStr">
        <is>
          <t>Cliente B - Chopeira</t>
        </is>
      </c>
      <c r="G288" t="inlineStr">
        <is>
          <t>Refrigeradores</t>
        </is>
      </c>
      <c r="H288" s="10" t="n">
        <v>45</v>
      </c>
      <c r="I288" s="10">
        <f>IFERROR(T288*H288,0)</f>
        <v/>
      </c>
      <c r="J288" s="11" t="n">
        <v>45954</v>
      </c>
      <c r="K288" s="11" t="n">
        <v>45990</v>
      </c>
      <c r="L288" t="inlineStr">
        <is>
          <t>Ok. Devolvida</t>
        </is>
      </c>
      <c r="M288">
        <f>IF(L288="","",IFERROR(VLOOKUP(L288,mapGrupoStatus,2,0),"Outros"))</f>
        <v/>
      </c>
      <c r="N288">
        <f>IF(O288="","",IF(O288&lt;=30,"0-30 dias",IF(O288&lt;=60,"31-60 dias",IF(O288&lt;=90,"61-90 dias","Mais de 90 dias"))))</f>
        <v/>
      </c>
      <c r="O288">
        <f>IF(OR(M288="Pendente",M288="Em andamento"),IF(J288="","",TODAY()-J288),"")</f>
        <v/>
      </c>
      <c r="P288" t="n">
        <v>11898</v>
      </c>
      <c r="Q288" t="inlineStr">
        <is>
          <t>Refrigel Express (11898)</t>
        </is>
      </c>
      <c r="R288" t="inlineStr">
        <is>
          <t>PC-0019</t>
        </is>
      </c>
      <c r="S288" t="inlineStr">
        <is>
          <t>Gaxeta da porta modelo 02</t>
        </is>
      </c>
      <c r="T288" t="n">
        <v>2</v>
      </c>
      <c r="U288" t="n">
        <v>136</v>
      </c>
      <c r="V288">
        <f>IF(J288="","",MONTH(J288))</f>
        <v/>
      </c>
      <c r="W288">
        <f>IF(J288="","",YEAR(J288))</f>
        <v/>
      </c>
      <c r="X288" t="inlineStr">
        <is>
          <t>EntregaJá</t>
        </is>
      </c>
      <c r="Y288">
        <f>IFERROR(INDEX(Rastreio!$H$2:$H$200,MATCH(X288&amp;"|"&amp;U288,Rastreio!$A$2:$A$200,0)),"")</f>
        <v/>
      </c>
    </row>
    <row r="289">
      <c r="A289">
        <f>IFERROR(INDEX(STAs!$G$2:$G$61,MATCH(P289,STAs!$F$2:$F$61,0))&amp;"","")</f>
        <v/>
      </c>
      <c r="B289" t="n">
        <v>20025152</v>
      </c>
      <c r="C289" t="inlineStr">
        <is>
          <t>Não</t>
        </is>
      </c>
      <c r="D289" t="inlineStr">
        <is>
          <t>PI</t>
        </is>
      </c>
      <c r="E289" t="inlineStr">
        <is>
          <t>NORDESTE</t>
        </is>
      </c>
      <c r="F289" t="inlineStr">
        <is>
          <t>Cliente B - Chopeira</t>
        </is>
      </c>
      <c r="G289" t="inlineStr">
        <is>
          <t>Refrigeradores</t>
        </is>
      </c>
      <c r="H289" s="10" t="n">
        <v>45</v>
      </c>
      <c r="I289" s="10">
        <f>IFERROR(T289*H289,0)</f>
        <v/>
      </c>
      <c r="J289" s="11" t="n">
        <v>45954</v>
      </c>
      <c r="K289" s="11" t="n">
        <v>45997</v>
      </c>
      <c r="L289" t="inlineStr">
        <is>
          <t>Ok. Devolvida</t>
        </is>
      </c>
      <c r="M289">
        <f>IF(L289="","",IFERROR(VLOOKUP(L289,mapGrupoStatus,2,0),"Outros"))</f>
        <v/>
      </c>
      <c r="N289">
        <f>IF(O289="","",IF(O289&lt;=30,"0-30 dias",IF(O289&lt;=60,"31-60 dias",IF(O289&lt;=90,"61-90 dias","Mais de 90 dias"))))</f>
        <v/>
      </c>
      <c r="O289">
        <f>IF(OR(M289="Pendente",M289="Em andamento"),IF(J289="","",TODAY()-J289),"")</f>
        <v/>
      </c>
      <c r="P289" t="n">
        <v>10562</v>
      </c>
      <c r="Q289" t="inlineStr">
        <is>
          <t>Clima &amp; Cia (10562)</t>
        </is>
      </c>
      <c r="R289" t="inlineStr">
        <is>
          <t>PC-0018</t>
        </is>
      </c>
      <c r="S289" t="inlineStr">
        <is>
          <t>Gaxeta da porta modelo 01</t>
        </is>
      </c>
      <c r="T289" t="n">
        <v>1</v>
      </c>
      <c r="U289" t="n">
        <v>141</v>
      </c>
      <c r="V289">
        <f>IF(J289="","",MONTH(J289))</f>
        <v/>
      </c>
      <c r="W289">
        <f>IF(J289="","",YEAR(J289))</f>
        <v/>
      </c>
      <c r="X289" t="inlineStr">
        <is>
          <t>ViaCargo</t>
        </is>
      </c>
      <c r="Y289">
        <f>IFERROR(INDEX(Rastreio!$H$2:$H$200,MATCH(X289&amp;"|"&amp;U289,Rastreio!$A$2:$A$200,0)),"")</f>
        <v/>
      </c>
    </row>
    <row r="290">
      <c r="A290">
        <f>IFERROR(INDEX(STAs!$G$2:$G$61,MATCH(P290,STAs!$F$2:$F$61,0))&amp;"","")</f>
        <v/>
      </c>
      <c r="B290" t="n">
        <v>20025904</v>
      </c>
      <c r="C290" t="inlineStr">
        <is>
          <t>Não</t>
        </is>
      </c>
      <c r="D290" t="inlineStr">
        <is>
          <t>PR</t>
        </is>
      </c>
      <c r="E290" t="inlineStr">
        <is>
          <t>SUL</t>
        </is>
      </c>
      <c r="F290" t="inlineStr">
        <is>
          <t>Cliente A - Refrigerador</t>
        </is>
      </c>
      <c r="G290" t="inlineStr">
        <is>
          <t>Refrigeradores</t>
        </is>
      </c>
      <c r="H290" s="10" t="n">
        <v>55</v>
      </c>
      <c r="I290" s="10">
        <f>IFERROR(T290*H290,0)</f>
        <v/>
      </c>
      <c r="J290" s="11" t="n">
        <v>45954</v>
      </c>
      <c r="K290" s="11" t="n">
        <v>45960</v>
      </c>
      <c r="L290" t="inlineStr">
        <is>
          <t>Ok. Devolvida</t>
        </is>
      </c>
      <c r="M290">
        <f>IF(L290="","",IFERROR(VLOOKUP(L290,mapGrupoStatus,2,0),"Outros"))</f>
        <v/>
      </c>
      <c r="N290">
        <f>IF(O290="","",IF(O290&lt;=30,"0-30 dias",IF(O290&lt;=60,"31-60 dias",IF(O290&lt;=90,"61-90 dias","Mais de 90 dias"))))</f>
        <v/>
      </c>
      <c r="O290">
        <f>IF(OR(M290="Pendente",M290="Em andamento"),IF(J290="","",TODAY()-J290),"")</f>
        <v/>
      </c>
      <c r="P290" t="n">
        <v>11898</v>
      </c>
      <c r="Q290" t="inlineStr">
        <is>
          <t>Refrigel Express (11898)</t>
        </is>
      </c>
      <c r="R290" t="inlineStr">
        <is>
          <t>PC-0007</t>
        </is>
      </c>
      <c r="S290" t="inlineStr">
        <is>
          <t>Ventilador modelo 01</t>
        </is>
      </c>
      <c r="T290" t="n">
        <v>1</v>
      </c>
      <c r="U290" t="n">
        <v>143</v>
      </c>
      <c r="V290">
        <f>IF(J290="","",MONTH(J290))</f>
        <v/>
      </c>
      <c r="W290">
        <f>IF(J290="","",YEAR(J290))</f>
        <v/>
      </c>
      <c r="X290" t="inlineStr">
        <is>
          <t>CargoMax</t>
        </is>
      </c>
      <c r="Y290">
        <f>IFERROR(INDEX(Rastreio!$H$2:$H$200,MATCH(X290&amp;"|"&amp;U290,Rastreio!$A$2:$A$200,0)),"")</f>
        <v/>
      </c>
    </row>
    <row r="291">
      <c r="A291">
        <f>IFERROR(INDEX(STAs!$G$2:$G$61,MATCH(P291,STAs!$F$2:$F$61,0))&amp;"","")</f>
        <v/>
      </c>
      <c r="B291" t="n">
        <v>20030136</v>
      </c>
      <c r="C291" t="inlineStr">
        <is>
          <t>Não</t>
        </is>
      </c>
      <c r="D291" t="inlineStr">
        <is>
          <t>RS</t>
        </is>
      </c>
      <c r="E291" t="inlineStr">
        <is>
          <t>SUL</t>
        </is>
      </c>
      <c r="F291" t="inlineStr">
        <is>
          <t>Cliente A - Refrigerador</t>
        </is>
      </c>
      <c r="G291" t="inlineStr">
        <is>
          <t>Misturadores</t>
        </is>
      </c>
      <c r="H291" s="10" t="n">
        <v>60</v>
      </c>
      <c r="I291" s="10">
        <f>IFERROR(T291*H291,0)</f>
        <v/>
      </c>
      <c r="J291" s="11" t="n">
        <v>45954</v>
      </c>
      <c r="K291" s="11" t="n">
        <v>45963</v>
      </c>
      <c r="L291" t="inlineStr">
        <is>
          <t>Ok. Devolvida</t>
        </is>
      </c>
      <c r="M291">
        <f>IF(L291="","",IFERROR(VLOOKUP(L291,mapGrupoStatus,2,0),"Outros"))</f>
        <v/>
      </c>
      <c r="N291">
        <f>IF(O291="","",IF(O291&lt;=30,"0-30 dias",IF(O291&lt;=60,"31-60 dias",IF(O291&lt;=90,"61-90 dias","Mais de 90 dias"))))</f>
        <v/>
      </c>
      <c r="O291">
        <f>IF(OR(M291="Pendente",M291="Em andamento"),IF(J291="","",TODAY()-J291),"")</f>
        <v/>
      </c>
      <c r="P291" t="n">
        <v>12617</v>
      </c>
      <c r="Q291" t="inlineStr">
        <is>
          <t>Gelo Manutenção (12617)</t>
        </is>
      </c>
      <c r="R291" t="inlineStr">
        <is>
          <t>PC-0048</t>
        </is>
      </c>
      <c r="S291" t="inlineStr">
        <is>
          <t>Sensor de nível modelo 04</t>
        </is>
      </c>
      <c r="T291" t="n">
        <v>1</v>
      </c>
      <c r="U291" t="n">
        <v>152</v>
      </c>
      <c r="V291">
        <f>IF(J291="","",MONTH(J291))</f>
        <v/>
      </c>
      <c r="W291">
        <f>IF(J291="","",YEAR(J291))</f>
        <v/>
      </c>
      <c r="X291" t="inlineStr">
        <is>
          <t>RotaSul</t>
        </is>
      </c>
      <c r="Y291">
        <f>IFERROR(INDEX(Rastreio!$H$2:$H$200,MATCH(X291&amp;"|"&amp;U291,Rastreio!$A$2:$A$200,0)),"")</f>
        <v/>
      </c>
    </row>
    <row r="292">
      <c r="A292">
        <f>IFERROR(INDEX(STAs!$G$2:$G$61,MATCH(P292,STAs!$F$2:$F$61,0))&amp;"","")</f>
        <v/>
      </c>
      <c r="B292" t="n">
        <v>20040084</v>
      </c>
      <c r="C292" t="inlineStr">
        <is>
          <t>Não</t>
        </is>
      </c>
      <c r="D292" t="inlineStr">
        <is>
          <t>BA</t>
        </is>
      </c>
      <c r="E292" t="inlineStr">
        <is>
          <t>NORDESTE</t>
        </is>
      </c>
      <c r="F292" t="inlineStr">
        <is>
          <t>Cliente A - Refrigerador</t>
        </is>
      </c>
      <c r="G292" t="inlineStr">
        <is>
          <t>Refrigeradores</t>
        </is>
      </c>
      <c r="H292" s="10" t="n">
        <v>155</v>
      </c>
      <c r="I292" s="10">
        <f>IFERROR(T292*H292,0)</f>
        <v/>
      </c>
      <c r="J292" s="11" t="n">
        <v>45954</v>
      </c>
      <c r="K292" s="11" t="n">
        <v>46011</v>
      </c>
      <c r="L292" t="inlineStr">
        <is>
          <t>Ok. Devolvida</t>
        </is>
      </c>
      <c r="M292">
        <f>IF(L292="","",IFERROR(VLOOKUP(L292,mapGrupoStatus,2,0),"Outros"))</f>
        <v/>
      </c>
      <c r="N292">
        <f>IF(O292="","",IF(O292&lt;=30,"0-30 dias",IF(O292&lt;=60,"31-60 dias",IF(O292&lt;=90,"61-90 dias","Mais de 90 dias"))))</f>
        <v/>
      </c>
      <c r="O292">
        <f>IF(OR(M292="Pendente",M292="Em andamento"),IF(J292="","",TODAY()-J292),"")</f>
        <v/>
      </c>
      <c r="P292" t="n">
        <v>11244</v>
      </c>
      <c r="Q292" t="inlineStr">
        <is>
          <t>Refrigeração Manutenção (11244)</t>
        </is>
      </c>
      <c r="R292" t="inlineStr">
        <is>
          <t>PC-0022</t>
        </is>
      </c>
      <c r="S292" t="inlineStr">
        <is>
          <t>Controlador digital modelo 02</t>
        </is>
      </c>
      <c r="T292" t="n">
        <v>1</v>
      </c>
      <c r="U292" t="n">
        <v>170</v>
      </c>
      <c r="V292">
        <f>IF(J292="","",MONTH(J292))</f>
        <v/>
      </c>
      <c r="W292">
        <f>IF(J292="","",YEAR(J292))</f>
        <v/>
      </c>
      <c r="X292" t="inlineStr">
        <is>
          <t>CargoMax</t>
        </is>
      </c>
      <c r="Y292">
        <f>IFERROR(INDEX(Rastreio!$H$2:$H$200,MATCH(X292&amp;"|"&amp;U292,Rastreio!$A$2:$A$200,0)),"")</f>
        <v/>
      </c>
    </row>
    <row r="293">
      <c r="A293">
        <f>IFERROR(INDEX(STAs!$G$2:$G$61,MATCH(P293,STAs!$F$2:$F$61,0))&amp;"","")</f>
        <v/>
      </c>
      <c r="B293" t="n">
        <v>20009178</v>
      </c>
      <c r="C293" t="inlineStr">
        <is>
          <t>Não</t>
        </is>
      </c>
      <c r="D293" t="inlineStr">
        <is>
          <t>MG</t>
        </is>
      </c>
      <c r="E293" t="inlineStr">
        <is>
          <t>SUDESTE MG</t>
        </is>
      </c>
      <c r="F293" t="inlineStr">
        <is>
          <t>Cliente B - Chopeira</t>
        </is>
      </c>
      <c r="G293" t="inlineStr">
        <is>
          <t>Misturadores</t>
        </is>
      </c>
      <c r="H293" s="10" t="n">
        <v>60</v>
      </c>
      <c r="I293" s="10">
        <f>IFERROR(T293*H293,0)</f>
        <v/>
      </c>
      <c r="J293" s="11" t="n">
        <v>45955</v>
      </c>
      <c r="K293" s="11" t="n">
        <v>45972</v>
      </c>
      <c r="L293" t="inlineStr">
        <is>
          <t>Ok. Devolvida</t>
        </is>
      </c>
      <c r="M293">
        <f>IF(L293="","",IFERROR(VLOOKUP(L293,mapGrupoStatus,2,0),"Outros"))</f>
        <v/>
      </c>
      <c r="N293">
        <f>IF(O293="","",IF(O293&lt;=30,"0-30 dias",IF(O293&lt;=60,"31-60 dias",IF(O293&lt;=90,"61-90 dias","Mais de 90 dias"))))</f>
        <v/>
      </c>
      <c r="O293">
        <f>IF(OR(M293="Pendente",M293="Em andamento"),IF(J293="","",TODAY()-J293),"")</f>
        <v/>
      </c>
      <c r="P293" t="n">
        <v>12470</v>
      </c>
      <c r="Q293" t="inlineStr">
        <is>
          <t>Cool Service Técnica (12470)</t>
        </is>
      </c>
      <c r="R293" t="inlineStr">
        <is>
          <t>PC-0046</t>
        </is>
      </c>
      <c r="S293" t="inlineStr">
        <is>
          <t>Sensor de nível modelo 02</t>
        </is>
      </c>
      <c r="T293" t="n">
        <v>1</v>
      </c>
      <c r="U293" t="n">
        <v>115</v>
      </c>
      <c r="V293">
        <f>IF(J293="","",MONTH(J293))</f>
        <v/>
      </c>
      <c r="W293">
        <f>IF(J293="","",YEAR(J293))</f>
        <v/>
      </c>
      <c r="X293" t="inlineStr">
        <is>
          <t>TransNorte</t>
        </is>
      </c>
      <c r="Y293">
        <f>IFERROR(INDEX(Rastreio!$H$2:$H$200,MATCH(X293&amp;"|"&amp;U293,Rastreio!$A$2:$A$200,0)),"")</f>
        <v/>
      </c>
    </row>
    <row r="294">
      <c r="A294">
        <f>IFERROR(INDEX(STAs!$G$2:$G$61,MATCH(P294,STAs!$F$2:$F$61,0))&amp;"","")</f>
        <v/>
      </c>
      <c r="B294" t="n">
        <v>20010732</v>
      </c>
      <c r="C294" t="inlineStr">
        <is>
          <t>Não</t>
        </is>
      </c>
      <c r="D294" t="inlineStr">
        <is>
          <t>RJ</t>
        </is>
      </c>
      <c r="E294" t="inlineStr">
        <is>
          <t>SUDESTE RJ e ES</t>
        </is>
      </c>
      <c r="F294" t="inlineStr">
        <is>
          <t>Cliente C - Misturador</t>
        </is>
      </c>
      <c r="G294" t="inlineStr">
        <is>
          <t>Chopeiras</t>
        </is>
      </c>
      <c r="H294" s="10" t="n">
        <v>100</v>
      </c>
      <c r="I294" s="10">
        <f>IFERROR(T294*H294,0)</f>
        <v/>
      </c>
      <c r="J294" s="11" t="n">
        <v>45955</v>
      </c>
      <c r="K294" s="11" t="n">
        <v>46001</v>
      </c>
      <c r="L294" t="inlineStr">
        <is>
          <t>Ok. Devolvida</t>
        </is>
      </c>
      <c r="M294">
        <f>IF(L294="","",IFERROR(VLOOKUP(L294,mapGrupoStatus,2,0),"Outros"))</f>
        <v/>
      </c>
      <c r="N294">
        <f>IF(O294="","",IF(O294&lt;=30,"0-30 dias",IF(O294&lt;=60,"31-60 dias",IF(O294&lt;=90,"61-90 dias","Mais de 90 dias"))))</f>
        <v/>
      </c>
      <c r="O294">
        <f>IF(OR(M294="Pendente",M294="Em andamento"),IF(J294="","",TODAY()-J294),"")</f>
        <v/>
      </c>
      <c r="P294" t="n">
        <v>11059</v>
      </c>
      <c r="Q294" t="inlineStr">
        <is>
          <t>Frio Ltda (11059)</t>
        </is>
      </c>
      <c r="R294" t="inlineStr">
        <is>
          <t>PC-0027</t>
        </is>
      </c>
      <c r="S294" t="inlineStr">
        <is>
          <t>Torneira de chopp modelo 02</t>
        </is>
      </c>
      <c r="T294" t="n">
        <v>1</v>
      </c>
      <c r="U294" t="n">
        <v>121</v>
      </c>
      <c r="V294">
        <f>IF(J294="","",MONTH(J294))</f>
        <v/>
      </c>
      <c r="W294">
        <f>IF(J294="","",YEAR(J294))</f>
        <v/>
      </c>
      <c r="X294" t="inlineStr">
        <is>
          <t>CargoMax</t>
        </is>
      </c>
      <c r="Y294">
        <f>IFERROR(INDEX(Rastreio!$H$2:$H$200,MATCH(X294&amp;"|"&amp;U294,Rastreio!$A$2:$A$200,0)),"")</f>
        <v/>
      </c>
    </row>
    <row r="295">
      <c r="A295">
        <f>IFERROR(INDEX(STAs!$G$2:$G$61,MATCH(P295,STAs!$F$2:$F$61,0))&amp;"","")</f>
        <v/>
      </c>
      <c r="B295" t="n">
        <v>20023117</v>
      </c>
      <c r="C295" t="inlineStr">
        <is>
          <t>Não</t>
        </is>
      </c>
      <c r="D295" t="inlineStr">
        <is>
          <t>AP</t>
        </is>
      </c>
      <c r="E295" t="inlineStr">
        <is>
          <t>NORTE</t>
        </is>
      </c>
      <c r="F295" t="inlineStr">
        <is>
          <t>Cliente B - Chopeira</t>
        </is>
      </c>
      <c r="G295" t="inlineStr">
        <is>
          <t>Misturadores</t>
        </is>
      </c>
      <c r="H295" s="10" t="n">
        <v>265</v>
      </c>
      <c r="I295" s="10">
        <f>IFERROR(T295*H295,0)</f>
        <v/>
      </c>
      <c r="J295" s="11" t="n">
        <v>45955</v>
      </c>
      <c r="K295" s="11" t="n">
        <v>45989</v>
      </c>
      <c r="L295" t="inlineStr">
        <is>
          <t>Ok. Devolvida</t>
        </is>
      </c>
      <c r="M295">
        <f>IF(L295="","",IFERROR(VLOOKUP(L295,mapGrupoStatus,2,0),"Outros"))</f>
        <v/>
      </c>
      <c r="N295">
        <f>IF(O295="","",IF(O295&lt;=30,"0-30 dias",IF(O295&lt;=60,"31-60 dias",IF(O295&lt;=90,"61-90 dias","Mais de 90 dias"))))</f>
        <v/>
      </c>
      <c r="O295">
        <f>IF(OR(M295="Pendente",M295="Em andamento"),IF(J295="","",TODAY()-J295),"")</f>
        <v/>
      </c>
      <c r="P295" t="n">
        <v>11859</v>
      </c>
      <c r="Q295" t="inlineStr">
        <is>
          <t>Ice Tech Serviços (11859)</t>
        </is>
      </c>
      <c r="R295" t="inlineStr">
        <is>
          <t>PC-0038</t>
        </is>
      </c>
      <c r="S295" t="inlineStr">
        <is>
          <t>Bomba de recirculação modelo 02</t>
        </is>
      </c>
      <c r="T295" t="n">
        <v>2</v>
      </c>
      <c r="U295" t="n">
        <v>139</v>
      </c>
      <c r="V295">
        <f>IF(J295="","",MONTH(J295))</f>
        <v/>
      </c>
      <c r="W295">
        <f>IF(J295="","",YEAR(J295))</f>
        <v/>
      </c>
      <c r="X295" t="inlineStr">
        <is>
          <t>ViaCargo</t>
        </is>
      </c>
      <c r="Y295">
        <f>IFERROR(INDEX(Rastreio!$H$2:$H$200,MATCH(X295&amp;"|"&amp;U295,Rastreio!$A$2:$A$200,0)),"")</f>
        <v/>
      </c>
    </row>
    <row r="296">
      <c r="A296">
        <f>IFERROR(INDEX(STAs!$G$2:$G$61,MATCH(P296,STAs!$F$2:$F$61,0))&amp;"","")</f>
        <v/>
      </c>
      <c r="B296" t="n">
        <v>20038697</v>
      </c>
      <c r="C296" t="inlineStr">
        <is>
          <t>Não</t>
        </is>
      </c>
      <c r="D296" t="inlineStr">
        <is>
          <t>SP</t>
        </is>
      </c>
      <c r="E296" t="inlineStr">
        <is>
          <t>SUDESTE SP</t>
        </is>
      </c>
      <c r="F296" t="inlineStr">
        <is>
          <t>Cliente C - Misturador</t>
        </is>
      </c>
      <c r="G296" t="inlineStr">
        <is>
          <t>Refrigeradores</t>
        </is>
      </c>
      <c r="H296" s="10" t="n">
        <v>25</v>
      </c>
      <c r="I296" s="10">
        <f>IFERROR(T296*H296,0)</f>
        <v/>
      </c>
      <c r="J296" s="11" t="n">
        <v>45955</v>
      </c>
      <c r="K296" s="11" t="n">
        <v>46002</v>
      </c>
      <c r="L296" t="inlineStr">
        <is>
          <t>Ok. Devolvida</t>
        </is>
      </c>
      <c r="M296">
        <f>IF(L296="","",IFERROR(VLOOKUP(L296,mapGrupoStatus,2,0),"Outros"))</f>
        <v/>
      </c>
      <c r="N296">
        <f>IF(O296="","",IF(O296&lt;=30,"0-30 dias",IF(O296&lt;=60,"31-60 dias",IF(O296&lt;=90,"61-90 dias","Mais de 90 dias"))))</f>
        <v/>
      </c>
      <c r="O296">
        <f>IF(OR(M296="Pendente",M296="Em andamento"),IF(J296="","",TODAY()-J296),"")</f>
        <v/>
      </c>
      <c r="P296" t="n">
        <v>12901</v>
      </c>
      <c r="Q296" t="inlineStr">
        <is>
          <t>Frio Serviços (12901)</t>
        </is>
      </c>
      <c r="R296" t="inlineStr">
        <is>
          <t>PC-0015</t>
        </is>
      </c>
      <c r="S296" t="inlineStr">
        <is>
          <t>Filtro secador modelo 01</t>
        </is>
      </c>
      <c r="T296" t="n">
        <v>2</v>
      </c>
      <c r="U296" t="n">
        <v>158</v>
      </c>
      <c r="V296">
        <f>IF(J296="","",MONTH(J296))</f>
        <v/>
      </c>
      <c r="W296">
        <f>IF(J296="","",YEAR(J296))</f>
        <v/>
      </c>
      <c r="X296" t="inlineStr">
        <is>
          <t>ViaCargo</t>
        </is>
      </c>
      <c r="Y296">
        <f>IFERROR(INDEX(Rastreio!$H$2:$H$200,MATCH(X296&amp;"|"&amp;U296,Rastreio!$A$2:$A$200,0)),"")</f>
        <v/>
      </c>
    </row>
    <row r="297">
      <c r="A297">
        <f>IFERROR(INDEX(STAs!$G$2:$G$61,MATCH(P297,STAs!$F$2:$F$61,0))&amp;"","")</f>
        <v/>
      </c>
      <c r="B297" t="n">
        <v>20001821</v>
      </c>
      <c r="C297" t="inlineStr">
        <is>
          <t>Não</t>
        </is>
      </c>
      <c r="D297" t="inlineStr">
        <is>
          <t>RO</t>
        </is>
      </c>
      <c r="E297" t="inlineStr">
        <is>
          <t>NORTE</t>
        </is>
      </c>
      <c r="F297" t="inlineStr">
        <is>
          <t>Cliente B - Chopeira</t>
        </is>
      </c>
      <c r="G297" t="inlineStr">
        <is>
          <t>Chopeiras</t>
        </is>
      </c>
      <c r="H297" s="10" t="n">
        <v>205</v>
      </c>
      <c r="I297" s="10">
        <f>IFERROR(T297*H297,0)</f>
        <v/>
      </c>
      <c r="J297" s="11" t="n">
        <v>45956</v>
      </c>
      <c r="K297" s="11" t="n">
        <v>45968</v>
      </c>
      <c r="L297" t="inlineStr">
        <is>
          <t>Ok. Devolvida</t>
        </is>
      </c>
      <c r="M297">
        <f>IF(L297="","",IFERROR(VLOOKUP(L297,mapGrupoStatus,2,0),"Outros"))</f>
        <v/>
      </c>
      <c r="N297">
        <f>IF(O297="","",IF(O297&lt;=30,"0-30 dias",IF(O297&lt;=60,"31-60 dias",IF(O297&lt;=90,"61-90 dias","Mais de 90 dias"))))</f>
        <v/>
      </c>
      <c r="O297">
        <f>IF(OR(M297="Pendente",M297="Em andamento"),IF(J297="","",TODAY()-J297),"")</f>
        <v/>
      </c>
      <c r="P297" t="n">
        <v>12019</v>
      </c>
      <c r="Q297" t="inlineStr">
        <is>
          <t>Ártico Serviços (12019)</t>
        </is>
      </c>
      <c r="R297" t="inlineStr">
        <is>
          <t>PC-0031</t>
        </is>
      </c>
      <c r="S297" t="inlineStr">
        <is>
          <t>Serpentina modelo 03</t>
        </is>
      </c>
      <c r="T297" t="n">
        <v>2</v>
      </c>
      <c r="U297" t="n">
        <v>104</v>
      </c>
      <c r="V297">
        <f>IF(J297="","",MONTH(J297))</f>
        <v/>
      </c>
      <c r="W297">
        <f>IF(J297="","",YEAR(J297))</f>
        <v/>
      </c>
      <c r="X297" t="inlineStr">
        <is>
          <t>ViaCargo</t>
        </is>
      </c>
      <c r="Y297">
        <f>IFERROR(INDEX(Rastreio!$H$2:$H$200,MATCH(X297&amp;"|"&amp;U297,Rastreio!$A$2:$A$200,0)),"")</f>
        <v/>
      </c>
    </row>
    <row r="298">
      <c r="A298">
        <f>IFERROR(INDEX(STAs!$G$2:$G$61,MATCH(P298,STAs!$F$2:$F$61,0))&amp;"","")</f>
        <v/>
      </c>
      <c r="B298" t="n">
        <v>20009200</v>
      </c>
      <c r="C298" t="inlineStr">
        <is>
          <t>Não</t>
        </is>
      </c>
      <c r="D298" t="inlineStr">
        <is>
          <t>MG</t>
        </is>
      </c>
      <c r="E298" t="inlineStr">
        <is>
          <t>SUDESTE MG</t>
        </is>
      </c>
      <c r="F298" t="inlineStr">
        <is>
          <t>Cliente A - Refrigerador</t>
        </is>
      </c>
      <c r="G298" t="inlineStr">
        <is>
          <t>Refrigeradores</t>
        </is>
      </c>
      <c r="H298" s="10" t="n">
        <v>185</v>
      </c>
      <c r="I298" s="10">
        <f>IFERROR(T298*H298,0)</f>
        <v/>
      </c>
      <c r="J298" s="11" t="n">
        <v>45956</v>
      </c>
      <c r="K298" s="11" t="n"/>
      <c r="L298" t="inlineStr">
        <is>
          <t>Aguardando devolução</t>
        </is>
      </c>
      <c r="M298">
        <f>IF(L298="","",IFERROR(VLOOKUP(L298,mapGrupoStatus,2,0),"Outros"))</f>
        <v/>
      </c>
      <c r="N298">
        <f>IF(O298="","",IF(O298&lt;=30,"0-30 dias",IF(O298&lt;=60,"31-60 dias",IF(O298&lt;=90,"61-90 dias","Mais de 90 dias"))))</f>
        <v/>
      </c>
      <c r="O298">
        <f>IF(OR(M298="Pendente",M298="Em andamento"),IF(J298="","",TODAY()-J298),"")</f>
        <v/>
      </c>
      <c r="P298" t="n">
        <v>12470</v>
      </c>
      <c r="Q298" t="inlineStr">
        <is>
          <t>Cool Service Técnica (12470)</t>
        </is>
      </c>
      <c r="R298" t="inlineStr">
        <is>
          <t>PC-0013</t>
        </is>
      </c>
      <c r="S298" t="inlineStr">
        <is>
          <t>Placa eletrônica modelo 03</t>
        </is>
      </c>
      <c r="T298" t="n">
        <v>2</v>
      </c>
      <c r="U298" t="inlineStr"/>
      <c r="V298">
        <f>IF(J298="","",MONTH(J298))</f>
        <v/>
      </c>
      <c r="W298">
        <f>IF(J298="","",YEAR(J298))</f>
        <v/>
      </c>
      <c r="X298" t="inlineStr"/>
      <c r="Y298">
        <f>IFERROR(INDEX(Rastreio!$H$2:$H$200,MATCH(X298&amp;"|"&amp;U298,Rastreio!$A$2:$A$200,0)),"")</f>
        <v/>
      </c>
    </row>
    <row r="299">
      <c r="A299">
        <f>IFERROR(INDEX(STAs!$G$2:$G$61,MATCH(P299,STAs!$F$2:$F$61,0))&amp;"","")</f>
        <v/>
      </c>
      <c r="B299" t="n">
        <v>20012924</v>
      </c>
      <c r="C299" t="inlineStr">
        <is>
          <t>Não</t>
        </is>
      </c>
      <c r="D299" t="inlineStr">
        <is>
          <t>RS</t>
        </is>
      </c>
      <c r="E299" t="inlineStr">
        <is>
          <t>SUL</t>
        </is>
      </c>
      <c r="F299" t="inlineStr">
        <is>
          <t>Cliente B - Chopeira</t>
        </is>
      </c>
      <c r="G299" t="inlineStr">
        <is>
          <t>Misturadores</t>
        </is>
      </c>
      <c r="H299" s="10" t="n">
        <v>35</v>
      </c>
      <c r="I299" s="10">
        <f>IFERROR(T299*H299,0)</f>
        <v/>
      </c>
      <c r="J299" s="11" t="n">
        <v>45956</v>
      </c>
      <c r="K299" s="11" t="n">
        <v>46016</v>
      </c>
      <c r="L299" t="inlineStr">
        <is>
          <t>Ok. Devolvida</t>
        </is>
      </c>
      <c r="M299">
        <f>IF(L299="","",IFERROR(VLOOKUP(L299,mapGrupoStatus,2,0),"Outros"))</f>
        <v/>
      </c>
      <c r="N299">
        <f>IF(O299="","",IF(O299&lt;=30,"0-30 dias",IF(O299&lt;=60,"31-60 dias",IF(O299&lt;=90,"61-90 dias","Mais de 90 dias"))))</f>
        <v/>
      </c>
      <c r="O299">
        <f>IF(OR(M299="Pendente",M299="Em andamento"),IF(J299="","",TODAY()-J299),"")</f>
        <v/>
      </c>
      <c r="P299" t="n">
        <v>12617</v>
      </c>
      <c r="Q299" t="inlineStr">
        <is>
          <t>Gelo Manutenção (12617)</t>
        </is>
      </c>
      <c r="R299" t="inlineStr">
        <is>
          <t>PC-0043</t>
        </is>
      </c>
      <c r="S299" t="inlineStr">
        <is>
          <t>Bico dosador modelo 02</t>
        </is>
      </c>
      <c r="T299" t="n">
        <v>1</v>
      </c>
      <c r="U299" t="n">
        <v>124</v>
      </c>
      <c r="V299">
        <f>IF(J299="","",MONTH(J299))</f>
        <v/>
      </c>
      <c r="W299">
        <f>IF(J299="","",YEAR(J299))</f>
        <v/>
      </c>
      <c r="X299" t="inlineStr">
        <is>
          <t>EntregaJá</t>
        </is>
      </c>
      <c r="Y299">
        <f>IFERROR(INDEX(Rastreio!$H$2:$H$200,MATCH(X299&amp;"|"&amp;U299,Rastreio!$A$2:$A$200,0)),"")</f>
        <v/>
      </c>
    </row>
    <row r="300">
      <c r="A300">
        <f>IFERROR(INDEX(STAs!$G$2:$G$61,MATCH(P300,STAs!$F$2:$F$61,0))&amp;"","")</f>
        <v/>
      </c>
      <c r="B300" t="n">
        <v>20014298</v>
      </c>
      <c r="C300" t="inlineStr">
        <is>
          <t>Não</t>
        </is>
      </c>
      <c r="D300" t="inlineStr">
        <is>
          <t>PE</t>
        </is>
      </c>
      <c r="E300" t="inlineStr">
        <is>
          <t>NORDESTE</t>
        </is>
      </c>
      <c r="F300" t="inlineStr">
        <is>
          <t>Cliente B - Chopeira</t>
        </is>
      </c>
      <c r="G300" t="inlineStr">
        <is>
          <t>Refrigeradores</t>
        </is>
      </c>
      <c r="H300" s="10" t="n">
        <v>40</v>
      </c>
      <c r="I300" s="10">
        <f>IFERROR(T300*H300,0)</f>
        <v/>
      </c>
      <c r="J300" s="11" t="n">
        <v>45956</v>
      </c>
      <c r="K300" s="11" t="n"/>
      <c r="L300" t="inlineStr">
        <is>
          <t>Em andamento</t>
        </is>
      </c>
      <c r="M300">
        <f>IF(L300="","",IFERROR(VLOOKUP(L300,mapGrupoStatus,2,0),"Outros"))</f>
        <v/>
      </c>
      <c r="N300">
        <f>IF(O300="","",IF(O300&lt;=30,"0-30 dias",IF(O300&lt;=60,"31-60 dias",IF(O300&lt;=90,"61-90 dias","Mais de 90 dias"))))</f>
        <v/>
      </c>
      <c r="O300">
        <f>IF(OR(M300="Pendente",M300="Em andamento"),IF(J300="","",TODAY()-J300),"")</f>
        <v/>
      </c>
      <c r="P300" t="n">
        <v>11352</v>
      </c>
      <c r="Q300" t="inlineStr">
        <is>
          <t>Frio Express (11352)</t>
        </is>
      </c>
      <c r="R300" t="inlineStr">
        <is>
          <t>PC-0005</t>
        </is>
      </c>
      <c r="S300" t="inlineStr">
        <is>
          <t>Termostato modelo 02</t>
        </is>
      </c>
      <c r="T300" t="n">
        <v>1</v>
      </c>
      <c r="U300" t="n">
        <v>127</v>
      </c>
      <c r="V300">
        <f>IF(J300="","",MONTH(J300))</f>
        <v/>
      </c>
      <c r="W300">
        <f>IF(J300="","",YEAR(J300))</f>
        <v/>
      </c>
      <c r="X300" t="inlineStr">
        <is>
          <t>CargoMax</t>
        </is>
      </c>
      <c r="Y300">
        <f>IFERROR(INDEX(Rastreio!$H$2:$H$200,MATCH(X300&amp;"|"&amp;U300,Rastreio!$A$2:$A$200,0)),"")</f>
        <v/>
      </c>
    </row>
    <row r="301">
      <c r="A301">
        <f>IFERROR(INDEX(STAs!$G$2:$G$61,MATCH(P301,STAs!$F$2:$F$61,0))&amp;"","")</f>
        <v/>
      </c>
      <c r="B301" t="n">
        <v>20022628</v>
      </c>
      <c r="C301" t="inlineStr">
        <is>
          <t>Sim</t>
        </is>
      </c>
      <c r="D301" t="inlineStr">
        <is>
          <t>PR</t>
        </is>
      </c>
      <c r="E301" t="inlineStr">
        <is>
          <t>SUL</t>
        </is>
      </c>
      <c r="F301" t="inlineStr">
        <is>
          <t>Cliente B - Chopeira</t>
        </is>
      </c>
      <c r="G301" t="inlineStr">
        <is>
          <t>Misturadores</t>
        </is>
      </c>
      <c r="H301" s="10" t="n">
        <v>50</v>
      </c>
      <c r="I301" s="10">
        <f>IFERROR(T301*H301,0)</f>
        <v/>
      </c>
      <c r="J301" s="11" t="n">
        <v>45956</v>
      </c>
      <c r="K301" s="11" t="n"/>
      <c r="L301" t="inlineStr">
        <is>
          <t>Em andamento</t>
        </is>
      </c>
      <c r="M301">
        <f>IF(L301="","",IFERROR(VLOOKUP(L301,mapGrupoStatus,2,0),"Outros"))</f>
        <v/>
      </c>
      <c r="N301">
        <f>IF(O301="","",IF(O301&lt;=30,"0-30 dias",IF(O301&lt;=60,"31-60 dias",IF(O301&lt;=90,"61-90 dias","Mais de 90 dias"))))</f>
        <v/>
      </c>
      <c r="O301">
        <f>IF(OR(M301="Pendente",M301="Em andamento"),IF(J301="","",TODAY()-J301),"")</f>
        <v/>
      </c>
      <c r="P301" t="n">
        <v>12724</v>
      </c>
      <c r="Q301" t="inlineStr">
        <is>
          <t>Cool Service &amp; Cia (12724)</t>
        </is>
      </c>
      <c r="R301" t="inlineStr">
        <is>
          <t>PC-0047</t>
        </is>
      </c>
      <c r="S301" t="inlineStr">
        <is>
          <t>Sensor de nível modelo 03</t>
        </is>
      </c>
      <c r="T301" t="n">
        <v>1</v>
      </c>
      <c r="U301" t="n">
        <v>137</v>
      </c>
      <c r="V301">
        <f>IF(J301="","",MONTH(J301))</f>
        <v/>
      </c>
      <c r="W301">
        <f>IF(J301="","",YEAR(J301))</f>
        <v/>
      </c>
      <c r="X301" t="inlineStr">
        <is>
          <t>ViaCargo</t>
        </is>
      </c>
      <c r="Y301">
        <f>IFERROR(INDEX(Rastreio!$H$2:$H$200,MATCH(X301&amp;"|"&amp;U301,Rastreio!$A$2:$A$200,0)),"")</f>
        <v/>
      </c>
    </row>
    <row r="302">
      <c r="A302">
        <f>IFERROR(INDEX(STAs!$G$2:$G$61,MATCH(P302,STAs!$F$2:$F$61,0))&amp;"","")</f>
        <v/>
      </c>
      <c r="B302" t="n">
        <v>20035396</v>
      </c>
      <c r="C302" t="inlineStr">
        <is>
          <t>Não</t>
        </is>
      </c>
      <c r="D302" t="inlineStr">
        <is>
          <t>SP</t>
        </is>
      </c>
      <c r="E302" t="inlineStr">
        <is>
          <t>SUDESTE SP</t>
        </is>
      </c>
      <c r="F302" t="inlineStr">
        <is>
          <t>Cliente C - Misturador</t>
        </is>
      </c>
      <c r="G302" t="inlineStr">
        <is>
          <t>Chopeiras</t>
        </is>
      </c>
      <c r="H302" s="10" t="n">
        <v>205</v>
      </c>
      <c r="I302" s="10">
        <f>IFERROR(T302*H302,0)</f>
        <v/>
      </c>
      <c r="J302" s="11" t="n">
        <v>45956</v>
      </c>
      <c r="K302" s="11" t="n">
        <v>45963</v>
      </c>
      <c r="L302" t="inlineStr">
        <is>
          <t>Ok. Devolvida</t>
        </is>
      </c>
      <c r="M302">
        <f>IF(L302="","",IFERROR(VLOOKUP(L302,mapGrupoStatus,2,0),"Outros"))</f>
        <v/>
      </c>
      <c r="N302">
        <f>IF(O302="","",IF(O302&lt;=30,"0-30 dias",IF(O302&lt;=60,"31-60 dias",IF(O302&lt;=90,"61-90 dias","Mais de 90 dias"))))</f>
        <v/>
      </c>
      <c r="O302">
        <f>IF(OR(M302="Pendente",M302="Em andamento"),IF(J302="","",TODAY()-J302),"")</f>
        <v/>
      </c>
      <c r="P302" t="n">
        <v>10111</v>
      </c>
      <c r="Q302" t="inlineStr">
        <is>
          <t>Refrigel Manutenção (10111)</t>
        </is>
      </c>
      <c r="R302" t="inlineStr">
        <is>
          <t>PC-0031</t>
        </is>
      </c>
      <c r="S302" t="inlineStr">
        <is>
          <t>Serpentina modelo 03</t>
        </is>
      </c>
      <c r="T302" t="n">
        <v>2</v>
      </c>
      <c r="U302" t="n">
        <v>164</v>
      </c>
      <c r="V302">
        <f>IF(J302="","",MONTH(J302))</f>
        <v/>
      </c>
      <c r="W302">
        <f>IF(J302="","",YEAR(J302))</f>
        <v/>
      </c>
      <c r="X302" t="inlineStr">
        <is>
          <t>RotaSul</t>
        </is>
      </c>
      <c r="Y302">
        <f>IFERROR(INDEX(Rastreio!$H$2:$H$200,MATCH(X302&amp;"|"&amp;U302,Rastreio!$A$2:$A$200,0)),"")</f>
        <v/>
      </c>
    </row>
    <row r="303">
      <c r="A303">
        <f>IFERROR(INDEX(STAs!$G$2:$G$61,MATCH(P303,STAs!$F$2:$F$61,0))&amp;"","")</f>
        <v/>
      </c>
      <c r="B303" t="n">
        <v>20039935</v>
      </c>
      <c r="C303" t="inlineStr">
        <is>
          <t>Sim</t>
        </is>
      </c>
      <c r="D303" t="inlineStr">
        <is>
          <t>PR</t>
        </is>
      </c>
      <c r="E303" t="inlineStr">
        <is>
          <t>SUL</t>
        </is>
      </c>
      <c r="F303" t="inlineStr">
        <is>
          <t>Cliente A - Refrigerador</t>
        </is>
      </c>
      <c r="G303" t="inlineStr">
        <is>
          <t>Refrigeradores</t>
        </is>
      </c>
      <c r="H303" s="10" t="n">
        <v>55</v>
      </c>
      <c r="I303" s="10">
        <f>IFERROR(T303*H303,0)</f>
        <v/>
      </c>
      <c r="J303" s="11" t="n">
        <v>45956</v>
      </c>
      <c r="K303" s="11" t="n"/>
      <c r="L303" t="inlineStr">
        <is>
          <t>NPD</t>
        </is>
      </c>
      <c r="M303">
        <f>IF(L303="","",IFERROR(VLOOKUP(L303,mapGrupoStatus,2,0),"Outros"))</f>
        <v/>
      </c>
      <c r="N303">
        <f>IF(O303="","",IF(O303&lt;=30,"0-30 dias",IF(O303&lt;=60,"31-60 dias",IF(O303&lt;=90,"61-90 dias","Mais de 90 dias"))))</f>
        <v/>
      </c>
      <c r="O303">
        <f>IF(OR(M303="Pendente",M303="Em andamento"),IF(J303="","",TODAY()-J303),"")</f>
        <v/>
      </c>
      <c r="P303" t="n">
        <v>12724</v>
      </c>
      <c r="Q303" t="inlineStr">
        <is>
          <t>Cool Service &amp; Cia (12724)</t>
        </is>
      </c>
      <c r="R303" t="inlineStr">
        <is>
          <t>PC-0008</t>
        </is>
      </c>
      <c r="S303" t="inlineStr">
        <is>
          <t>Ventilador modelo 02</t>
        </is>
      </c>
      <c r="T303" t="n">
        <v>1</v>
      </c>
      <c r="U303" t="inlineStr"/>
      <c r="V303">
        <f>IF(J303="","",MONTH(J303))</f>
        <v/>
      </c>
      <c r="W303">
        <f>IF(J303="","",YEAR(J303))</f>
        <v/>
      </c>
      <c r="X303" t="inlineStr"/>
      <c r="Y303">
        <f>IFERROR(INDEX(Rastreio!$H$2:$H$200,MATCH(X303&amp;"|"&amp;U303,Rastreio!$A$2:$A$200,0)),"")</f>
        <v/>
      </c>
    </row>
    <row r="304">
      <c r="A304">
        <f>IFERROR(INDEX(STAs!$G$2:$G$61,MATCH(P304,STAs!$F$2:$F$61,0))&amp;"","")</f>
        <v/>
      </c>
      <c r="B304" t="n">
        <v>20019952</v>
      </c>
      <c r="C304" t="inlineStr">
        <is>
          <t>Não</t>
        </is>
      </c>
      <c r="D304" t="inlineStr">
        <is>
          <t>AC</t>
        </is>
      </c>
      <c r="E304" t="inlineStr">
        <is>
          <t>NORTE</t>
        </is>
      </c>
      <c r="F304" t="inlineStr">
        <is>
          <t>Cliente B - Chopeira</t>
        </is>
      </c>
      <c r="G304" t="inlineStr">
        <is>
          <t>Misturadores</t>
        </is>
      </c>
      <c r="H304" s="10" t="n">
        <v>255</v>
      </c>
      <c r="I304" s="10">
        <f>IFERROR(T304*H304,0)</f>
        <v/>
      </c>
      <c r="J304" s="11" t="n">
        <v>45957</v>
      </c>
      <c r="K304" s="11" t="n">
        <v>45964</v>
      </c>
      <c r="L304" t="inlineStr">
        <is>
          <t>Ok. Devolvida</t>
        </is>
      </c>
      <c r="M304">
        <f>IF(L304="","",IFERROR(VLOOKUP(L304,mapGrupoStatus,2,0),"Outros"))</f>
        <v/>
      </c>
      <c r="N304">
        <f>IF(O304="","",IF(O304&lt;=30,"0-30 dias",IF(O304&lt;=60,"31-60 dias",IF(O304&lt;=90,"61-90 dias","Mais de 90 dias"))))</f>
        <v/>
      </c>
      <c r="O304">
        <f>IF(OR(M304="Pendente",M304="Em andamento"),IF(J304="","",TODAY()-J304),"")</f>
        <v/>
      </c>
      <c r="P304" t="n">
        <v>10372</v>
      </c>
      <c r="Q304" t="inlineStr">
        <is>
          <t>Zero Grau ME (10372)</t>
        </is>
      </c>
      <c r="R304" t="inlineStr">
        <is>
          <t>PC-0039</t>
        </is>
      </c>
      <c r="S304" t="inlineStr">
        <is>
          <t>Bomba de recirculação modelo 03</t>
        </is>
      </c>
      <c r="T304" t="n">
        <v>1</v>
      </c>
      <c r="U304" t="n">
        <v>137</v>
      </c>
      <c r="V304">
        <f>IF(J304="","",MONTH(J304))</f>
        <v/>
      </c>
      <c r="W304">
        <f>IF(J304="","",YEAR(J304))</f>
        <v/>
      </c>
      <c r="X304" t="inlineStr">
        <is>
          <t>CargoMax</t>
        </is>
      </c>
      <c r="Y304">
        <f>IFERROR(INDEX(Rastreio!$H$2:$H$200,MATCH(X304&amp;"|"&amp;U304,Rastreio!$A$2:$A$200,0)),"")</f>
        <v/>
      </c>
    </row>
    <row r="305">
      <c r="A305">
        <f>IFERROR(INDEX(STAs!$G$2:$G$61,MATCH(P305,STAs!$F$2:$F$61,0))&amp;"","")</f>
        <v/>
      </c>
      <c r="B305" t="n">
        <v>20020530</v>
      </c>
      <c r="C305" t="inlineStr">
        <is>
          <t>Não</t>
        </is>
      </c>
      <c r="D305" t="inlineStr">
        <is>
          <t>MG</t>
        </is>
      </c>
      <c r="E305" t="inlineStr">
        <is>
          <t>SUDESTE MG</t>
        </is>
      </c>
      <c r="F305" t="inlineStr">
        <is>
          <t>Cliente C - Misturador</t>
        </is>
      </c>
      <c r="G305" t="inlineStr">
        <is>
          <t>Misturadores</t>
        </is>
      </c>
      <c r="H305" s="10" t="n">
        <v>185</v>
      </c>
      <c r="I305" s="10">
        <f>IFERROR(T305*H305,0)</f>
        <v/>
      </c>
      <c r="J305" s="11" t="n">
        <v>45957</v>
      </c>
      <c r="K305" s="11" t="n"/>
      <c r="L305" t="inlineStr">
        <is>
          <t>Aguardando devolução</t>
        </is>
      </c>
      <c r="M305">
        <f>IF(L305="","",IFERROR(VLOOKUP(L305,mapGrupoStatus,2,0),"Outros"))</f>
        <v/>
      </c>
      <c r="N305">
        <f>IF(O305="","",IF(O305&lt;=30,"0-30 dias",IF(O305&lt;=60,"31-60 dias",IF(O305&lt;=90,"61-90 dias","Mais de 90 dias"))))</f>
        <v/>
      </c>
      <c r="O305">
        <f>IF(OR(M305="Pendente",M305="Em andamento"),IF(J305="","",TODAY()-J305),"")</f>
        <v/>
      </c>
      <c r="P305" t="n">
        <v>12470</v>
      </c>
      <c r="Q305" t="inlineStr">
        <is>
          <t>Cool Service Técnica (12470)</t>
        </is>
      </c>
      <c r="R305" t="inlineStr">
        <is>
          <t>PC-0041</t>
        </is>
      </c>
      <c r="S305" t="inlineStr">
        <is>
          <t>Motor agitador modelo 02</t>
        </is>
      </c>
      <c r="T305" t="n">
        <v>1</v>
      </c>
      <c r="U305" t="inlineStr"/>
      <c r="V305">
        <f>IF(J305="","",MONTH(J305))</f>
        <v/>
      </c>
      <c r="W305">
        <f>IF(J305="","",YEAR(J305))</f>
        <v/>
      </c>
      <c r="X305" t="inlineStr"/>
      <c r="Y305">
        <f>IFERROR(INDEX(Rastreio!$H$2:$H$200,MATCH(X305&amp;"|"&amp;U305,Rastreio!$A$2:$A$200,0)),"")</f>
        <v/>
      </c>
    </row>
    <row r="306">
      <c r="A306">
        <f>IFERROR(INDEX(STAs!$G$2:$G$61,MATCH(P306,STAs!$F$2:$F$61,0))&amp;"","")</f>
        <v/>
      </c>
      <c r="B306" t="n">
        <v>20026185</v>
      </c>
      <c r="C306" t="inlineStr">
        <is>
          <t>Não</t>
        </is>
      </c>
      <c r="D306" t="inlineStr">
        <is>
          <t>PA</t>
        </is>
      </c>
      <c r="E306" t="inlineStr">
        <is>
          <t>NORTE</t>
        </is>
      </c>
      <c r="F306" t="inlineStr">
        <is>
          <t>Cliente A - Refrigerador</t>
        </is>
      </c>
      <c r="G306" t="inlineStr">
        <is>
          <t>Misturadores</t>
        </is>
      </c>
      <c r="H306" s="10" t="n">
        <v>265</v>
      </c>
      <c r="I306" s="10">
        <f>IFERROR(T306*H306,0)</f>
        <v/>
      </c>
      <c r="J306" s="11" t="n">
        <v>45957</v>
      </c>
      <c r="K306" s="11" t="n">
        <v>45968</v>
      </c>
      <c r="L306" t="inlineStr">
        <is>
          <t>Ok. Devolvida</t>
        </is>
      </c>
      <c r="M306">
        <f>IF(L306="","",IFERROR(VLOOKUP(L306,mapGrupoStatus,2,0),"Outros"))</f>
        <v/>
      </c>
      <c r="N306">
        <f>IF(O306="","",IF(O306&lt;=30,"0-30 dias",IF(O306&lt;=60,"31-60 dias",IF(O306&lt;=90,"61-90 dias","Mais de 90 dias"))))</f>
        <v/>
      </c>
      <c r="O306">
        <f>IF(OR(M306="Pendente",M306="Em andamento"),IF(J306="","",TODAY()-J306),"")</f>
        <v/>
      </c>
      <c r="P306" t="n">
        <v>11986</v>
      </c>
      <c r="Q306" t="inlineStr">
        <is>
          <t>Polar Serviços (11986)</t>
        </is>
      </c>
      <c r="R306" t="inlineStr">
        <is>
          <t>PC-0038</t>
        </is>
      </c>
      <c r="S306" t="inlineStr">
        <is>
          <t>Bomba de recirculação modelo 02</t>
        </is>
      </c>
      <c r="T306" t="n">
        <v>1</v>
      </c>
      <c r="U306" t="n">
        <v>146</v>
      </c>
      <c r="V306">
        <f>IF(J306="","",MONTH(J306))</f>
        <v/>
      </c>
      <c r="W306">
        <f>IF(J306="","",YEAR(J306))</f>
        <v/>
      </c>
      <c r="X306" t="inlineStr">
        <is>
          <t>TransNorte</t>
        </is>
      </c>
      <c r="Y306">
        <f>IFERROR(INDEX(Rastreio!$H$2:$H$200,MATCH(X306&amp;"|"&amp;U306,Rastreio!$A$2:$A$200,0)),"")</f>
        <v/>
      </c>
    </row>
    <row r="307">
      <c r="A307">
        <f>IFERROR(INDEX(STAs!$G$2:$G$61,MATCH(P307,STAs!$F$2:$F$61,0))&amp;"","")</f>
        <v/>
      </c>
      <c r="B307" t="n">
        <v>20027127</v>
      </c>
      <c r="C307" t="inlineStr">
        <is>
          <t>Não</t>
        </is>
      </c>
      <c r="D307" t="inlineStr">
        <is>
          <t>MG</t>
        </is>
      </c>
      <c r="E307" t="inlineStr">
        <is>
          <t>SUDESTE MG</t>
        </is>
      </c>
      <c r="F307" t="inlineStr">
        <is>
          <t>Cliente B - Chopeira</t>
        </is>
      </c>
      <c r="G307" t="inlineStr">
        <is>
          <t>Refrigeradores</t>
        </is>
      </c>
      <c r="H307" s="10" t="n">
        <v>35</v>
      </c>
      <c r="I307" s="10">
        <f>IFERROR(T307*H307,0)</f>
        <v/>
      </c>
      <c r="J307" s="11" t="n">
        <v>45957</v>
      </c>
      <c r="K307" s="11" t="n">
        <v>45963</v>
      </c>
      <c r="L307" t="inlineStr">
        <is>
          <t>Ok. Devolvida</t>
        </is>
      </c>
      <c r="M307">
        <f>IF(L307="","",IFERROR(VLOOKUP(L307,mapGrupoStatus,2,0),"Outros"))</f>
        <v/>
      </c>
      <c r="N307">
        <f>IF(O307="","",IF(O307&lt;=30,"0-30 dias",IF(O307&lt;=60,"31-60 dias",IF(O307&lt;=90,"61-90 dias","Mais de 90 dias"))))</f>
        <v/>
      </c>
      <c r="O307">
        <f>IF(OR(M307="Pendente",M307="Em andamento"),IF(J307="","",TODAY()-J307),"")</f>
        <v/>
      </c>
      <c r="P307" t="n">
        <v>12689</v>
      </c>
      <c r="Q307" t="inlineStr">
        <is>
          <t>Norte Frio Manutenção (12689)</t>
        </is>
      </c>
      <c r="R307" t="inlineStr">
        <is>
          <t>PC-0016</t>
        </is>
      </c>
      <c r="S307" t="inlineStr">
        <is>
          <t>Filtro secador modelo 02</t>
        </is>
      </c>
      <c r="T307" t="n">
        <v>2</v>
      </c>
      <c r="U307" t="n">
        <v>145</v>
      </c>
      <c r="V307">
        <f>IF(J307="","",MONTH(J307))</f>
        <v/>
      </c>
      <c r="W307">
        <f>IF(J307="","",YEAR(J307))</f>
        <v/>
      </c>
      <c r="X307" t="inlineStr">
        <is>
          <t>CargoMax</t>
        </is>
      </c>
      <c r="Y307">
        <f>IFERROR(INDEX(Rastreio!$H$2:$H$200,MATCH(X307&amp;"|"&amp;U307,Rastreio!$A$2:$A$200,0)),"")</f>
        <v/>
      </c>
    </row>
    <row r="308">
      <c r="A308">
        <f>IFERROR(INDEX(STAs!$G$2:$G$61,MATCH(P308,STAs!$F$2:$F$61,0))&amp;"","")</f>
        <v/>
      </c>
      <c r="B308" t="n">
        <v>20041070</v>
      </c>
      <c r="C308" t="inlineStr">
        <is>
          <t>Não</t>
        </is>
      </c>
      <c r="D308" t="inlineStr">
        <is>
          <t>MS</t>
        </is>
      </c>
      <c r="E308" t="inlineStr">
        <is>
          <t>CENTRO OESTE</t>
        </is>
      </c>
      <c r="F308" t="inlineStr">
        <is>
          <t>Cliente A - Refrigerador</t>
        </is>
      </c>
      <c r="G308" t="inlineStr">
        <is>
          <t>Chopeiras</t>
        </is>
      </c>
      <c r="H308" s="10" t="n">
        <v>115</v>
      </c>
      <c r="I308" s="10">
        <f>IFERROR(T308*H308,0)</f>
        <v/>
      </c>
      <c r="J308" s="11" t="n">
        <v>45957</v>
      </c>
      <c r="K308" s="11" t="n">
        <v>45985</v>
      </c>
      <c r="L308" t="inlineStr">
        <is>
          <t>Ok. Devolvida</t>
        </is>
      </c>
      <c r="M308">
        <f>IF(L308="","",IFERROR(VLOOKUP(L308,mapGrupoStatus,2,0),"Outros"))</f>
        <v/>
      </c>
      <c r="N308">
        <f>IF(O308="","",IF(O308&lt;=30,"0-30 dias",IF(O308&lt;=60,"31-60 dias",IF(O308&lt;=90,"61-90 dias","Mais de 90 dias"))))</f>
        <v/>
      </c>
      <c r="O308">
        <f>IF(OR(M308="Pendente",M308="Em andamento"),IF(J308="","",TODAY()-J308),"")</f>
        <v/>
      </c>
      <c r="P308" t="n">
        <v>11726</v>
      </c>
      <c r="Q308" t="inlineStr">
        <is>
          <t>Norte Frio Refrigeração (11726)</t>
        </is>
      </c>
      <c r="R308" t="inlineStr">
        <is>
          <t>PC-0033</t>
        </is>
      </c>
      <c r="S308" t="inlineStr">
        <is>
          <t>Regulador de pressão modelo 02</t>
        </is>
      </c>
      <c r="T308" t="n">
        <v>1</v>
      </c>
      <c r="U308" t="n">
        <v>172</v>
      </c>
      <c r="V308">
        <f>IF(J308="","",MONTH(J308))</f>
        <v/>
      </c>
      <c r="W308">
        <f>IF(J308="","",YEAR(J308))</f>
        <v/>
      </c>
      <c r="X308" t="inlineStr">
        <is>
          <t>CargoMax</t>
        </is>
      </c>
      <c r="Y308">
        <f>IFERROR(INDEX(Rastreio!$H$2:$H$200,MATCH(X308&amp;"|"&amp;U308,Rastreio!$A$2:$A$200,0)),"")</f>
        <v/>
      </c>
    </row>
    <row r="309">
      <c r="A309">
        <f>IFERROR(INDEX(STAs!$G$2:$G$61,MATCH(P309,STAs!$F$2:$F$61,0))&amp;"","")</f>
        <v/>
      </c>
      <c r="B309" t="n">
        <v>20004119</v>
      </c>
      <c r="C309" t="inlineStr">
        <is>
          <t>Não</t>
        </is>
      </c>
      <c r="D309" t="inlineStr">
        <is>
          <t>MG</t>
        </is>
      </c>
      <c r="E309" t="inlineStr">
        <is>
          <t>SUDESTE MG</t>
        </is>
      </c>
      <c r="F309" t="inlineStr">
        <is>
          <t>Cliente C - Misturador</t>
        </is>
      </c>
      <c r="G309" t="inlineStr">
        <is>
          <t>Refrigeradores</t>
        </is>
      </c>
      <c r="H309" s="10" t="n">
        <v>45</v>
      </c>
      <c r="I309" s="10">
        <f>IFERROR(T309*H309,0)</f>
        <v/>
      </c>
      <c r="J309" s="11" t="n">
        <v>45958</v>
      </c>
      <c r="K309" s="11" t="n">
        <v>46009</v>
      </c>
      <c r="L309" t="inlineStr">
        <is>
          <t>Ok. Devolvida</t>
        </is>
      </c>
      <c r="M309">
        <f>IF(L309="","",IFERROR(VLOOKUP(L309,mapGrupoStatus,2,0),"Outros"))</f>
        <v/>
      </c>
      <c r="N309">
        <f>IF(O309="","",IF(O309&lt;=30,"0-30 dias",IF(O309&lt;=60,"31-60 dias",IF(O309&lt;=90,"61-90 dias","Mais de 90 dias"))))</f>
        <v/>
      </c>
      <c r="O309">
        <f>IF(OR(M309="Pendente",M309="Em andamento"),IF(J309="","",TODAY()-J309),"")</f>
        <v/>
      </c>
      <c r="P309" t="n">
        <v>11487</v>
      </c>
      <c r="Q309" t="inlineStr">
        <is>
          <t>Assistência Técnica Manutenção (11487)</t>
        </is>
      </c>
      <c r="R309" t="inlineStr">
        <is>
          <t>PC-0018</t>
        </is>
      </c>
      <c r="S309" t="inlineStr">
        <is>
          <t>Gaxeta da porta modelo 01</t>
        </is>
      </c>
      <c r="T309" t="n">
        <v>1</v>
      </c>
      <c r="U309" t="n">
        <v>109</v>
      </c>
      <c r="V309">
        <f>IF(J309="","",MONTH(J309))</f>
        <v/>
      </c>
      <c r="W309">
        <f>IF(J309="","",YEAR(J309))</f>
        <v/>
      </c>
      <c r="X309" t="inlineStr">
        <is>
          <t>RotaSul</t>
        </is>
      </c>
      <c r="Y309">
        <f>IFERROR(INDEX(Rastreio!$H$2:$H$200,MATCH(X309&amp;"|"&amp;U309,Rastreio!$A$2:$A$200,0)),"")</f>
        <v/>
      </c>
    </row>
    <row r="310">
      <c r="A310">
        <f>IFERROR(INDEX(STAs!$G$2:$G$61,MATCH(P310,STAs!$F$2:$F$61,0))&amp;"","")</f>
        <v/>
      </c>
      <c r="B310" t="n">
        <v>20008864</v>
      </c>
      <c r="C310" t="inlineStr">
        <is>
          <t>Não</t>
        </is>
      </c>
      <c r="D310" t="inlineStr">
        <is>
          <t>RR</t>
        </is>
      </c>
      <c r="E310" t="inlineStr">
        <is>
          <t>NORTE</t>
        </is>
      </c>
      <c r="F310" t="inlineStr">
        <is>
          <t>Cliente C - Misturador</t>
        </is>
      </c>
      <c r="G310" t="inlineStr">
        <is>
          <t>Chopeiras</t>
        </is>
      </c>
      <c r="H310" s="10" t="n">
        <v>100</v>
      </c>
      <c r="I310" s="10">
        <f>IFERROR(T310*H310,0)</f>
        <v/>
      </c>
      <c r="J310" s="11" t="n">
        <v>45958</v>
      </c>
      <c r="K310" s="11" t="n">
        <v>46017</v>
      </c>
      <c r="L310" t="inlineStr">
        <is>
          <t>Ok. Devolvida</t>
        </is>
      </c>
      <c r="M310">
        <f>IF(L310="","",IFERROR(VLOOKUP(L310,mapGrupoStatus,2,0),"Outros"))</f>
        <v/>
      </c>
      <c r="N310">
        <f>IF(O310="","",IF(O310&lt;=30,"0-30 dias",IF(O310&lt;=60,"31-60 dias",IF(O310&lt;=90,"61-90 dias","Mais de 90 dias"))))</f>
        <v/>
      </c>
      <c r="O310">
        <f>IF(OR(M310="Pendente",M310="Em andamento"),IF(J310="","",TODAY()-J310),"")</f>
        <v/>
      </c>
      <c r="P310" t="n">
        <v>12422</v>
      </c>
      <c r="Q310" t="inlineStr">
        <is>
          <t>Assistência Técnica Refrigeração (12422)</t>
        </is>
      </c>
      <c r="R310" t="inlineStr">
        <is>
          <t>PC-0027</t>
        </is>
      </c>
      <c r="S310" t="inlineStr">
        <is>
          <t>Torneira de chopp modelo 02</t>
        </is>
      </c>
      <c r="T310" t="n">
        <v>1</v>
      </c>
      <c r="U310" t="n">
        <v>114</v>
      </c>
      <c r="V310">
        <f>IF(J310="","",MONTH(J310))</f>
        <v/>
      </c>
      <c r="W310">
        <f>IF(J310="","",YEAR(J310))</f>
        <v/>
      </c>
      <c r="X310" t="inlineStr">
        <is>
          <t>TransNorte</t>
        </is>
      </c>
      <c r="Y310">
        <f>IFERROR(INDEX(Rastreio!$H$2:$H$200,MATCH(X310&amp;"|"&amp;U310,Rastreio!$A$2:$A$200,0)),"")</f>
        <v/>
      </c>
    </row>
    <row r="311">
      <c r="A311">
        <f>IFERROR(INDEX(STAs!$G$2:$G$61,MATCH(P311,STAs!$F$2:$F$61,0))&amp;"","")</f>
        <v/>
      </c>
      <c r="B311" t="n">
        <v>20011937</v>
      </c>
      <c r="C311" t="inlineStr">
        <is>
          <t>Não</t>
        </is>
      </c>
      <c r="D311" t="inlineStr">
        <is>
          <t>RO</t>
        </is>
      </c>
      <c r="E311" t="inlineStr">
        <is>
          <t>NORTE</t>
        </is>
      </c>
      <c r="F311" t="inlineStr">
        <is>
          <t>Cliente A - Refrigerador</t>
        </is>
      </c>
      <c r="G311" t="inlineStr">
        <is>
          <t>Misturadores</t>
        </is>
      </c>
      <c r="H311" s="10" t="n">
        <v>35</v>
      </c>
      <c r="I311" s="10">
        <f>IFERROR(T311*H311,0)</f>
        <v/>
      </c>
      <c r="J311" s="11" t="n">
        <v>45958</v>
      </c>
      <c r="K311" s="11" t="n"/>
      <c r="L311" t="inlineStr">
        <is>
          <t>Não Devolve-Norte</t>
        </is>
      </c>
      <c r="M311">
        <f>IF(L311="","",IFERROR(VLOOKUP(L311,mapGrupoStatus,2,0),"Outros"))</f>
        <v/>
      </c>
      <c r="N311">
        <f>IF(O311="","",IF(O311&lt;=30,"0-30 dias",IF(O311&lt;=60,"31-60 dias",IF(O311&lt;=90,"61-90 dias","Mais de 90 dias"))))</f>
        <v/>
      </c>
      <c r="O311">
        <f>IF(OR(M311="Pendente",M311="Em andamento"),IF(J311="","",TODAY()-J311),"")</f>
        <v/>
      </c>
      <c r="P311" t="n">
        <v>10172</v>
      </c>
      <c r="Q311" t="inlineStr">
        <is>
          <t>Frigo Serviços (10172)</t>
        </is>
      </c>
      <c r="R311" t="inlineStr">
        <is>
          <t>PC-0043</t>
        </is>
      </c>
      <c r="S311" t="inlineStr">
        <is>
          <t>Bico dosador modelo 02</t>
        </is>
      </c>
      <c r="T311" t="n">
        <v>1</v>
      </c>
      <c r="U311" t="inlineStr"/>
      <c r="V311">
        <f>IF(J311="","",MONTH(J311))</f>
        <v/>
      </c>
      <c r="W311">
        <f>IF(J311="","",YEAR(J311))</f>
        <v/>
      </c>
      <c r="X311" t="inlineStr"/>
      <c r="Y311">
        <f>IFERROR(INDEX(Rastreio!$H$2:$H$200,MATCH(X311&amp;"|"&amp;U311,Rastreio!$A$2:$A$200,0)),"")</f>
        <v/>
      </c>
    </row>
    <row r="312">
      <c r="A312">
        <f>IFERROR(INDEX(STAs!$G$2:$G$61,MATCH(P312,STAs!$F$2:$F$61,0))&amp;"","")</f>
        <v/>
      </c>
      <c r="B312" t="n">
        <v>20016964</v>
      </c>
      <c r="C312" t="inlineStr">
        <is>
          <t>Não</t>
        </is>
      </c>
      <c r="D312" t="inlineStr">
        <is>
          <t>MG</t>
        </is>
      </c>
      <c r="E312" t="inlineStr">
        <is>
          <t>SUDESTE MG</t>
        </is>
      </c>
      <c r="F312" t="inlineStr">
        <is>
          <t>Cliente B - Chopeira</t>
        </is>
      </c>
      <c r="G312" t="inlineStr">
        <is>
          <t>Refrigeradores</t>
        </is>
      </c>
      <c r="H312" s="10" t="n">
        <v>25</v>
      </c>
      <c r="I312" s="10">
        <f>IFERROR(T312*H312,0)</f>
        <v/>
      </c>
      <c r="J312" s="11" t="n">
        <v>45958</v>
      </c>
      <c r="K312" s="11" t="n"/>
      <c r="L312" t="inlineStr">
        <is>
          <t>Aguardando devolução</t>
        </is>
      </c>
      <c r="M312">
        <f>IF(L312="","",IFERROR(VLOOKUP(L312,mapGrupoStatus,2,0),"Outros"))</f>
        <v/>
      </c>
      <c r="N312">
        <f>IF(O312="","",IF(O312&lt;=30,"0-30 dias",IF(O312&lt;=60,"31-60 dias",IF(O312&lt;=90,"61-90 dias","Mais de 90 dias"))))</f>
        <v/>
      </c>
      <c r="O312">
        <f>IF(OR(M312="Pendente",M312="Em andamento"),IF(J312="","",TODAY()-J312),"")</f>
        <v/>
      </c>
      <c r="P312" t="n">
        <v>11619</v>
      </c>
      <c r="Q312" t="inlineStr">
        <is>
          <t>Refrigeração Ltda (11619)</t>
        </is>
      </c>
      <c r="R312" t="inlineStr">
        <is>
          <t>PC-0015</t>
        </is>
      </c>
      <c r="S312" t="inlineStr">
        <is>
          <t>Filtro secador modelo 01</t>
        </is>
      </c>
      <c r="T312" t="n">
        <v>1</v>
      </c>
      <c r="U312" t="inlineStr"/>
      <c r="V312">
        <f>IF(J312="","",MONTH(J312))</f>
        <v/>
      </c>
      <c r="W312">
        <f>IF(J312="","",YEAR(J312))</f>
        <v/>
      </c>
      <c r="X312" t="inlineStr"/>
      <c r="Y312">
        <f>IFERROR(INDEX(Rastreio!$H$2:$H$200,MATCH(X312&amp;"|"&amp;U312,Rastreio!$A$2:$A$200,0)),"")</f>
        <v/>
      </c>
    </row>
    <row r="313">
      <c r="A313">
        <f>IFERROR(INDEX(STAs!$G$2:$G$61,MATCH(P313,STAs!$F$2:$F$61,0))&amp;"","")</f>
        <v/>
      </c>
      <c r="B313" t="n">
        <v>20023990</v>
      </c>
      <c r="C313" t="inlineStr">
        <is>
          <t>Não</t>
        </is>
      </c>
      <c r="D313" t="inlineStr">
        <is>
          <t>GO</t>
        </is>
      </c>
      <c r="E313" t="inlineStr">
        <is>
          <t>CENTRO OESTE</t>
        </is>
      </c>
      <c r="F313" t="inlineStr">
        <is>
          <t>Cliente A - Refrigerador</t>
        </is>
      </c>
      <c r="G313" t="inlineStr">
        <is>
          <t>Refrigeradores</t>
        </is>
      </c>
      <c r="H313" s="10" t="n">
        <v>190</v>
      </c>
      <c r="I313" s="10">
        <f>IFERROR(T313*H313,0)</f>
        <v/>
      </c>
      <c r="J313" s="11" t="n">
        <v>45958</v>
      </c>
      <c r="K313" s="11" t="n">
        <v>46006</v>
      </c>
      <c r="L313" t="inlineStr">
        <is>
          <t>Ok. Devolvida</t>
        </is>
      </c>
      <c r="M313">
        <f>IF(L313="","",IFERROR(VLOOKUP(L313,mapGrupoStatus,2,0),"Outros"))</f>
        <v/>
      </c>
      <c r="N313">
        <f>IF(O313="","",IF(O313&lt;=30,"0-30 dias",IF(O313&lt;=60,"31-60 dias",IF(O313&lt;=90,"61-90 dias","Mais de 90 dias"))))</f>
        <v/>
      </c>
      <c r="O313">
        <f>IF(OR(M313="Pendente",M313="Em andamento"),IF(J313="","",TODAY()-J313),"")</f>
        <v/>
      </c>
      <c r="P313" t="n">
        <v>11293</v>
      </c>
      <c r="Q313" t="inlineStr">
        <is>
          <t>Assistência Técnica Ltda (11293)</t>
        </is>
      </c>
      <c r="R313" t="inlineStr">
        <is>
          <t>PC-0011</t>
        </is>
      </c>
      <c r="S313" t="inlineStr">
        <is>
          <t>Placa eletrônica modelo 01</t>
        </is>
      </c>
      <c r="T313" t="n">
        <v>1</v>
      </c>
      <c r="U313" t="n">
        <v>139</v>
      </c>
      <c r="V313">
        <f>IF(J313="","",MONTH(J313))</f>
        <v/>
      </c>
      <c r="W313">
        <f>IF(J313="","",YEAR(J313))</f>
        <v/>
      </c>
      <c r="X313" t="inlineStr">
        <is>
          <t>TransNorte</t>
        </is>
      </c>
      <c r="Y313">
        <f>IFERROR(INDEX(Rastreio!$H$2:$H$200,MATCH(X313&amp;"|"&amp;U313,Rastreio!$A$2:$A$200,0)),"")</f>
        <v/>
      </c>
    </row>
    <row r="314">
      <c r="A314">
        <f>IFERROR(INDEX(STAs!$G$2:$G$61,MATCH(P314,STAs!$F$2:$F$61,0))&amp;"","")</f>
        <v/>
      </c>
      <c r="B314" t="n">
        <v>20024352</v>
      </c>
      <c r="C314" t="inlineStr">
        <is>
          <t>Não</t>
        </is>
      </c>
      <c r="D314" t="inlineStr">
        <is>
          <t>BA</t>
        </is>
      </c>
      <c r="E314" t="inlineStr">
        <is>
          <t>NORDESTE</t>
        </is>
      </c>
      <c r="F314" t="inlineStr">
        <is>
          <t>Cliente A - Refrigerador</t>
        </is>
      </c>
      <c r="G314" t="inlineStr">
        <is>
          <t>Refrigeradores</t>
        </is>
      </c>
      <c r="H314" s="10" t="n">
        <v>155</v>
      </c>
      <c r="I314" s="10">
        <f>IFERROR(T314*H314,0)</f>
        <v/>
      </c>
      <c r="J314" s="11" t="n">
        <v>45958</v>
      </c>
      <c r="K314" s="11" t="n">
        <v>45963</v>
      </c>
      <c r="L314" t="inlineStr">
        <is>
          <t>Ok. Devolvida</t>
        </is>
      </c>
      <c r="M314">
        <f>IF(L314="","",IFERROR(VLOOKUP(L314,mapGrupoStatus,2,0),"Outros"))</f>
        <v/>
      </c>
      <c r="N314">
        <f>IF(O314="","",IF(O314&lt;=30,"0-30 dias",IF(O314&lt;=60,"31-60 dias",IF(O314&lt;=90,"61-90 dias","Mais de 90 dias"))))</f>
        <v/>
      </c>
      <c r="O314">
        <f>IF(OR(M314="Pendente",M314="Em andamento"),IF(J314="","",TODAY()-J314),"")</f>
        <v/>
      </c>
      <c r="P314" t="n">
        <v>11244</v>
      </c>
      <c r="Q314" t="inlineStr">
        <is>
          <t>Refrigeração Manutenção (11244)</t>
        </is>
      </c>
      <c r="R314" t="inlineStr">
        <is>
          <t>PC-0022</t>
        </is>
      </c>
      <c r="S314" t="inlineStr">
        <is>
          <t>Controlador digital modelo 02</t>
        </is>
      </c>
      <c r="T314" t="n">
        <v>1</v>
      </c>
      <c r="U314" t="n">
        <v>136</v>
      </c>
      <c r="V314">
        <f>IF(J314="","",MONTH(J314))</f>
        <v/>
      </c>
      <c r="W314">
        <f>IF(J314="","",YEAR(J314))</f>
        <v/>
      </c>
      <c r="X314" t="inlineStr">
        <is>
          <t>EntregaJá</t>
        </is>
      </c>
      <c r="Y314">
        <f>IFERROR(INDEX(Rastreio!$H$2:$H$200,MATCH(X314&amp;"|"&amp;U314,Rastreio!$A$2:$A$200,0)),"")</f>
        <v/>
      </c>
    </row>
    <row r="315">
      <c r="A315">
        <f>IFERROR(INDEX(STAs!$G$2:$G$61,MATCH(P315,STAs!$F$2:$F$61,0))&amp;"","")</f>
        <v/>
      </c>
      <c r="B315" t="n">
        <v>20034289</v>
      </c>
      <c r="C315" t="inlineStr">
        <is>
          <t>Não</t>
        </is>
      </c>
      <c r="D315" t="inlineStr">
        <is>
          <t>PR</t>
        </is>
      </c>
      <c r="E315" t="inlineStr">
        <is>
          <t>SUL</t>
        </is>
      </c>
      <c r="F315" t="inlineStr">
        <is>
          <t>Cliente C - Misturador</t>
        </is>
      </c>
      <c r="G315" t="inlineStr">
        <is>
          <t>Refrigeradores</t>
        </is>
      </c>
      <c r="H315" s="10" t="n">
        <v>155</v>
      </c>
      <c r="I315" s="10">
        <f>IFERROR(T315*H315,0)</f>
        <v/>
      </c>
      <c r="J315" s="11" t="n">
        <v>45958</v>
      </c>
      <c r="K315" s="11" t="n">
        <v>45982</v>
      </c>
      <c r="L315" t="inlineStr">
        <is>
          <t>Ok. Devolvida</t>
        </is>
      </c>
      <c r="M315">
        <f>IF(L315="","",IFERROR(VLOOKUP(L315,mapGrupoStatus,2,0),"Outros"))</f>
        <v/>
      </c>
      <c r="N315">
        <f>IF(O315="","",IF(O315&lt;=30,"0-30 dias",IF(O315&lt;=60,"31-60 dias",IF(O315&lt;=90,"61-90 dias","Mais de 90 dias"))))</f>
        <v/>
      </c>
      <c r="O315">
        <f>IF(OR(M315="Pendente",M315="Em andamento"),IF(J315="","",TODAY()-J315),"")</f>
        <v/>
      </c>
      <c r="P315" t="n">
        <v>10504</v>
      </c>
      <c r="Q315" t="inlineStr">
        <is>
          <t>Zero Grau Ltda (10504)</t>
        </is>
      </c>
      <c r="R315" t="inlineStr">
        <is>
          <t>PC-0021</t>
        </is>
      </c>
      <c r="S315" t="inlineStr">
        <is>
          <t>Controlador digital modelo 01</t>
        </is>
      </c>
      <c r="T315" t="n">
        <v>1</v>
      </c>
      <c r="U315" t="n">
        <v>159</v>
      </c>
      <c r="V315">
        <f>IF(J315="","",MONTH(J315))</f>
        <v/>
      </c>
      <c r="W315">
        <f>IF(J315="","",YEAR(J315))</f>
        <v/>
      </c>
      <c r="X315" t="inlineStr">
        <is>
          <t>CargoMax</t>
        </is>
      </c>
      <c r="Y315">
        <f>IFERROR(INDEX(Rastreio!$H$2:$H$200,MATCH(X315&amp;"|"&amp;U315,Rastreio!$A$2:$A$200,0)),"")</f>
        <v/>
      </c>
    </row>
    <row r="316">
      <c r="A316">
        <f>IFERROR(INDEX(STAs!$G$2:$G$61,MATCH(P316,STAs!$F$2:$F$61,0))&amp;"","")</f>
        <v/>
      </c>
      <c r="B316" t="n">
        <v>20001352</v>
      </c>
      <c r="C316" t="inlineStr">
        <is>
          <t>Não</t>
        </is>
      </c>
      <c r="D316" t="inlineStr">
        <is>
          <t>TO</t>
        </is>
      </c>
      <c r="E316" t="inlineStr">
        <is>
          <t>NORTE</t>
        </is>
      </c>
      <c r="F316" t="inlineStr">
        <is>
          <t>Cliente A - Refrigerador</t>
        </is>
      </c>
      <c r="G316" t="inlineStr">
        <is>
          <t>Misturadores</t>
        </is>
      </c>
      <c r="H316" s="10" t="n">
        <v>60</v>
      </c>
      <c r="I316" s="10">
        <f>IFERROR(T316*H316,0)</f>
        <v/>
      </c>
      <c r="J316" s="11" t="n">
        <v>45959</v>
      </c>
      <c r="K316" s="11" t="n"/>
      <c r="L316" t="inlineStr">
        <is>
          <t>Não Devolve-Norte</t>
        </is>
      </c>
      <c r="M316">
        <f>IF(L316="","",IFERROR(VLOOKUP(L316,mapGrupoStatus,2,0),"Outros"))</f>
        <v/>
      </c>
      <c r="N316">
        <f>IF(O316="","",IF(O316&lt;=30,"0-30 dias",IF(O316&lt;=60,"31-60 dias",IF(O316&lt;=90,"61-90 dias","Mais de 90 dias"))))</f>
        <v/>
      </c>
      <c r="O316">
        <f>IF(OR(M316="Pendente",M316="Em andamento"),IF(J316="","",TODAY()-J316),"")</f>
        <v/>
      </c>
      <c r="P316" t="n">
        <v>10939</v>
      </c>
      <c r="Q316" t="inlineStr">
        <is>
          <t>Zero Grau Manutenção (10939)</t>
        </is>
      </c>
      <c r="R316" t="inlineStr">
        <is>
          <t>PC-0048</t>
        </is>
      </c>
      <c r="S316" t="inlineStr">
        <is>
          <t>Sensor de nível modelo 04</t>
        </is>
      </c>
      <c r="T316" t="n">
        <v>2</v>
      </c>
      <c r="U316" t="inlineStr"/>
      <c r="V316">
        <f>IF(J316="","",MONTH(J316))</f>
        <v/>
      </c>
      <c r="W316">
        <f>IF(J316="","",YEAR(J316))</f>
        <v/>
      </c>
      <c r="X316" t="inlineStr"/>
      <c r="Y316">
        <f>IFERROR(INDEX(Rastreio!$H$2:$H$200,MATCH(X316&amp;"|"&amp;U316,Rastreio!$A$2:$A$200,0)),"")</f>
        <v/>
      </c>
    </row>
    <row r="317">
      <c r="A317">
        <f>IFERROR(INDEX(STAs!$G$2:$G$61,MATCH(P317,STAs!$F$2:$F$61,0))&amp;"","")</f>
        <v/>
      </c>
      <c r="B317" t="n">
        <v>20005560</v>
      </c>
      <c r="C317" t="inlineStr">
        <is>
          <t>Não</t>
        </is>
      </c>
      <c r="D317" t="inlineStr">
        <is>
          <t>MG</t>
        </is>
      </c>
      <c r="E317" t="inlineStr">
        <is>
          <t>SUDESTE MG</t>
        </is>
      </c>
      <c r="F317" t="inlineStr">
        <is>
          <t>Cliente A - Refrigerador</t>
        </is>
      </c>
      <c r="G317" t="inlineStr">
        <is>
          <t>Chopeiras</t>
        </is>
      </c>
      <c r="H317" s="10" t="n">
        <v>85</v>
      </c>
      <c r="I317" s="10">
        <f>IFERROR(T317*H317,0)</f>
        <v/>
      </c>
      <c r="J317" s="11" t="n">
        <v>45959</v>
      </c>
      <c r="K317" s="11" t="n"/>
      <c r="L317" t="inlineStr">
        <is>
          <t>Debitar do STA</t>
        </is>
      </c>
      <c r="M317">
        <f>IF(L317="","",IFERROR(VLOOKUP(L317,mapGrupoStatus,2,0),"Outros"))</f>
        <v/>
      </c>
      <c r="N317">
        <f>IF(O317="","",IF(O317&lt;=30,"0-30 dias",IF(O317&lt;=60,"31-60 dias",IF(O317&lt;=90,"61-90 dias","Mais de 90 dias"))))</f>
        <v/>
      </c>
      <c r="O317">
        <f>IF(OR(M317="Pendente",M317="Em andamento"),IF(J317="","",TODAY()-J317),"")</f>
        <v/>
      </c>
      <c r="P317" t="n">
        <v>12470</v>
      </c>
      <c r="Q317" t="inlineStr">
        <is>
          <t>Cool Service Técnica (12470)</t>
        </is>
      </c>
      <c r="R317" t="inlineStr">
        <is>
          <t>PC-0026</t>
        </is>
      </c>
      <c r="S317" t="inlineStr">
        <is>
          <t>Torneira de chopp modelo 01</t>
        </is>
      </c>
      <c r="T317" t="n">
        <v>1</v>
      </c>
      <c r="U317" t="inlineStr"/>
      <c r="V317">
        <f>IF(J317="","",MONTH(J317))</f>
        <v/>
      </c>
      <c r="W317">
        <f>IF(J317="","",YEAR(J317))</f>
        <v/>
      </c>
      <c r="X317" t="inlineStr"/>
      <c r="Y317">
        <f>IFERROR(INDEX(Rastreio!$H$2:$H$200,MATCH(X317&amp;"|"&amp;U317,Rastreio!$A$2:$A$200,0)),"")</f>
        <v/>
      </c>
    </row>
    <row r="318">
      <c r="A318">
        <f>IFERROR(INDEX(STAs!$G$2:$G$61,MATCH(P318,STAs!$F$2:$F$61,0))&amp;"","")</f>
        <v/>
      </c>
      <c r="B318" t="n">
        <v>20008853</v>
      </c>
      <c r="C318" t="inlineStr">
        <is>
          <t>Não</t>
        </is>
      </c>
      <c r="D318" t="inlineStr">
        <is>
          <t>MG</t>
        </is>
      </c>
      <c r="E318" t="inlineStr">
        <is>
          <t>SUDESTE MG</t>
        </is>
      </c>
      <c r="F318" t="inlineStr">
        <is>
          <t>Cliente C - Misturador</t>
        </is>
      </c>
      <c r="G318" t="inlineStr">
        <is>
          <t>Refrigeradores</t>
        </is>
      </c>
      <c r="H318" s="10" t="n">
        <v>155</v>
      </c>
      <c r="I318" s="10">
        <f>IFERROR(T318*H318,0)</f>
        <v/>
      </c>
      <c r="J318" s="11" t="n">
        <v>45959</v>
      </c>
      <c r="K318" s="11" t="n">
        <v>45993</v>
      </c>
      <c r="L318" t="inlineStr">
        <is>
          <t>Ok. Devolvida</t>
        </is>
      </c>
      <c r="M318">
        <f>IF(L318="","",IFERROR(VLOOKUP(L318,mapGrupoStatus,2,0),"Outros"))</f>
        <v/>
      </c>
      <c r="N318">
        <f>IF(O318="","",IF(O318&lt;=30,"0-30 dias",IF(O318&lt;=60,"31-60 dias",IF(O318&lt;=90,"61-90 dias","Mais de 90 dias"))))</f>
        <v/>
      </c>
      <c r="O318">
        <f>IF(OR(M318="Pendente",M318="Em andamento"),IF(J318="","",TODAY()-J318),"")</f>
        <v/>
      </c>
      <c r="P318" t="n">
        <v>12470</v>
      </c>
      <c r="Q318" t="inlineStr">
        <is>
          <t>Cool Service Técnica (12470)</t>
        </is>
      </c>
      <c r="R318" t="inlineStr">
        <is>
          <t>PC-0022</t>
        </is>
      </c>
      <c r="S318" t="inlineStr">
        <is>
          <t>Controlador digital modelo 02</t>
        </is>
      </c>
      <c r="T318" t="n">
        <v>2</v>
      </c>
      <c r="U318" t="n">
        <v>121</v>
      </c>
      <c r="V318">
        <f>IF(J318="","",MONTH(J318))</f>
        <v/>
      </c>
      <c r="W318">
        <f>IF(J318="","",YEAR(J318))</f>
        <v/>
      </c>
      <c r="X318" t="inlineStr">
        <is>
          <t>ViaCargo</t>
        </is>
      </c>
      <c r="Y318">
        <f>IFERROR(INDEX(Rastreio!$H$2:$H$200,MATCH(X318&amp;"|"&amp;U318,Rastreio!$A$2:$A$200,0)),"")</f>
        <v/>
      </c>
    </row>
    <row r="319">
      <c r="A319">
        <f>IFERROR(INDEX(STAs!$G$2:$G$61,MATCH(P319,STAs!$F$2:$F$61,0))&amp;"","")</f>
        <v/>
      </c>
      <c r="B319" t="n">
        <v>20013791</v>
      </c>
      <c r="C319" t="inlineStr">
        <is>
          <t>Não</t>
        </is>
      </c>
      <c r="D319" t="inlineStr">
        <is>
          <t>MS</t>
        </is>
      </c>
      <c r="E319" t="inlineStr">
        <is>
          <t>CENTRO OESTE</t>
        </is>
      </c>
      <c r="F319" t="inlineStr">
        <is>
          <t>Cliente C - Misturador</t>
        </is>
      </c>
      <c r="G319" t="inlineStr">
        <is>
          <t>Refrigeradores</t>
        </is>
      </c>
      <c r="H319" s="10" t="n">
        <v>155</v>
      </c>
      <c r="I319" s="10">
        <f>IFERROR(T319*H319,0)</f>
        <v/>
      </c>
      <c r="J319" s="11" t="n">
        <v>45959</v>
      </c>
      <c r="K319" s="11" t="n"/>
      <c r="L319" t="inlineStr">
        <is>
          <t>Em andamento</t>
        </is>
      </c>
      <c r="M319">
        <f>IF(L319="","",IFERROR(VLOOKUP(L319,mapGrupoStatus,2,0),"Outros"))</f>
        <v/>
      </c>
      <c r="N319">
        <f>IF(O319="","",IF(O319&lt;=30,"0-30 dias",IF(O319&lt;=60,"31-60 dias",IF(O319&lt;=90,"61-90 dias","Mais de 90 dias"))))</f>
        <v/>
      </c>
      <c r="O319">
        <f>IF(OR(M319="Pendente",M319="Em andamento"),IF(J319="","",TODAY()-J319),"")</f>
        <v/>
      </c>
      <c r="P319" t="n">
        <v>11726</v>
      </c>
      <c r="Q319" t="inlineStr">
        <is>
          <t>Norte Frio Refrigeração (11726)</t>
        </is>
      </c>
      <c r="R319" t="inlineStr">
        <is>
          <t>PC-0021</t>
        </is>
      </c>
      <c r="S319" t="inlineStr">
        <is>
          <t>Controlador digital modelo 01</t>
        </is>
      </c>
      <c r="T319" t="n">
        <v>1</v>
      </c>
      <c r="U319" t="n">
        <v>128</v>
      </c>
      <c r="V319">
        <f>IF(J319="","",MONTH(J319))</f>
        <v/>
      </c>
      <c r="W319">
        <f>IF(J319="","",YEAR(J319))</f>
        <v/>
      </c>
      <c r="X319" t="inlineStr">
        <is>
          <t>ViaCargo</t>
        </is>
      </c>
      <c r="Y319">
        <f>IFERROR(INDEX(Rastreio!$H$2:$H$200,MATCH(X319&amp;"|"&amp;U319,Rastreio!$A$2:$A$200,0)),"")</f>
        <v/>
      </c>
    </row>
    <row r="320">
      <c r="A320">
        <f>IFERROR(INDEX(STAs!$G$2:$G$61,MATCH(P320,STAs!$F$2:$F$61,0))&amp;"","")</f>
        <v/>
      </c>
      <c r="B320" t="n">
        <v>20018895</v>
      </c>
      <c r="C320" t="inlineStr">
        <is>
          <t>Não</t>
        </is>
      </c>
      <c r="D320" t="inlineStr">
        <is>
          <t>MS</t>
        </is>
      </c>
      <c r="E320" t="inlineStr">
        <is>
          <t>CENTRO OESTE</t>
        </is>
      </c>
      <c r="F320" t="inlineStr">
        <is>
          <t>Cliente A - Refrigerador</t>
        </is>
      </c>
      <c r="G320" t="inlineStr">
        <is>
          <t>Chopeiras</t>
        </is>
      </c>
      <c r="H320" s="10" t="n">
        <v>115</v>
      </c>
      <c r="I320" s="10">
        <f>IFERROR(T320*H320,0)</f>
        <v/>
      </c>
      <c r="J320" s="11" t="n">
        <v>45959</v>
      </c>
      <c r="K320" s="11" t="n"/>
      <c r="L320" t="inlineStr">
        <is>
          <t>Aguardando Transporte</t>
        </is>
      </c>
      <c r="M320">
        <f>IF(L320="","",IFERROR(VLOOKUP(L320,mapGrupoStatus,2,0),"Outros"))</f>
        <v/>
      </c>
      <c r="N320">
        <f>IF(O320="","",IF(O320&lt;=30,"0-30 dias",IF(O320&lt;=60,"31-60 dias",IF(O320&lt;=90,"61-90 dias","Mais de 90 dias"))))</f>
        <v/>
      </c>
      <c r="O320">
        <f>IF(OR(M320="Pendente",M320="Em andamento"),IF(J320="","",TODAY()-J320),"")</f>
        <v/>
      </c>
      <c r="P320" t="n">
        <v>10302</v>
      </c>
      <c r="Q320" t="inlineStr">
        <is>
          <t>Ice Tech Express (10302)</t>
        </is>
      </c>
      <c r="R320" t="inlineStr">
        <is>
          <t>PC-0033</t>
        </is>
      </c>
      <c r="S320" t="inlineStr">
        <is>
          <t>Regulador de pressão modelo 02</t>
        </is>
      </c>
      <c r="T320" t="n">
        <v>2</v>
      </c>
      <c r="U320" t="n">
        <v>126</v>
      </c>
      <c r="V320">
        <f>IF(J320="","",MONTH(J320))</f>
        <v/>
      </c>
      <c r="W320">
        <f>IF(J320="","",YEAR(J320))</f>
        <v/>
      </c>
      <c r="X320" t="inlineStr">
        <is>
          <t>RotaSul</t>
        </is>
      </c>
      <c r="Y320">
        <f>IFERROR(INDEX(Rastreio!$H$2:$H$200,MATCH(X320&amp;"|"&amp;U320,Rastreio!$A$2:$A$200,0)),"")</f>
        <v/>
      </c>
    </row>
    <row r="321">
      <c r="A321">
        <f>IFERROR(INDEX(STAs!$G$2:$G$61,MATCH(P321,STAs!$F$2:$F$61,0))&amp;"","")</f>
        <v/>
      </c>
      <c r="B321" t="n">
        <v>20019324</v>
      </c>
      <c r="C321" t="inlineStr">
        <is>
          <t>Não</t>
        </is>
      </c>
      <c r="D321" t="inlineStr">
        <is>
          <t>MT</t>
        </is>
      </c>
      <c r="E321" t="inlineStr">
        <is>
          <t>CENTRO OESTE</t>
        </is>
      </c>
      <c r="F321" t="inlineStr">
        <is>
          <t>Cliente B - Chopeira</t>
        </is>
      </c>
      <c r="G321" t="inlineStr">
        <is>
          <t>Refrigeradores</t>
        </is>
      </c>
      <c r="H321" s="10" t="n">
        <v>155</v>
      </c>
      <c r="I321" s="10">
        <f>IFERROR(T321*H321,0)</f>
        <v/>
      </c>
      <c r="J321" s="11" t="n">
        <v>45959</v>
      </c>
      <c r="K321" s="11" t="n"/>
      <c r="L321" t="inlineStr">
        <is>
          <t>Em transporte</t>
        </is>
      </c>
      <c r="M321">
        <f>IF(L321="","",IFERROR(VLOOKUP(L321,mapGrupoStatus,2,0),"Outros"))</f>
        <v/>
      </c>
      <c r="N321">
        <f>IF(O321="","",IF(O321&lt;=30,"0-30 dias",IF(O321&lt;=60,"31-60 dias",IF(O321&lt;=90,"61-90 dias","Mais de 90 dias"))))</f>
        <v/>
      </c>
      <c r="O321">
        <f>IF(OR(M321="Pendente",M321="Em andamento"),IF(J321="","",TODAY()-J321),"")</f>
        <v/>
      </c>
      <c r="P321" t="n">
        <v>10227</v>
      </c>
      <c r="Q321" t="inlineStr">
        <is>
          <t>Assistência Técnica ME (10227)</t>
        </is>
      </c>
      <c r="R321" t="inlineStr">
        <is>
          <t>PC-0022</t>
        </is>
      </c>
      <c r="S321" t="inlineStr">
        <is>
          <t>Controlador digital modelo 02</t>
        </is>
      </c>
      <c r="T321" t="n">
        <v>1</v>
      </c>
      <c r="U321" t="n">
        <v>132</v>
      </c>
      <c r="V321">
        <f>IF(J321="","",MONTH(J321))</f>
        <v/>
      </c>
      <c r="W321">
        <f>IF(J321="","",YEAR(J321))</f>
        <v/>
      </c>
      <c r="X321" t="inlineStr">
        <is>
          <t>LogExpress</t>
        </is>
      </c>
      <c r="Y321">
        <f>IFERROR(INDEX(Rastreio!$H$2:$H$200,MATCH(X321&amp;"|"&amp;U321,Rastreio!$A$2:$A$200,0)),"")</f>
        <v/>
      </c>
    </row>
    <row r="322">
      <c r="A322">
        <f>IFERROR(INDEX(STAs!$G$2:$G$61,MATCH(P322,STAs!$F$2:$F$61,0))&amp;"","")</f>
        <v/>
      </c>
      <c r="B322" t="n">
        <v>20024210</v>
      </c>
      <c r="C322" t="inlineStr">
        <is>
          <t>Não</t>
        </is>
      </c>
      <c r="D322" t="inlineStr">
        <is>
          <t>SP</t>
        </is>
      </c>
      <c r="E322" t="inlineStr">
        <is>
          <t>SUDESTE SP</t>
        </is>
      </c>
      <c r="F322" t="inlineStr">
        <is>
          <t>Cliente C - Misturador</t>
        </is>
      </c>
      <c r="G322" t="inlineStr">
        <is>
          <t>Refrigeradores</t>
        </is>
      </c>
      <c r="H322" s="10" t="n">
        <v>35</v>
      </c>
      <c r="I322" s="10">
        <f>IFERROR(T322*H322,0)</f>
        <v/>
      </c>
      <c r="J322" s="11" t="n">
        <v>45959</v>
      </c>
      <c r="K322" s="11" t="n"/>
      <c r="L322" t="inlineStr">
        <is>
          <t>Aguardando devolução</t>
        </is>
      </c>
      <c r="M322">
        <f>IF(L322="","",IFERROR(VLOOKUP(L322,mapGrupoStatus,2,0),"Outros"))</f>
        <v/>
      </c>
      <c r="N322">
        <f>IF(O322="","",IF(O322&lt;=30,"0-30 dias",IF(O322&lt;=60,"31-60 dias",IF(O322&lt;=90,"61-90 dias","Mais de 90 dias"))))</f>
        <v/>
      </c>
      <c r="O322">
        <f>IF(OR(M322="Pendente",M322="Em andamento"),IF(J322="","",TODAY()-J322),"")</f>
        <v/>
      </c>
      <c r="P322" t="n">
        <v>10538</v>
      </c>
      <c r="Q322" t="inlineStr">
        <is>
          <t>Frio Refrigeração (10538)</t>
        </is>
      </c>
      <c r="R322" t="inlineStr">
        <is>
          <t>PC-0016</t>
        </is>
      </c>
      <c r="S322" t="inlineStr">
        <is>
          <t>Filtro secador modelo 02</t>
        </is>
      </c>
      <c r="T322" t="n">
        <v>1</v>
      </c>
      <c r="U322" t="inlineStr"/>
      <c r="V322">
        <f>IF(J322="","",MONTH(J322))</f>
        <v/>
      </c>
      <c r="W322">
        <f>IF(J322="","",YEAR(J322))</f>
        <v/>
      </c>
      <c r="X322" t="inlineStr"/>
      <c r="Y322">
        <f>IFERROR(INDEX(Rastreio!$H$2:$H$200,MATCH(X322&amp;"|"&amp;U322,Rastreio!$A$2:$A$200,0)),"")</f>
        <v/>
      </c>
    </row>
    <row r="323">
      <c r="A323">
        <f>IFERROR(INDEX(STAs!$G$2:$G$61,MATCH(P323,STAs!$F$2:$F$61,0))&amp;"","")</f>
        <v/>
      </c>
      <c r="B323" t="n">
        <v>20026981</v>
      </c>
      <c r="C323" t="inlineStr">
        <is>
          <t>Sim</t>
        </is>
      </c>
      <c r="D323" t="inlineStr">
        <is>
          <t>PR</t>
        </is>
      </c>
      <c r="E323" t="inlineStr">
        <is>
          <t>SUL</t>
        </is>
      </c>
      <c r="F323" t="inlineStr">
        <is>
          <t>Cliente A - Refrigerador</t>
        </is>
      </c>
      <c r="G323" t="inlineStr">
        <is>
          <t>Refrigeradores</t>
        </is>
      </c>
      <c r="H323" s="10" t="n">
        <v>55</v>
      </c>
      <c r="I323" s="10">
        <f>IFERROR(T323*H323,0)</f>
        <v/>
      </c>
      <c r="J323" s="11" t="n">
        <v>45959</v>
      </c>
      <c r="K323" s="11" t="n">
        <v>45966</v>
      </c>
      <c r="L323" t="inlineStr">
        <is>
          <t>Ok. Devolvida</t>
        </is>
      </c>
      <c r="M323">
        <f>IF(L323="","",IFERROR(VLOOKUP(L323,mapGrupoStatus,2,0),"Outros"))</f>
        <v/>
      </c>
      <c r="N323">
        <f>IF(O323="","",IF(O323&lt;=30,"0-30 dias",IF(O323&lt;=60,"31-60 dias",IF(O323&lt;=90,"61-90 dias","Mais de 90 dias"))))</f>
        <v/>
      </c>
      <c r="O323">
        <f>IF(OR(M323="Pendente",M323="Em andamento"),IF(J323="","",TODAY()-J323),"")</f>
        <v/>
      </c>
      <c r="P323" t="n">
        <v>10753</v>
      </c>
      <c r="Q323" t="inlineStr">
        <is>
          <t>Refrigel &amp; Cia (10753)</t>
        </is>
      </c>
      <c r="R323" t="inlineStr">
        <is>
          <t>PC-0008</t>
        </is>
      </c>
      <c r="S323" t="inlineStr">
        <is>
          <t>Ventilador modelo 02</t>
        </is>
      </c>
      <c r="T323" t="n">
        <v>1</v>
      </c>
      <c r="U323" t="n">
        <v>145</v>
      </c>
      <c r="V323">
        <f>IF(J323="","",MONTH(J323))</f>
        <v/>
      </c>
      <c r="W323">
        <f>IF(J323="","",YEAR(J323))</f>
        <v/>
      </c>
      <c r="X323" t="inlineStr">
        <is>
          <t>CargoMax</t>
        </is>
      </c>
      <c r="Y323">
        <f>IFERROR(INDEX(Rastreio!$H$2:$H$200,MATCH(X323&amp;"|"&amp;U323,Rastreio!$A$2:$A$200,0)),"")</f>
        <v/>
      </c>
    </row>
    <row r="324">
      <c r="A324">
        <f>IFERROR(INDEX(STAs!$G$2:$G$61,MATCH(P324,STAs!$F$2:$F$61,0))&amp;"","")</f>
        <v/>
      </c>
      <c r="B324" t="n">
        <v>20027664</v>
      </c>
      <c r="C324" t="inlineStr">
        <is>
          <t>Não</t>
        </is>
      </c>
      <c r="D324" t="inlineStr">
        <is>
          <t>PR</t>
        </is>
      </c>
      <c r="E324" t="inlineStr">
        <is>
          <t>SUL</t>
        </is>
      </c>
      <c r="F324" t="inlineStr">
        <is>
          <t>Cliente C - Misturador</t>
        </is>
      </c>
      <c r="G324" t="inlineStr">
        <is>
          <t>Misturadores</t>
        </is>
      </c>
      <c r="H324" s="10" t="n">
        <v>50</v>
      </c>
      <c r="I324" s="10">
        <f>IFERROR(T324*H324,0)</f>
        <v/>
      </c>
      <c r="J324" s="11" t="n">
        <v>45959</v>
      </c>
      <c r="K324" s="11" t="n">
        <v>45973</v>
      </c>
      <c r="L324" t="inlineStr">
        <is>
          <t>Ok. Devolvida</t>
        </is>
      </c>
      <c r="M324">
        <f>IF(L324="","",IFERROR(VLOOKUP(L324,mapGrupoStatus,2,0),"Outros"))</f>
        <v/>
      </c>
      <c r="N324">
        <f>IF(O324="","",IF(O324&lt;=30,"0-30 dias",IF(O324&lt;=60,"31-60 dias",IF(O324&lt;=90,"61-90 dias","Mais de 90 dias"))))</f>
        <v/>
      </c>
      <c r="O324">
        <f>IF(OR(M324="Pendente",M324="Em andamento"),IF(J324="","",TODAY()-J324),"")</f>
        <v/>
      </c>
      <c r="P324" t="n">
        <v>11898</v>
      </c>
      <c r="Q324" t="inlineStr">
        <is>
          <t>Refrigel Express (11898)</t>
        </is>
      </c>
      <c r="R324" t="inlineStr">
        <is>
          <t>PC-0045</t>
        </is>
      </c>
      <c r="S324" t="inlineStr">
        <is>
          <t>Sensor de nível modelo 01</t>
        </is>
      </c>
      <c r="T324" t="n">
        <v>1</v>
      </c>
      <c r="U324" t="n">
        <v>147</v>
      </c>
      <c r="V324">
        <f>IF(J324="","",MONTH(J324))</f>
        <v/>
      </c>
      <c r="W324">
        <f>IF(J324="","",YEAR(J324))</f>
        <v/>
      </c>
      <c r="X324" t="inlineStr">
        <is>
          <t>CargoMax</t>
        </is>
      </c>
      <c r="Y324">
        <f>IFERROR(INDEX(Rastreio!$H$2:$H$200,MATCH(X324&amp;"|"&amp;U324,Rastreio!$A$2:$A$200,0)),"")</f>
        <v/>
      </c>
    </row>
    <row r="325">
      <c r="A325">
        <f>IFERROR(INDEX(STAs!$G$2:$G$61,MATCH(P325,STAs!$F$2:$F$61,0))&amp;"","")</f>
        <v/>
      </c>
      <c r="B325" t="n">
        <v>20035961</v>
      </c>
      <c r="C325" t="inlineStr">
        <is>
          <t>Não</t>
        </is>
      </c>
      <c r="D325" t="inlineStr">
        <is>
          <t>PR</t>
        </is>
      </c>
      <c r="E325" t="inlineStr">
        <is>
          <t>SUL</t>
        </is>
      </c>
      <c r="F325" t="inlineStr">
        <is>
          <t>Cliente A - Refrigerador</t>
        </is>
      </c>
      <c r="G325" t="inlineStr">
        <is>
          <t>Refrigeradores</t>
        </is>
      </c>
      <c r="H325" s="10" t="n">
        <v>45</v>
      </c>
      <c r="I325" s="10">
        <f>IFERROR(T325*H325,0)</f>
        <v/>
      </c>
      <c r="J325" s="11" t="n">
        <v>45959</v>
      </c>
      <c r="K325" s="11" t="n"/>
      <c r="L325" t="inlineStr">
        <is>
          <t>Em andamento</t>
        </is>
      </c>
      <c r="M325">
        <f>IF(L325="","",IFERROR(VLOOKUP(L325,mapGrupoStatus,2,0),"Outros"))</f>
        <v/>
      </c>
      <c r="N325">
        <f>IF(O325="","",IF(O325&lt;=30,"0-30 dias",IF(O325&lt;=60,"31-60 dias",IF(O325&lt;=90,"61-90 dias","Mais de 90 dias"))))</f>
        <v/>
      </c>
      <c r="O325">
        <f>IF(OR(M325="Pendente",M325="Em andamento"),IF(J325="","",TODAY()-J325),"")</f>
        <v/>
      </c>
      <c r="P325" t="n">
        <v>12089</v>
      </c>
      <c r="Q325" t="inlineStr">
        <is>
          <t>Termotec Serviços (12089)</t>
        </is>
      </c>
      <c r="R325" t="inlineStr">
        <is>
          <t>PC-0018</t>
        </is>
      </c>
      <c r="S325" t="inlineStr">
        <is>
          <t>Gaxeta da porta modelo 01</t>
        </is>
      </c>
      <c r="T325" t="n">
        <v>1</v>
      </c>
      <c r="U325" t="n">
        <v>164</v>
      </c>
      <c r="V325">
        <f>IF(J325="","",MONTH(J325))</f>
        <v/>
      </c>
      <c r="W325">
        <f>IF(J325="","",YEAR(J325))</f>
        <v/>
      </c>
      <c r="X325" t="inlineStr">
        <is>
          <t>TransNorte</t>
        </is>
      </c>
      <c r="Y325">
        <f>IFERROR(INDEX(Rastreio!$H$2:$H$200,MATCH(X325&amp;"|"&amp;U325,Rastreio!$A$2:$A$200,0)),"")</f>
        <v/>
      </c>
    </row>
    <row r="326">
      <c r="A326">
        <f>IFERROR(INDEX(STAs!$G$2:$G$61,MATCH(P326,STAs!$F$2:$F$61,0))&amp;"","")</f>
        <v/>
      </c>
      <c r="B326" t="n">
        <v>20039560</v>
      </c>
      <c r="C326" t="inlineStr">
        <is>
          <t>Não</t>
        </is>
      </c>
      <c r="D326" t="inlineStr">
        <is>
          <t>SP</t>
        </is>
      </c>
      <c r="E326" t="inlineStr">
        <is>
          <t>SUDESTE SP</t>
        </is>
      </c>
      <c r="F326" t="inlineStr">
        <is>
          <t>Cliente B - Chopeira</t>
        </is>
      </c>
      <c r="G326" t="inlineStr">
        <is>
          <t>Refrigeradores</t>
        </is>
      </c>
      <c r="H326" s="10" t="n">
        <v>190</v>
      </c>
      <c r="I326" s="10">
        <f>IFERROR(T326*H326,0)</f>
        <v/>
      </c>
      <c r="J326" s="11" t="n">
        <v>45959</v>
      </c>
      <c r="K326" s="11" t="n">
        <v>45993</v>
      </c>
      <c r="L326" t="inlineStr">
        <is>
          <t>Ok. Devolvida</t>
        </is>
      </c>
      <c r="M326">
        <f>IF(L326="","",IFERROR(VLOOKUP(L326,mapGrupoStatus,2,0),"Outros"))</f>
        <v/>
      </c>
      <c r="N326">
        <f>IF(O326="","",IF(O326&lt;=30,"0-30 dias",IF(O326&lt;=60,"31-60 dias",IF(O326&lt;=90,"61-90 dias","Mais de 90 dias"))))</f>
        <v/>
      </c>
      <c r="O326">
        <f>IF(OR(M326="Pendente",M326="Em andamento"),IF(J326="","",TODAY()-J326),"")</f>
        <v/>
      </c>
      <c r="P326" t="n">
        <v>12901</v>
      </c>
      <c r="Q326" t="inlineStr">
        <is>
          <t>Frio Serviços (12901)</t>
        </is>
      </c>
      <c r="R326" t="inlineStr">
        <is>
          <t>PC-0011</t>
        </is>
      </c>
      <c r="S326" t="inlineStr">
        <is>
          <t>Placa eletrônica modelo 01</t>
        </is>
      </c>
      <c r="T326" t="n">
        <v>2</v>
      </c>
      <c r="U326" t="n">
        <v>158</v>
      </c>
      <c r="V326">
        <f>IF(J326="","",MONTH(J326))</f>
        <v/>
      </c>
      <c r="W326">
        <f>IF(J326="","",YEAR(J326))</f>
        <v/>
      </c>
      <c r="X326" t="inlineStr">
        <is>
          <t>ViaCargo</t>
        </is>
      </c>
      <c r="Y326">
        <f>IFERROR(INDEX(Rastreio!$H$2:$H$200,MATCH(X326&amp;"|"&amp;U326,Rastreio!$A$2:$A$200,0)),"")</f>
        <v/>
      </c>
    </row>
    <row r="327">
      <c r="A327">
        <f>IFERROR(INDEX(STAs!$G$2:$G$61,MATCH(P327,STAs!$F$2:$F$61,0))&amp;"","")</f>
        <v/>
      </c>
      <c r="B327" t="n">
        <v>20040678</v>
      </c>
      <c r="C327" t="inlineStr">
        <is>
          <t>Não</t>
        </is>
      </c>
      <c r="D327" t="inlineStr">
        <is>
          <t>RS</t>
        </is>
      </c>
      <c r="E327" t="inlineStr">
        <is>
          <t>SUL</t>
        </is>
      </c>
      <c r="F327" t="inlineStr">
        <is>
          <t>Cliente A - Refrigerador</t>
        </is>
      </c>
      <c r="G327" t="inlineStr">
        <is>
          <t>Refrigeradores</t>
        </is>
      </c>
      <c r="H327" s="10" t="n">
        <v>55</v>
      </c>
      <c r="I327" s="10">
        <f>IFERROR(T327*H327,0)</f>
        <v/>
      </c>
      <c r="J327" s="11" t="n">
        <v>45959</v>
      </c>
      <c r="K327" s="11" t="n">
        <v>45980</v>
      </c>
      <c r="L327" t="inlineStr">
        <is>
          <t>Ok. Devolvida</t>
        </is>
      </c>
      <c r="M327">
        <f>IF(L327="","",IFERROR(VLOOKUP(L327,mapGrupoStatus,2,0),"Outros"))</f>
        <v/>
      </c>
      <c r="N327">
        <f>IF(O327="","",IF(O327&lt;=30,"0-30 dias",IF(O327&lt;=60,"31-60 dias",IF(O327&lt;=90,"61-90 dias","Mais de 90 dias"))))</f>
        <v/>
      </c>
      <c r="O327">
        <f>IF(OR(M327="Pendente",M327="Em andamento"),IF(J327="","",TODAY()-J327),"")</f>
        <v/>
      </c>
      <c r="P327" t="n">
        <v>12617</v>
      </c>
      <c r="Q327" t="inlineStr">
        <is>
          <t>Gelo Manutenção (12617)</t>
        </is>
      </c>
      <c r="R327" t="inlineStr">
        <is>
          <t>PC-0007</t>
        </is>
      </c>
      <c r="S327" t="inlineStr">
        <is>
          <t>Ventilador modelo 01</t>
        </is>
      </c>
      <c r="T327" t="n">
        <v>1</v>
      </c>
      <c r="U327" t="n">
        <v>160</v>
      </c>
      <c r="V327">
        <f>IF(J327="","",MONTH(J327))</f>
        <v/>
      </c>
      <c r="W327">
        <f>IF(J327="","",YEAR(J327))</f>
        <v/>
      </c>
      <c r="X327" t="inlineStr">
        <is>
          <t>ViaCargo</t>
        </is>
      </c>
      <c r="Y327">
        <f>IFERROR(INDEX(Rastreio!$H$2:$H$200,MATCH(X327&amp;"|"&amp;U327,Rastreio!$A$2:$A$200,0)),"")</f>
        <v/>
      </c>
    </row>
    <row r="328">
      <c r="A328">
        <f>IFERROR(INDEX(STAs!$G$2:$G$61,MATCH(P328,STAs!$F$2:$F$61,0))&amp;"","")</f>
        <v/>
      </c>
      <c r="B328" t="n">
        <v>20016372</v>
      </c>
      <c r="C328" t="inlineStr">
        <is>
          <t>Não</t>
        </is>
      </c>
      <c r="D328" t="inlineStr">
        <is>
          <t>SP</t>
        </is>
      </c>
      <c r="E328" t="inlineStr">
        <is>
          <t>SUDESTE SP</t>
        </is>
      </c>
      <c r="F328" t="inlineStr">
        <is>
          <t>Cliente B - Chopeira</t>
        </is>
      </c>
      <c r="G328" t="inlineStr">
        <is>
          <t>Refrigeradores</t>
        </is>
      </c>
      <c r="H328" s="10" t="n">
        <v>70</v>
      </c>
      <c r="I328" s="10">
        <f>IFERROR(T328*H328,0)</f>
        <v/>
      </c>
      <c r="J328" s="11" t="n">
        <v>45960</v>
      </c>
      <c r="K328" s="11" t="n">
        <v>45990</v>
      </c>
      <c r="L328" t="inlineStr">
        <is>
          <t>Ok. Devolvida</t>
        </is>
      </c>
      <c r="M328">
        <f>IF(L328="","",IFERROR(VLOOKUP(L328,mapGrupoStatus,2,0),"Outros"))</f>
        <v/>
      </c>
      <c r="N328">
        <f>IF(O328="","",IF(O328&lt;=30,"0-30 dias",IF(O328&lt;=60,"31-60 dias",IF(O328&lt;=90,"61-90 dias","Mais de 90 dias"))))</f>
        <v/>
      </c>
      <c r="O328">
        <f>IF(OR(M328="Pendente",M328="Em andamento"),IF(J328="","",TODAY()-J328),"")</f>
        <v/>
      </c>
      <c r="P328" t="n">
        <v>10111</v>
      </c>
      <c r="Q328" t="inlineStr">
        <is>
          <t>Refrigel Manutenção (10111)</t>
        </is>
      </c>
      <c r="R328" t="inlineStr">
        <is>
          <t>PC-0009</t>
        </is>
      </c>
      <c r="S328" t="inlineStr">
        <is>
          <t>Ventilador modelo 03</t>
        </is>
      </c>
      <c r="T328" t="n">
        <v>1</v>
      </c>
      <c r="U328" t="n">
        <v>129</v>
      </c>
      <c r="V328">
        <f>IF(J328="","",MONTH(J328))</f>
        <v/>
      </c>
      <c r="W328">
        <f>IF(J328="","",YEAR(J328))</f>
        <v/>
      </c>
      <c r="X328" t="inlineStr">
        <is>
          <t>CargoMax</t>
        </is>
      </c>
      <c r="Y328">
        <f>IFERROR(INDEX(Rastreio!$H$2:$H$200,MATCH(X328&amp;"|"&amp;U328,Rastreio!$A$2:$A$200,0)),"")</f>
        <v/>
      </c>
    </row>
    <row r="329">
      <c r="A329">
        <f>IFERROR(INDEX(STAs!$G$2:$G$61,MATCH(P329,STAs!$F$2:$F$61,0))&amp;"","")</f>
        <v/>
      </c>
      <c r="B329" t="n">
        <v>20017005</v>
      </c>
      <c r="C329" t="inlineStr">
        <is>
          <t>Não</t>
        </is>
      </c>
      <c r="D329" t="inlineStr">
        <is>
          <t>MS</t>
        </is>
      </c>
      <c r="E329" t="inlineStr">
        <is>
          <t>CENTRO OESTE</t>
        </is>
      </c>
      <c r="F329" t="inlineStr">
        <is>
          <t>Cliente C - Misturador</t>
        </is>
      </c>
      <c r="G329" t="inlineStr">
        <is>
          <t>Refrigeradores</t>
        </is>
      </c>
      <c r="H329" s="10" t="n">
        <v>155</v>
      </c>
      <c r="I329" s="10">
        <f>IFERROR(T329*H329,0)</f>
        <v/>
      </c>
      <c r="J329" s="11" t="n">
        <v>45960</v>
      </c>
      <c r="K329" s="11" t="n">
        <v>45994</v>
      </c>
      <c r="L329" t="inlineStr">
        <is>
          <t>Ok. Devolvida</t>
        </is>
      </c>
      <c r="M329">
        <f>IF(L329="","",IFERROR(VLOOKUP(L329,mapGrupoStatus,2,0),"Outros"))</f>
        <v/>
      </c>
      <c r="N329">
        <f>IF(O329="","",IF(O329&lt;=30,"0-30 dias",IF(O329&lt;=60,"31-60 dias",IF(O329&lt;=90,"61-90 dias","Mais de 90 dias"))))</f>
        <v/>
      </c>
      <c r="O329">
        <f>IF(OR(M329="Pendente",M329="Em andamento"),IF(J329="","",TODAY()-J329),"")</f>
        <v/>
      </c>
      <c r="P329" t="n">
        <v>10302</v>
      </c>
      <c r="Q329" t="inlineStr">
        <is>
          <t>Ice Tech Express (10302)</t>
        </is>
      </c>
      <c r="R329" t="inlineStr">
        <is>
          <t>PC-0021</t>
        </is>
      </c>
      <c r="S329" t="inlineStr">
        <is>
          <t>Controlador digital modelo 01</t>
        </is>
      </c>
      <c r="T329" t="n">
        <v>3</v>
      </c>
      <c r="U329" t="n">
        <v>129</v>
      </c>
      <c r="V329">
        <f>IF(J329="","",MONTH(J329))</f>
        <v/>
      </c>
      <c r="W329">
        <f>IF(J329="","",YEAR(J329))</f>
        <v/>
      </c>
      <c r="X329" t="inlineStr">
        <is>
          <t>CargoMax</t>
        </is>
      </c>
      <c r="Y329">
        <f>IFERROR(INDEX(Rastreio!$H$2:$H$200,MATCH(X329&amp;"|"&amp;U329,Rastreio!$A$2:$A$200,0)),"")</f>
        <v/>
      </c>
    </row>
    <row r="330">
      <c r="A330">
        <f>IFERROR(INDEX(STAs!$G$2:$G$61,MATCH(P330,STAs!$F$2:$F$61,0))&amp;"","")</f>
        <v/>
      </c>
      <c r="B330" t="n">
        <v>20018515</v>
      </c>
      <c r="C330" t="inlineStr">
        <is>
          <t>Não</t>
        </is>
      </c>
      <c r="D330" t="inlineStr">
        <is>
          <t>SC</t>
        </is>
      </c>
      <c r="E330" t="inlineStr">
        <is>
          <t>SUL</t>
        </is>
      </c>
      <c r="F330" t="inlineStr">
        <is>
          <t>Cliente B - Chopeira</t>
        </is>
      </c>
      <c r="G330" t="inlineStr">
        <is>
          <t>Chopeiras</t>
        </is>
      </c>
      <c r="H330" s="10" t="n">
        <v>215</v>
      </c>
      <c r="I330" s="10">
        <f>IFERROR(T330*H330,0)</f>
        <v/>
      </c>
      <c r="J330" s="11" t="n">
        <v>45960</v>
      </c>
      <c r="K330" s="11" t="n"/>
      <c r="L330" t="inlineStr">
        <is>
          <t>NPD</t>
        </is>
      </c>
      <c r="M330">
        <f>IF(L330="","",IFERROR(VLOOKUP(L330,mapGrupoStatus,2,0),"Outros"))</f>
        <v/>
      </c>
      <c r="N330">
        <f>IF(O330="","",IF(O330&lt;=30,"0-30 dias",IF(O330&lt;=60,"31-60 dias",IF(O330&lt;=90,"61-90 dias","Mais de 90 dias"))))</f>
        <v/>
      </c>
      <c r="O330">
        <f>IF(OR(M330="Pendente",M330="Em andamento"),IF(J330="","",TODAY()-J330),"")</f>
        <v/>
      </c>
      <c r="P330" t="n">
        <v>12138</v>
      </c>
      <c r="Q330" t="inlineStr">
        <is>
          <t>Refrigeração Serviços (12138)</t>
        </is>
      </c>
      <c r="R330" t="inlineStr">
        <is>
          <t>PC-0030</t>
        </is>
      </c>
      <c r="S330" t="inlineStr">
        <is>
          <t>Serpentina modelo 02</t>
        </is>
      </c>
      <c r="T330" t="n">
        <v>1</v>
      </c>
      <c r="U330" t="inlineStr"/>
      <c r="V330">
        <f>IF(J330="","",MONTH(J330))</f>
        <v/>
      </c>
      <c r="W330">
        <f>IF(J330="","",YEAR(J330))</f>
        <v/>
      </c>
      <c r="X330" t="inlineStr"/>
      <c r="Y330">
        <f>IFERROR(INDEX(Rastreio!$H$2:$H$200,MATCH(X330&amp;"|"&amp;U330,Rastreio!$A$2:$A$200,0)),"")</f>
        <v/>
      </c>
    </row>
    <row r="331">
      <c r="A331">
        <f>IFERROR(INDEX(STAs!$G$2:$G$61,MATCH(P331,STAs!$F$2:$F$61,0))&amp;"","")</f>
        <v/>
      </c>
      <c r="B331" t="n">
        <v>20019171</v>
      </c>
      <c r="C331" t="inlineStr">
        <is>
          <t>Não</t>
        </is>
      </c>
      <c r="D331" t="inlineStr">
        <is>
          <t>GO</t>
        </is>
      </c>
      <c r="E331" t="inlineStr">
        <is>
          <t>CENTRO OESTE</t>
        </is>
      </c>
      <c r="F331" t="inlineStr">
        <is>
          <t>Cliente B - Chopeira</t>
        </is>
      </c>
      <c r="G331" t="inlineStr">
        <is>
          <t>Chopeiras</t>
        </is>
      </c>
      <c r="H331" s="10" t="n">
        <v>100</v>
      </c>
      <c r="I331" s="10">
        <f>IFERROR(T331*H331,0)</f>
        <v/>
      </c>
      <c r="J331" s="11" t="n">
        <v>45960</v>
      </c>
      <c r="K331" s="11" t="n">
        <v>46006</v>
      </c>
      <c r="L331" t="inlineStr">
        <is>
          <t>Ok. Devolvida</t>
        </is>
      </c>
      <c r="M331">
        <f>IF(L331="","",IFERROR(VLOOKUP(L331,mapGrupoStatus,2,0),"Outros"))</f>
        <v/>
      </c>
      <c r="N331">
        <f>IF(O331="","",IF(O331&lt;=30,"0-30 dias",IF(O331&lt;=60,"31-60 dias",IF(O331&lt;=90,"61-90 dias","Mais de 90 dias"))))</f>
        <v/>
      </c>
      <c r="O331">
        <f>IF(OR(M331="Pendente",M331="Em andamento"),IF(J331="","",TODAY()-J331),"")</f>
        <v/>
      </c>
      <c r="P331" t="n">
        <v>12007</v>
      </c>
      <c r="Q331" t="inlineStr">
        <is>
          <t>Refrigel Ltda (12007)</t>
        </is>
      </c>
      <c r="R331" t="inlineStr">
        <is>
          <t>PC-0027</t>
        </is>
      </c>
      <c r="S331" t="inlineStr">
        <is>
          <t>Torneira de chopp modelo 02</t>
        </is>
      </c>
      <c r="T331" t="n">
        <v>1</v>
      </c>
      <c r="U331" t="n">
        <v>136</v>
      </c>
      <c r="V331">
        <f>IF(J331="","",MONTH(J331))</f>
        <v/>
      </c>
      <c r="W331">
        <f>IF(J331="","",YEAR(J331))</f>
        <v/>
      </c>
      <c r="X331" t="inlineStr">
        <is>
          <t>ViaCargo</t>
        </is>
      </c>
      <c r="Y331">
        <f>IFERROR(INDEX(Rastreio!$H$2:$H$200,MATCH(X331&amp;"|"&amp;U331,Rastreio!$A$2:$A$200,0)),"")</f>
        <v/>
      </c>
    </row>
    <row r="332">
      <c r="A332">
        <f>IFERROR(INDEX(STAs!$G$2:$G$61,MATCH(P332,STAs!$F$2:$F$61,0))&amp;"","")</f>
        <v/>
      </c>
      <c r="B332" t="n">
        <v>20022553</v>
      </c>
      <c r="C332" t="inlineStr">
        <is>
          <t>Não</t>
        </is>
      </c>
      <c r="D332" t="inlineStr">
        <is>
          <t>RO</t>
        </is>
      </c>
      <c r="E332" t="inlineStr">
        <is>
          <t>NORTE</t>
        </is>
      </c>
      <c r="F332" t="inlineStr">
        <is>
          <t>Cliente B - Chopeira</t>
        </is>
      </c>
      <c r="G332" t="inlineStr">
        <is>
          <t>Refrigeradores</t>
        </is>
      </c>
      <c r="H332" s="10" t="n">
        <v>190</v>
      </c>
      <c r="I332" s="10">
        <f>IFERROR(T332*H332,0)</f>
        <v/>
      </c>
      <c r="J332" s="11" t="n">
        <v>45960</v>
      </c>
      <c r="K332" s="11" t="n"/>
      <c r="L332" t="inlineStr">
        <is>
          <t>Aguardando devolução</t>
        </is>
      </c>
      <c r="M332">
        <f>IF(L332="","",IFERROR(VLOOKUP(L332,mapGrupoStatus,2,0),"Outros"))</f>
        <v/>
      </c>
      <c r="N332">
        <f>IF(O332="","",IF(O332&lt;=30,"0-30 dias",IF(O332&lt;=60,"31-60 dias",IF(O332&lt;=90,"61-90 dias","Mais de 90 dias"))))</f>
        <v/>
      </c>
      <c r="O332">
        <f>IF(OR(M332="Pendente",M332="Em andamento"),IF(J332="","",TODAY()-J332),"")</f>
        <v/>
      </c>
      <c r="P332" t="n">
        <v>12019</v>
      </c>
      <c r="Q332" t="inlineStr">
        <is>
          <t>Ártico Serviços (12019)</t>
        </is>
      </c>
      <c r="R332" t="inlineStr">
        <is>
          <t>PC-0011</t>
        </is>
      </c>
      <c r="S332" t="inlineStr">
        <is>
          <t>Placa eletrônica modelo 01</t>
        </is>
      </c>
      <c r="T332" t="n">
        <v>1</v>
      </c>
      <c r="U332" t="inlineStr"/>
      <c r="V332">
        <f>IF(J332="","",MONTH(J332))</f>
        <v/>
      </c>
      <c r="W332">
        <f>IF(J332="","",YEAR(J332))</f>
        <v/>
      </c>
      <c r="X332" t="inlineStr"/>
      <c r="Y332">
        <f>IFERROR(INDEX(Rastreio!$H$2:$H$200,MATCH(X332&amp;"|"&amp;U332,Rastreio!$A$2:$A$200,0)),"")</f>
        <v/>
      </c>
    </row>
    <row r="333">
      <c r="A333">
        <f>IFERROR(INDEX(STAs!$G$2:$G$61,MATCH(P333,STAs!$F$2:$F$61,0))&amp;"","")</f>
        <v/>
      </c>
      <c r="B333" t="n">
        <v>20024590</v>
      </c>
      <c r="C333" t="inlineStr">
        <is>
          <t>Sim</t>
        </is>
      </c>
      <c r="D333" t="inlineStr">
        <is>
          <t>PR</t>
        </is>
      </c>
      <c r="E333" t="inlineStr">
        <is>
          <t>SUL</t>
        </is>
      </c>
      <c r="F333" t="inlineStr">
        <is>
          <t>Cliente B - Chopeira</t>
        </is>
      </c>
      <c r="G333" t="inlineStr">
        <is>
          <t>Refrigeradores</t>
        </is>
      </c>
      <c r="H333" s="10" t="n">
        <v>190</v>
      </c>
      <c r="I333" s="10">
        <f>IFERROR(T333*H333,0)</f>
        <v/>
      </c>
      <c r="J333" s="11" t="n">
        <v>45960</v>
      </c>
      <c r="K333" s="11" t="n">
        <v>45987</v>
      </c>
      <c r="L333" t="inlineStr">
        <is>
          <t>Ok. Devolvida</t>
        </is>
      </c>
      <c r="M333">
        <f>IF(L333="","",IFERROR(VLOOKUP(L333,mapGrupoStatus,2,0),"Outros"))</f>
        <v/>
      </c>
      <c r="N333">
        <f>IF(O333="","",IF(O333&lt;=30,"0-30 dias",IF(O333&lt;=60,"31-60 dias",IF(O333&lt;=90,"61-90 dias","Mais de 90 dias"))))</f>
        <v/>
      </c>
      <c r="O333">
        <f>IF(OR(M333="Pendente",M333="Em andamento"),IF(J333="","",TODAY()-J333),"")</f>
        <v/>
      </c>
      <c r="P333" t="n">
        <v>10753</v>
      </c>
      <c r="Q333" t="inlineStr">
        <is>
          <t>Refrigel &amp; Cia (10753)</t>
        </is>
      </c>
      <c r="R333" t="inlineStr">
        <is>
          <t>PC-0014</t>
        </is>
      </c>
      <c r="S333" t="inlineStr">
        <is>
          <t>Placa eletrônica modelo 04</t>
        </is>
      </c>
      <c r="T333" t="n">
        <v>1</v>
      </c>
      <c r="U333" t="n">
        <v>136</v>
      </c>
      <c r="V333">
        <f>IF(J333="","",MONTH(J333))</f>
        <v/>
      </c>
      <c r="W333">
        <f>IF(J333="","",YEAR(J333))</f>
        <v/>
      </c>
      <c r="X333" t="inlineStr">
        <is>
          <t>EntregaJá</t>
        </is>
      </c>
      <c r="Y333">
        <f>IFERROR(INDEX(Rastreio!$H$2:$H$200,MATCH(X333&amp;"|"&amp;U333,Rastreio!$A$2:$A$200,0)),"")</f>
        <v/>
      </c>
    </row>
    <row r="334">
      <c r="A334">
        <f>IFERROR(INDEX(STAs!$G$2:$G$61,MATCH(P334,STAs!$F$2:$F$61,0))&amp;"","")</f>
        <v/>
      </c>
      <c r="B334" t="n">
        <v>20010378</v>
      </c>
      <c r="C334" t="inlineStr">
        <is>
          <t>Não</t>
        </is>
      </c>
      <c r="D334" t="inlineStr">
        <is>
          <t>PR</t>
        </is>
      </c>
      <c r="E334" t="inlineStr">
        <is>
          <t>SUL</t>
        </is>
      </c>
      <c r="F334" t="inlineStr">
        <is>
          <t>Cliente C - Misturador</t>
        </is>
      </c>
      <c r="G334" t="inlineStr">
        <is>
          <t>Refrigeradores</t>
        </is>
      </c>
      <c r="H334" s="10" t="n">
        <v>35</v>
      </c>
      <c r="I334" s="10">
        <f>IFERROR(T334*H334,0)</f>
        <v/>
      </c>
      <c r="J334" s="11" t="n">
        <v>45961</v>
      </c>
      <c r="K334" s="11" t="n"/>
      <c r="L334" t="inlineStr">
        <is>
          <t>Em andamento</t>
        </is>
      </c>
      <c r="M334">
        <f>IF(L334="","",IFERROR(VLOOKUP(L334,mapGrupoStatus,2,0),"Outros"))</f>
        <v/>
      </c>
      <c r="N334">
        <f>IF(O334="","",IF(O334&lt;=30,"0-30 dias",IF(O334&lt;=60,"31-60 dias",IF(O334&lt;=90,"61-90 dias","Mais de 90 dias"))))</f>
        <v/>
      </c>
      <c r="O334">
        <f>IF(OR(M334="Pendente",M334="Em andamento"),IF(J334="","",TODAY()-J334),"")</f>
        <v/>
      </c>
      <c r="P334" t="n">
        <v>10504</v>
      </c>
      <c r="Q334" t="inlineStr">
        <is>
          <t>Zero Grau Ltda (10504)</t>
        </is>
      </c>
      <c r="R334" t="inlineStr">
        <is>
          <t>PC-0024</t>
        </is>
      </c>
      <c r="S334" t="inlineStr">
        <is>
          <t>Relé de partida modelo 02</t>
        </is>
      </c>
      <c r="T334" t="n">
        <v>1</v>
      </c>
      <c r="U334" t="n">
        <v>117</v>
      </c>
      <c r="V334">
        <f>IF(J334="","",MONTH(J334))</f>
        <v/>
      </c>
      <c r="W334">
        <f>IF(J334="","",YEAR(J334))</f>
        <v/>
      </c>
      <c r="X334" t="inlineStr">
        <is>
          <t>RotaSul</t>
        </is>
      </c>
      <c r="Y334">
        <f>IFERROR(INDEX(Rastreio!$H$2:$H$200,MATCH(X334&amp;"|"&amp;U334,Rastreio!$A$2:$A$200,0)),"")</f>
        <v/>
      </c>
    </row>
    <row r="335">
      <c r="A335">
        <f>IFERROR(INDEX(STAs!$G$2:$G$61,MATCH(P335,STAs!$F$2:$F$61,0))&amp;"","")</f>
        <v/>
      </c>
      <c r="B335" t="n">
        <v>20017262</v>
      </c>
      <c r="C335" t="inlineStr">
        <is>
          <t>Não</t>
        </is>
      </c>
      <c r="D335" t="inlineStr">
        <is>
          <t>AM</t>
        </is>
      </c>
      <c r="E335" t="inlineStr">
        <is>
          <t>NORTE</t>
        </is>
      </c>
      <c r="F335" t="inlineStr">
        <is>
          <t>Cliente B - Chopeira</t>
        </is>
      </c>
      <c r="G335" t="inlineStr">
        <is>
          <t>Refrigeradores</t>
        </is>
      </c>
      <c r="H335" s="10" t="n">
        <v>330</v>
      </c>
      <c r="I335" s="10">
        <f>IFERROR(T335*H335,0)</f>
        <v/>
      </c>
      <c r="J335" s="11" t="n">
        <v>45961</v>
      </c>
      <c r="K335" s="11" t="n"/>
      <c r="L335" t="inlineStr">
        <is>
          <t>Não Devolve-Norte</t>
        </is>
      </c>
      <c r="M335">
        <f>IF(L335="","",IFERROR(VLOOKUP(L335,mapGrupoStatus,2,0),"Outros"))</f>
        <v/>
      </c>
      <c r="N335">
        <f>IF(O335="","",IF(O335&lt;=30,"0-30 dias",IF(O335&lt;=60,"31-60 dias",IF(O335&lt;=90,"61-90 dias","Mais de 90 dias"))))</f>
        <v/>
      </c>
      <c r="O335">
        <f>IF(OR(M335="Pendente",M335="Em andamento"),IF(J335="","",TODAY()-J335),"")</f>
        <v/>
      </c>
      <c r="P335" t="n">
        <v>12269</v>
      </c>
      <c r="Q335" t="inlineStr">
        <is>
          <t>Polar Técnica (12269)</t>
        </is>
      </c>
      <c r="R335" t="inlineStr">
        <is>
          <t>PC-0003</t>
        </is>
      </c>
      <c r="S335" t="inlineStr">
        <is>
          <t>Compressor modelo 03</t>
        </is>
      </c>
      <c r="T335" t="n">
        <v>1</v>
      </c>
      <c r="U335" t="inlineStr"/>
      <c r="V335">
        <f>IF(J335="","",MONTH(J335))</f>
        <v/>
      </c>
      <c r="W335">
        <f>IF(J335="","",YEAR(J335))</f>
        <v/>
      </c>
      <c r="X335" t="inlineStr"/>
      <c r="Y335">
        <f>IFERROR(INDEX(Rastreio!$H$2:$H$200,MATCH(X335&amp;"|"&amp;U335,Rastreio!$A$2:$A$200,0)),"")</f>
        <v/>
      </c>
    </row>
    <row r="336">
      <c r="A336">
        <f>IFERROR(INDEX(STAs!$G$2:$G$61,MATCH(P336,STAs!$F$2:$F$61,0))&amp;"","")</f>
        <v/>
      </c>
      <c r="B336" t="n">
        <v>20021217</v>
      </c>
      <c r="C336" t="inlineStr">
        <is>
          <t>Não</t>
        </is>
      </c>
      <c r="D336" t="inlineStr">
        <is>
          <t>PR</t>
        </is>
      </c>
      <c r="E336" t="inlineStr">
        <is>
          <t>SUL</t>
        </is>
      </c>
      <c r="F336" t="inlineStr">
        <is>
          <t>Cliente B - Chopeira</t>
        </is>
      </c>
      <c r="G336" t="inlineStr">
        <is>
          <t>Chopeiras</t>
        </is>
      </c>
      <c r="H336" s="10" t="n">
        <v>85</v>
      </c>
      <c r="I336" s="10">
        <f>IFERROR(T336*H336,0)</f>
        <v/>
      </c>
      <c r="J336" s="11" t="n">
        <v>45961</v>
      </c>
      <c r="K336" s="11" t="n">
        <v>45974</v>
      </c>
      <c r="L336" t="inlineStr">
        <is>
          <t>Ok. Devolvida</t>
        </is>
      </c>
      <c r="M336">
        <f>IF(L336="","",IFERROR(VLOOKUP(L336,mapGrupoStatus,2,0),"Outros"))</f>
        <v/>
      </c>
      <c r="N336">
        <f>IF(O336="","",IF(O336&lt;=30,"0-30 dias",IF(O336&lt;=60,"31-60 dias",IF(O336&lt;=90,"61-90 dias","Mais de 90 dias"))))</f>
        <v/>
      </c>
      <c r="O336">
        <f>IF(OR(M336="Pendente",M336="Em andamento"),IF(J336="","",TODAY()-J336),"")</f>
        <v/>
      </c>
      <c r="P336" t="n">
        <v>11898</v>
      </c>
      <c r="Q336" t="inlineStr">
        <is>
          <t>Refrigel Express (11898)</t>
        </is>
      </c>
      <c r="R336" t="inlineStr">
        <is>
          <t>PC-0028</t>
        </is>
      </c>
      <c r="S336" t="inlineStr">
        <is>
          <t>Torneira de chopp modelo 03</t>
        </is>
      </c>
      <c r="T336" t="n">
        <v>1</v>
      </c>
      <c r="U336" t="n">
        <v>132</v>
      </c>
      <c r="V336">
        <f>IF(J336="","",MONTH(J336))</f>
        <v/>
      </c>
      <c r="W336">
        <f>IF(J336="","",YEAR(J336))</f>
        <v/>
      </c>
      <c r="X336" t="inlineStr">
        <is>
          <t>TransNorte</t>
        </is>
      </c>
      <c r="Y336">
        <f>IFERROR(INDEX(Rastreio!$H$2:$H$200,MATCH(X336&amp;"|"&amp;U336,Rastreio!$A$2:$A$200,0)),"")</f>
        <v/>
      </c>
    </row>
    <row r="337">
      <c r="A337">
        <f>IFERROR(INDEX(STAs!$G$2:$G$61,MATCH(P337,STAs!$F$2:$F$61,0))&amp;"","")</f>
        <v/>
      </c>
      <c r="B337" t="n">
        <v>20006379</v>
      </c>
      <c r="C337" t="inlineStr">
        <is>
          <t>Sim</t>
        </is>
      </c>
      <c r="D337" t="inlineStr">
        <is>
          <t>SP</t>
        </is>
      </c>
      <c r="E337" t="inlineStr">
        <is>
          <t>SUDESTE SP</t>
        </is>
      </c>
      <c r="F337" t="inlineStr">
        <is>
          <t>Cliente B - Chopeira</t>
        </is>
      </c>
      <c r="G337" t="inlineStr">
        <is>
          <t>Refrigeradores</t>
        </is>
      </c>
      <c r="H337" s="10" t="n">
        <v>325</v>
      </c>
      <c r="I337" s="10">
        <f>IFERROR(T337*H337,0)</f>
        <v/>
      </c>
      <c r="J337" s="11" t="n">
        <v>45962</v>
      </c>
      <c r="K337" s="11" t="n"/>
      <c r="L337" t="inlineStr">
        <is>
          <t>NPD</t>
        </is>
      </c>
      <c r="M337">
        <f>IF(L337="","",IFERROR(VLOOKUP(L337,mapGrupoStatus,2,0),"Outros"))</f>
        <v/>
      </c>
      <c r="N337">
        <f>IF(O337="","",IF(O337&lt;=30,"0-30 dias",IF(O337&lt;=60,"31-60 dias",IF(O337&lt;=90,"61-90 dias","Mais de 90 dias"))))</f>
        <v/>
      </c>
      <c r="O337">
        <f>IF(OR(M337="Pendente",M337="Em andamento"),IF(J337="","",TODAY()-J337),"")</f>
        <v/>
      </c>
      <c r="P337" t="n">
        <v>10010</v>
      </c>
      <c r="Q337" t="inlineStr">
        <is>
          <t>Cool Service ME (10010)</t>
        </is>
      </c>
      <c r="R337" t="inlineStr">
        <is>
          <t>PC-0001</t>
        </is>
      </c>
      <c r="S337" t="inlineStr">
        <is>
          <t>Compressor modelo 01</t>
        </is>
      </c>
      <c r="T337" t="n">
        <v>1</v>
      </c>
      <c r="U337" t="inlineStr"/>
      <c r="V337">
        <f>IF(J337="","",MONTH(J337))</f>
        <v/>
      </c>
      <c r="W337">
        <f>IF(J337="","",YEAR(J337))</f>
        <v/>
      </c>
      <c r="X337" t="inlineStr"/>
      <c r="Y337">
        <f>IFERROR(INDEX(Rastreio!$H$2:$H$200,MATCH(X337&amp;"|"&amp;U337,Rastreio!$A$2:$A$200,0)),"")</f>
        <v/>
      </c>
    </row>
    <row r="338">
      <c r="A338">
        <f>IFERROR(INDEX(STAs!$G$2:$G$61,MATCH(P338,STAs!$F$2:$F$61,0))&amp;"","")</f>
        <v/>
      </c>
      <c r="B338" t="n">
        <v>20007038</v>
      </c>
      <c r="C338" t="inlineStr">
        <is>
          <t>Não</t>
        </is>
      </c>
      <c r="D338" t="inlineStr">
        <is>
          <t>MG</t>
        </is>
      </c>
      <c r="E338" t="inlineStr">
        <is>
          <t>SUDESTE MG</t>
        </is>
      </c>
      <c r="F338" t="inlineStr">
        <is>
          <t>Cliente B - Chopeira</t>
        </is>
      </c>
      <c r="G338" t="inlineStr">
        <is>
          <t>Refrigeradores</t>
        </is>
      </c>
      <c r="H338" s="10" t="n">
        <v>155</v>
      </c>
      <c r="I338" s="10">
        <f>IFERROR(T338*H338,0)</f>
        <v/>
      </c>
      <c r="J338" s="11" t="n">
        <v>45962</v>
      </c>
      <c r="K338" s="11" t="n">
        <v>46016</v>
      </c>
      <c r="L338" t="inlineStr">
        <is>
          <t>Ok. Devolvida</t>
        </is>
      </c>
      <c r="M338">
        <f>IF(L338="","",IFERROR(VLOOKUP(L338,mapGrupoStatus,2,0),"Outros"))</f>
        <v/>
      </c>
      <c r="N338">
        <f>IF(O338="","",IF(O338&lt;=30,"0-30 dias",IF(O338&lt;=60,"31-60 dias",IF(O338&lt;=90,"61-90 dias","Mais de 90 dias"))))</f>
        <v/>
      </c>
      <c r="O338">
        <f>IF(OR(M338="Pendente",M338="Em andamento"),IF(J338="","",TODAY()-J338),"")</f>
        <v/>
      </c>
      <c r="P338" t="n">
        <v>11487</v>
      </c>
      <c r="Q338" t="inlineStr">
        <is>
          <t>Assistência Técnica Manutenção (11487)</t>
        </is>
      </c>
      <c r="R338" t="inlineStr">
        <is>
          <t>PC-0021</t>
        </is>
      </c>
      <c r="S338" t="inlineStr">
        <is>
          <t>Controlador digital modelo 01</t>
        </is>
      </c>
      <c r="T338" t="n">
        <v>1</v>
      </c>
      <c r="U338" t="n">
        <v>111</v>
      </c>
      <c r="V338">
        <f>IF(J338="","",MONTH(J338))</f>
        <v/>
      </c>
      <c r="W338">
        <f>IF(J338="","",YEAR(J338))</f>
        <v/>
      </c>
      <c r="X338" t="inlineStr">
        <is>
          <t>TransNorte</t>
        </is>
      </c>
      <c r="Y338">
        <f>IFERROR(INDEX(Rastreio!$H$2:$H$200,MATCH(X338&amp;"|"&amp;U338,Rastreio!$A$2:$A$200,0)),"")</f>
        <v/>
      </c>
    </row>
    <row r="339">
      <c r="A339">
        <f>IFERROR(INDEX(STAs!$G$2:$G$61,MATCH(P339,STAs!$F$2:$F$61,0))&amp;"","")</f>
        <v/>
      </c>
      <c r="B339" t="n">
        <v>20017795</v>
      </c>
      <c r="C339" t="inlineStr">
        <is>
          <t>Não</t>
        </is>
      </c>
      <c r="D339" t="inlineStr">
        <is>
          <t>PB</t>
        </is>
      </c>
      <c r="E339" t="inlineStr">
        <is>
          <t>NORDESTE</t>
        </is>
      </c>
      <c r="F339" t="inlineStr">
        <is>
          <t>Cliente C - Misturador</t>
        </is>
      </c>
      <c r="G339" t="inlineStr">
        <is>
          <t>Misturadores</t>
        </is>
      </c>
      <c r="H339" s="10" t="n">
        <v>60</v>
      </c>
      <c r="I339" s="10">
        <f>IFERROR(T339*H339,0)</f>
        <v/>
      </c>
      <c r="J339" s="11" t="n">
        <v>45962</v>
      </c>
      <c r="K339" s="11" t="n">
        <v>46020</v>
      </c>
      <c r="L339" t="inlineStr">
        <is>
          <t>Ok. Devolvida</t>
        </is>
      </c>
      <c r="M339">
        <f>IF(L339="","",IFERROR(VLOOKUP(L339,mapGrupoStatus,2,0),"Outros"))</f>
        <v/>
      </c>
      <c r="N339">
        <f>IF(O339="","",IF(O339&lt;=30,"0-30 dias",IF(O339&lt;=60,"31-60 dias",IF(O339&lt;=90,"61-90 dias","Mais de 90 dias"))))</f>
        <v/>
      </c>
      <c r="O339">
        <f>IF(OR(M339="Pendente",M339="Em andamento"),IF(J339="","",TODAY()-J339),"")</f>
        <v/>
      </c>
      <c r="P339" t="n">
        <v>11741</v>
      </c>
      <c r="Q339" t="inlineStr">
        <is>
          <t>Clima Refrigeração (11741)</t>
        </is>
      </c>
      <c r="R339" t="inlineStr">
        <is>
          <t>PC-0048</t>
        </is>
      </c>
      <c r="S339" t="inlineStr">
        <is>
          <t>Sensor de nível modelo 04</t>
        </is>
      </c>
      <c r="T339" t="n">
        <v>1</v>
      </c>
      <c r="U339" t="n">
        <v>133</v>
      </c>
      <c r="V339">
        <f>IF(J339="","",MONTH(J339))</f>
        <v/>
      </c>
      <c r="W339">
        <f>IF(J339="","",YEAR(J339))</f>
        <v/>
      </c>
      <c r="X339" t="inlineStr">
        <is>
          <t>CargoMax</t>
        </is>
      </c>
      <c r="Y339">
        <f>IFERROR(INDEX(Rastreio!$H$2:$H$200,MATCH(X339&amp;"|"&amp;U339,Rastreio!$A$2:$A$200,0)),"")</f>
        <v/>
      </c>
    </row>
    <row r="340">
      <c r="A340">
        <f>IFERROR(INDEX(STAs!$G$2:$G$61,MATCH(P340,STAs!$F$2:$F$61,0))&amp;"","")</f>
        <v/>
      </c>
      <c r="B340" t="n">
        <v>20020117</v>
      </c>
      <c r="C340" t="inlineStr">
        <is>
          <t>Não</t>
        </is>
      </c>
      <c r="D340" t="inlineStr">
        <is>
          <t>MG</t>
        </is>
      </c>
      <c r="E340" t="inlineStr">
        <is>
          <t>SUDESTE MG</t>
        </is>
      </c>
      <c r="F340" t="inlineStr">
        <is>
          <t>Cliente A - Refrigerador</t>
        </is>
      </c>
      <c r="G340" t="inlineStr">
        <is>
          <t>Chopeiras</t>
        </is>
      </c>
      <c r="H340" s="10" t="n">
        <v>115</v>
      </c>
      <c r="I340" s="10">
        <f>IFERROR(T340*H340,0)</f>
        <v/>
      </c>
      <c r="J340" s="11" t="n">
        <v>45962</v>
      </c>
      <c r="K340" s="11" t="n"/>
      <c r="L340" t="inlineStr">
        <is>
          <t>Em andamento</t>
        </is>
      </c>
      <c r="M340">
        <f>IF(L340="","",IFERROR(VLOOKUP(L340,mapGrupoStatus,2,0),"Outros"))</f>
        <v/>
      </c>
      <c r="N340">
        <f>IF(O340="","",IF(O340&lt;=30,"0-30 dias",IF(O340&lt;=60,"31-60 dias",IF(O340&lt;=90,"61-90 dias","Mais de 90 dias"))))</f>
        <v/>
      </c>
      <c r="O340">
        <f>IF(OR(M340="Pendente",M340="Em andamento"),IF(J340="","",TODAY()-J340),"")</f>
        <v/>
      </c>
      <c r="P340" t="n">
        <v>11494</v>
      </c>
      <c r="Q340" t="inlineStr">
        <is>
          <t>Clima Técnica (11494)</t>
        </is>
      </c>
      <c r="R340" t="inlineStr">
        <is>
          <t>PC-0033</t>
        </is>
      </c>
      <c r="S340" t="inlineStr">
        <is>
          <t>Regulador de pressão modelo 02</t>
        </is>
      </c>
      <c r="T340" t="n">
        <v>1</v>
      </c>
      <c r="U340" t="n">
        <v>138</v>
      </c>
      <c r="V340">
        <f>IF(J340="","",MONTH(J340))</f>
        <v/>
      </c>
      <c r="W340">
        <f>IF(J340="","",YEAR(J340))</f>
        <v/>
      </c>
      <c r="X340" t="inlineStr">
        <is>
          <t>CargoMax</t>
        </is>
      </c>
      <c r="Y340">
        <f>IFERROR(INDEX(Rastreio!$H$2:$H$200,MATCH(X340&amp;"|"&amp;U340,Rastreio!$A$2:$A$200,0)),"")</f>
        <v/>
      </c>
    </row>
    <row r="341">
      <c r="A341">
        <f>IFERROR(INDEX(STAs!$G$2:$G$61,MATCH(P341,STAs!$F$2:$F$61,0))&amp;"","")</f>
        <v/>
      </c>
      <c r="B341" t="n">
        <v>20037359</v>
      </c>
      <c r="C341" t="inlineStr">
        <is>
          <t>Não</t>
        </is>
      </c>
      <c r="D341" t="inlineStr">
        <is>
          <t>AM</t>
        </is>
      </c>
      <c r="E341" t="inlineStr">
        <is>
          <t>NORTE</t>
        </is>
      </c>
      <c r="F341" t="inlineStr">
        <is>
          <t>Cliente C - Misturador</t>
        </is>
      </c>
      <c r="G341" t="inlineStr">
        <is>
          <t>Chopeiras</t>
        </is>
      </c>
      <c r="H341" s="10" t="n">
        <v>215</v>
      </c>
      <c r="I341" s="10">
        <f>IFERROR(T341*H341,0)</f>
        <v/>
      </c>
      <c r="J341" s="11" t="n">
        <v>45962</v>
      </c>
      <c r="K341" s="11" t="n"/>
      <c r="L341" t="inlineStr">
        <is>
          <t>Debitar do STA</t>
        </is>
      </c>
      <c r="M341">
        <f>IF(L341="","",IFERROR(VLOOKUP(L341,mapGrupoStatus,2,0),"Outros"))</f>
        <v/>
      </c>
      <c r="N341">
        <f>IF(O341="","",IF(O341&lt;=30,"0-30 dias",IF(O341&lt;=60,"31-60 dias",IF(O341&lt;=90,"61-90 dias","Mais de 90 dias"))))</f>
        <v/>
      </c>
      <c r="O341">
        <f>IF(OR(M341="Pendente",M341="Em andamento"),IF(J341="","",TODAY()-J341),"")</f>
        <v/>
      </c>
      <c r="P341" t="n">
        <v>10842</v>
      </c>
      <c r="Q341" t="inlineStr">
        <is>
          <t>Frigo &amp; Cia (10842)</t>
        </is>
      </c>
      <c r="R341" t="inlineStr">
        <is>
          <t>PC-0030</t>
        </is>
      </c>
      <c r="S341" t="inlineStr">
        <is>
          <t>Serpentina modelo 02</t>
        </is>
      </c>
      <c r="T341" t="n">
        <v>1</v>
      </c>
      <c r="U341" t="inlineStr"/>
      <c r="V341">
        <f>IF(J341="","",MONTH(J341))</f>
        <v/>
      </c>
      <c r="W341">
        <f>IF(J341="","",YEAR(J341))</f>
        <v/>
      </c>
      <c r="X341" t="inlineStr"/>
      <c r="Y341">
        <f>IFERROR(INDEX(Rastreio!$H$2:$H$200,MATCH(X341&amp;"|"&amp;U341,Rastreio!$A$2:$A$200,0)),"")</f>
        <v/>
      </c>
    </row>
    <row r="342">
      <c r="A342">
        <f>IFERROR(INDEX(STAs!$G$2:$G$61,MATCH(P342,STAs!$F$2:$F$61,0))&amp;"","")</f>
        <v/>
      </c>
      <c r="B342" t="n">
        <v>20040563</v>
      </c>
      <c r="C342" t="inlineStr">
        <is>
          <t>Não</t>
        </is>
      </c>
      <c r="D342" t="inlineStr">
        <is>
          <t>MS</t>
        </is>
      </c>
      <c r="E342" t="inlineStr">
        <is>
          <t>CENTRO OESTE</t>
        </is>
      </c>
      <c r="F342" t="inlineStr">
        <is>
          <t>Cliente C - Misturador</t>
        </is>
      </c>
      <c r="G342" t="inlineStr">
        <is>
          <t>Misturadores</t>
        </is>
      </c>
      <c r="H342" s="10" t="n">
        <v>50</v>
      </c>
      <c r="I342" s="10">
        <f>IFERROR(T342*H342,0)</f>
        <v/>
      </c>
      <c r="J342" s="11" t="n">
        <v>45962</v>
      </c>
      <c r="K342" s="11" t="n"/>
      <c r="L342" t="inlineStr">
        <is>
          <t>Em transporte</t>
        </is>
      </c>
      <c r="M342">
        <f>IF(L342="","",IFERROR(VLOOKUP(L342,mapGrupoStatus,2,0),"Outros"))</f>
        <v/>
      </c>
      <c r="N342">
        <f>IF(O342="","",IF(O342&lt;=30,"0-30 dias",IF(O342&lt;=60,"31-60 dias",IF(O342&lt;=90,"61-90 dias","Mais de 90 dias"))))</f>
        <v/>
      </c>
      <c r="O342">
        <f>IF(OR(M342="Pendente",M342="Em andamento"),IF(J342="","",TODAY()-J342),"")</f>
        <v/>
      </c>
      <c r="P342" t="n">
        <v>11726</v>
      </c>
      <c r="Q342" t="inlineStr">
        <is>
          <t>Norte Frio Refrigeração (11726)</t>
        </is>
      </c>
      <c r="R342" t="inlineStr">
        <is>
          <t>PC-0047</t>
        </is>
      </c>
      <c r="S342" t="inlineStr">
        <is>
          <t>Sensor de nível modelo 03</t>
        </is>
      </c>
      <c r="T342" t="n">
        <v>1</v>
      </c>
      <c r="U342" t="n">
        <v>174</v>
      </c>
      <c r="V342">
        <f>IF(J342="","",MONTH(J342))</f>
        <v/>
      </c>
      <c r="W342">
        <f>IF(J342="","",YEAR(J342))</f>
        <v/>
      </c>
      <c r="X342" t="inlineStr">
        <is>
          <t>LogExpress</t>
        </is>
      </c>
      <c r="Y342">
        <f>IFERROR(INDEX(Rastreio!$H$2:$H$200,MATCH(X342&amp;"|"&amp;U342,Rastreio!$A$2:$A$200,0)),"")</f>
        <v/>
      </c>
    </row>
    <row r="343">
      <c r="A343">
        <f>IFERROR(INDEX(STAs!$G$2:$G$61,MATCH(P343,STAs!$F$2:$F$61,0))&amp;"","")</f>
        <v/>
      </c>
      <c r="B343" t="n">
        <v>20001532</v>
      </c>
      <c r="C343" t="inlineStr">
        <is>
          <t>Não</t>
        </is>
      </c>
      <c r="D343" t="inlineStr">
        <is>
          <t>PE</t>
        </is>
      </c>
      <c r="E343" t="inlineStr">
        <is>
          <t>NORDESTE</t>
        </is>
      </c>
      <c r="F343" t="inlineStr">
        <is>
          <t>Cliente B - Chopeira</t>
        </is>
      </c>
      <c r="G343" t="inlineStr">
        <is>
          <t>Refrigeradores</t>
        </is>
      </c>
      <c r="H343" s="10" t="n">
        <v>45</v>
      </c>
      <c r="I343" s="10">
        <f>IFERROR(T343*H343,0)</f>
        <v/>
      </c>
      <c r="J343" s="11" t="n">
        <v>45963</v>
      </c>
      <c r="K343" s="11" t="n"/>
      <c r="L343" t="inlineStr">
        <is>
          <t>Debitar do STA</t>
        </is>
      </c>
      <c r="M343">
        <f>IF(L343="","",IFERROR(VLOOKUP(L343,mapGrupoStatus,2,0),"Outros"))</f>
        <v/>
      </c>
      <c r="N343">
        <f>IF(O343="","",IF(O343&lt;=30,"0-30 dias",IF(O343&lt;=60,"31-60 dias",IF(O343&lt;=90,"61-90 dias","Mais de 90 dias"))))</f>
        <v/>
      </c>
      <c r="O343">
        <f>IF(OR(M343="Pendente",M343="Em andamento"),IF(J343="","",TODAY()-J343),"")</f>
        <v/>
      </c>
      <c r="P343" t="n">
        <v>11352</v>
      </c>
      <c r="Q343" t="inlineStr">
        <is>
          <t>Frio Express (11352)</t>
        </is>
      </c>
      <c r="R343" t="inlineStr">
        <is>
          <t>PC-0018</t>
        </is>
      </c>
      <c r="S343" t="inlineStr">
        <is>
          <t>Gaxeta da porta modelo 01</t>
        </is>
      </c>
      <c r="T343" t="n">
        <v>1</v>
      </c>
      <c r="U343" t="inlineStr"/>
      <c r="V343">
        <f>IF(J343="","",MONTH(J343))</f>
        <v/>
      </c>
      <c r="W343">
        <f>IF(J343="","",YEAR(J343))</f>
        <v/>
      </c>
      <c r="X343" t="inlineStr"/>
      <c r="Y343">
        <f>IFERROR(INDEX(Rastreio!$H$2:$H$200,MATCH(X343&amp;"|"&amp;U343,Rastreio!$A$2:$A$200,0)),"")</f>
        <v/>
      </c>
    </row>
    <row r="344">
      <c r="A344">
        <f>IFERROR(INDEX(STAs!$G$2:$G$61,MATCH(P344,STAs!$F$2:$F$61,0))&amp;"","")</f>
        <v/>
      </c>
      <c r="B344" t="n">
        <v>20003476</v>
      </c>
      <c r="C344" t="inlineStr">
        <is>
          <t>Não</t>
        </is>
      </c>
      <c r="D344" t="inlineStr">
        <is>
          <t>RJ</t>
        </is>
      </c>
      <c r="E344" t="inlineStr">
        <is>
          <t>SUDESTE RJ e ES</t>
        </is>
      </c>
      <c r="F344" t="inlineStr">
        <is>
          <t>Cliente B - Chopeira</t>
        </is>
      </c>
      <c r="G344" t="inlineStr">
        <is>
          <t>Refrigeradores</t>
        </is>
      </c>
      <c r="H344" s="10" t="n">
        <v>35</v>
      </c>
      <c r="I344" s="10">
        <f>IFERROR(T344*H344,0)</f>
        <v/>
      </c>
      <c r="J344" s="11" t="n">
        <v>45963</v>
      </c>
      <c r="K344" s="11" t="n">
        <v>45983</v>
      </c>
      <c r="L344" t="inlineStr">
        <is>
          <t>Ok. Devolvida</t>
        </is>
      </c>
      <c r="M344">
        <f>IF(L344="","",IFERROR(VLOOKUP(L344,mapGrupoStatus,2,0),"Outros"))</f>
        <v/>
      </c>
      <c r="N344">
        <f>IF(O344="","",IF(O344&lt;=30,"0-30 dias",IF(O344&lt;=60,"31-60 dias",IF(O344&lt;=90,"61-90 dias","Mais de 90 dias"))))</f>
        <v/>
      </c>
      <c r="O344">
        <f>IF(OR(M344="Pendente",M344="Em andamento"),IF(J344="","",TODAY()-J344),"")</f>
        <v/>
      </c>
      <c r="P344" t="n">
        <v>11059</v>
      </c>
      <c r="Q344" t="inlineStr">
        <is>
          <t>Frio Ltda (11059)</t>
        </is>
      </c>
      <c r="R344" t="inlineStr">
        <is>
          <t>PC-0016</t>
        </is>
      </c>
      <c r="S344" t="inlineStr">
        <is>
          <t>Filtro secador modelo 02</t>
        </is>
      </c>
      <c r="T344" t="n">
        <v>2</v>
      </c>
      <c r="U344" t="n">
        <v>105</v>
      </c>
      <c r="V344">
        <f>IF(J344="","",MONTH(J344))</f>
        <v/>
      </c>
      <c r="W344">
        <f>IF(J344="","",YEAR(J344))</f>
        <v/>
      </c>
      <c r="X344" t="inlineStr">
        <is>
          <t>TransNorte</t>
        </is>
      </c>
      <c r="Y344">
        <f>IFERROR(INDEX(Rastreio!$H$2:$H$200,MATCH(X344&amp;"|"&amp;U344,Rastreio!$A$2:$A$200,0)),"")</f>
        <v/>
      </c>
    </row>
    <row r="345">
      <c r="A345">
        <f>IFERROR(INDEX(STAs!$G$2:$G$61,MATCH(P345,STAs!$F$2:$F$61,0))&amp;"","")</f>
        <v/>
      </c>
      <c r="B345" t="n">
        <v>20028584</v>
      </c>
      <c r="C345" t="inlineStr">
        <is>
          <t>Não</t>
        </is>
      </c>
      <c r="D345" t="inlineStr">
        <is>
          <t>BA</t>
        </is>
      </c>
      <c r="E345" t="inlineStr">
        <is>
          <t>NORDESTE</t>
        </is>
      </c>
      <c r="F345" t="inlineStr">
        <is>
          <t>Cliente A - Refrigerador</t>
        </is>
      </c>
      <c r="G345" t="inlineStr">
        <is>
          <t>Chopeiras</t>
        </is>
      </c>
      <c r="H345" s="10" t="n">
        <v>85</v>
      </c>
      <c r="I345" s="10">
        <f>IFERROR(T345*H345,0)</f>
        <v/>
      </c>
      <c r="J345" s="11" t="n">
        <v>45963</v>
      </c>
      <c r="K345" s="11" t="n">
        <v>46020</v>
      </c>
      <c r="L345" t="inlineStr">
        <is>
          <t>Ok. Devolvida</t>
        </is>
      </c>
      <c r="M345">
        <f>IF(L345="","",IFERROR(VLOOKUP(L345,mapGrupoStatus,2,0),"Outros"))</f>
        <v/>
      </c>
      <c r="N345">
        <f>IF(O345="","",IF(O345&lt;=30,"0-30 dias",IF(O345&lt;=60,"31-60 dias",IF(O345&lt;=90,"61-90 dias","Mais de 90 dias"))))</f>
        <v/>
      </c>
      <c r="O345">
        <f>IF(OR(M345="Pendente",M345="Em andamento"),IF(J345="","",TODAY()-J345),"")</f>
        <v/>
      </c>
      <c r="P345" t="n">
        <v>12194</v>
      </c>
      <c r="Q345" t="inlineStr">
        <is>
          <t>Polar &amp; Cia (12194)</t>
        </is>
      </c>
      <c r="R345" t="inlineStr">
        <is>
          <t>PC-0036</t>
        </is>
      </c>
      <c r="S345" t="inlineStr">
        <is>
          <t>Válvula extratora modelo 02</t>
        </is>
      </c>
      <c r="T345" t="n">
        <v>1</v>
      </c>
      <c r="U345" t="n">
        <v>150</v>
      </c>
      <c r="V345">
        <f>IF(J345="","",MONTH(J345))</f>
        <v/>
      </c>
      <c r="W345">
        <f>IF(J345="","",YEAR(J345))</f>
        <v/>
      </c>
      <c r="X345" t="inlineStr">
        <is>
          <t>TransNorte</t>
        </is>
      </c>
      <c r="Y345">
        <f>IFERROR(INDEX(Rastreio!$H$2:$H$200,MATCH(X345&amp;"|"&amp;U345,Rastreio!$A$2:$A$200,0)),"")</f>
        <v/>
      </c>
    </row>
    <row r="346">
      <c r="A346">
        <f>IFERROR(INDEX(STAs!$G$2:$G$61,MATCH(P346,STAs!$F$2:$F$61,0))&amp;"","")</f>
        <v/>
      </c>
      <c r="B346" t="n">
        <v>20040377</v>
      </c>
      <c r="C346" t="inlineStr">
        <is>
          <t>Não</t>
        </is>
      </c>
      <c r="D346" t="inlineStr">
        <is>
          <t>AC</t>
        </is>
      </c>
      <c r="E346" t="inlineStr">
        <is>
          <t>NORTE</t>
        </is>
      </c>
      <c r="F346" t="inlineStr">
        <is>
          <t>Cliente B - Chopeira</t>
        </is>
      </c>
      <c r="G346" t="inlineStr">
        <is>
          <t>Chopeiras</t>
        </is>
      </c>
      <c r="H346" s="10" t="n">
        <v>210</v>
      </c>
      <c r="I346" s="10">
        <f>IFERROR(T346*H346,0)</f>
        <v/>
      </c>
      <c r="J346" s="11" t="n">
        <v>45963</v>
      </c>
      <c r="K346" s="11" t="n">
        <v>46002</v>
      </c>
      <c r="L346" t="inlineStr">
        <is>
          <t>Ok. Devolvida</t>
        </is>
      </c>
      <c r="M346">
        <f>IF(L346="","",IFERROR(VLOOKUP(L346,mapGrupoStatus,2,0),"Outros"))</f>
        <v/>
      </c>
      <c r="N346">
        <f>IF(O346="","",IF(O346&lt;=30,"0-30 dias",IF(O346&lt;=60,"31-60 dias",IF(O346&lt;=90,"61-90 dias","Mais de 90 dias"))))</f>
        <v/>
      </c>
      <c r="O346">
        <f>IF(OR(M346="Pendente",M346="Em andamento"),IF(J346="","",TODAY()-J346),"")</f>
        <v/>
      </c>
      <c r="P346" t="n">
        <v>10372</v>
      </c>
      <c r="Q346" t="inlineStr">
        <is>
          <t>Zero Grau ME (10372)</t>
        </is>
      </c>
      <c r="R346" t="inlineStr">
        <is>
          <t>PC-0029</t>
        </is>
      </c>
      <c r="S346" t="inlineStr">
        <is>
          <t>Serpentina modelo 01</t>
        </is>
      </c>
      <c r="T346" t="n">
        <v>1</v>
      </c>
      <c r="U346" t="n">
        <v>176</v>
      </c>
      <c r="V346">
        <f>IF(J346="","",MONTH(J346))</f>
        <v/>
      </c>
      <c r="W346">
        <f>IF(J346="","",YEAR(J346))</f>
        <v/>
      </c>
      <c r="X346" t="inlineStr">
        <is>
          <t>RotaSul</t>
        </is>
      </c>
      <c r="Y346">
        <f>IFERROR(INDEX(Rastreio!$H$2:$H$200,MATCH(X346&amp;"|"&amp;U346,Rastreio!$A$2:$A$200,0)),"")</f>
        <v/>
      </c>
    </row>
    <row r="347">
      <c r="A347">
        <f>IFERROR(INDEX(STAs!$G$2:$G$61,MATCH(P347,STAs!$F$2:$F$61,0))&amp;"","")</f>
        <v/>
      </c>
      <c r="B347" t="n">
        <v>20009238</v>
      </c>
      <c r="C347" t="inlineStr">
        <is>
          <t>Não</t>
        </is>
      </c>
      <c r="D347" t="inlineStr">
        <is>
          <t>ES</t>
        </is>
      </c>
      <c r="E347" t="inlineStr">
        <is>
          <t>SUDESTE RJ e ES</t>
        </is>
      </c>
      <c r="F347" t="inlineStr">
        <is>
          <t>Cliente B - Chopeira</t>
        </is>
      </c>
      <c r="G347" t="inlineStr">
        <is>
          <t>Misturadores</t>
        </is>
      </c>
      <c r="H347" s="10" t="n">
        <v>50</v>
      </c>
      <c r="I347" s="10">
        <f>IFERROR(T347*H347,0)</f>
        <v/>
      </c>
      <c r="J347" s="11" t="n">
        <v>45964</v>
      </c>
      <c r="K347" s="11" t="n"/>
      <c r="L347" t="inlineStr">
        <is>
          <t>Aguardando devolução</t>
        </is>
      </c>
      <c r="M347">
        <f>IF(L347="","",IFERROR(VLOOKUP(L347,mapGrupoStatus,2,0),"Outros"))</f>
        <v/>
      </c>
      <c r="N347">
        <f>IF(O347="","",IF(O347&lt;=30,"0-30 dias",IF(O347&lt;=60,"31-60 dias",IF(O347&lt;=90,"61-90 dias","Mais de 90 dias"))))</f>
        <v/>
      </c>
      <c r="O347">
        <f>IF(OR(M347="Pendente",M347="Em andamento"),IF(J347="","",TODAY()-J347),"")</f>
        <v/>
      </c>
      <c r="P347" t="n">
        <v>12555</v>
      </c>
      <c r="Q347" t="inlineStr">
        <is>
          <t>Cool Service Serviços (12555)</t>
        </is>
      </c>
      <c r="R347" t="inlineStr">
        <is>
          <t>PC-0044</t>
        </is>
      </c>
      <c r="S347" t="inlineStr">
        <is>
          <t>Bico dosador modelo 03</t>
        </is>
      </c>
      <c r="T347" t="n">
        <v>1</v>
      </c>
      <c r="U347" t="inlineStr"/>
      <c r="V347">
        <f>IF(J347="","",MONTH(J347))</f>
        <v/>
      </c>
      <c r="W347">
        <f>IF(J347="","",YEAR(J347))</f>
        <v/>
      </c>
      <c r="X347" t="inlineStr"/>
      <c r="Y347">
        <f>IFERROR(INDEX(Rastreio!$H$2:$H$200,MATCH(X347&amp;"|"&amp;U347,Rastreio!$A$2:$A$200,0)),"")</f>
        <v/>
      </c>
    </row>
    <row r="348">
      <c r="A348">
        <f>IFERROR(INDEX(STAs!$G$2:$G$61,MATCH(P348,STAs!$F$2:$F$61,0))&amp;"","")</f>
        <v/>
      </c>
      <c r="B348" t="n">
        <v>20020478</v>
      </c>
      <c r="C348" t="inlineStr">
        <is>
          <t>Não</t>
        </is>
      </c>
      <c r="D348" t="inlineStr">
        <is>
          <t>ES</t>
        </is>
      </c>
      <c r="E348" t="inlineStr">
        <is>
          <t>SUDESTE RJ e ES</t>
        </is>
      </c>
      <c r="F348" t="inlineStr">
        <is>
          <t>Cliente C - Misturador</t>
        </is>
      </c>
      <c r="G348" t="inlineStr">
        <is>
          <t>Misturadores</t>
        </is>
      </c>
      <c r="H348" s="10" t="n">
        <v>50</v>
      </c>
      <c r="I348" s="10">
        <f>IFERROR(T348*H348,0)</f>
        <v/>
      </c>
      <c r="J348" s="11" t="n">
        <v>45964</v>
      </c>
      <c r="K348" s="11" t="n">
        <v>45981</v>
      </c>
      <c r="L348" t="inlineStr">
        <is>
          <t>Ok. Devolvida</t>
        </is>
      </c>
      <c r="M348">
        <f>IF(L348="","",IFERROR(VLOOKUP(L348,mapGrupoStatus,2,0),"Outros"))</f>
        <v/>
      </c>
      <c r="N348">
        <f>IF(O348="","",IF(O348&lt;=30,"0-30 dias",IF(O348&lt;=60,"31-60 dias",IF(O348&lt;=90,"61-90 dias","Mais de 90 dias"))))</f>
        <v/>
      </c>
      <c r="O348">
        <f>IF(OR(M348="Pendente",M348="Em andamento"),IF(J348="","",TODAY()-J348),"")</f>
        <v/>
      </c>
      <c r="P348" t="n">
        <v>12555</v>
      </c>
      <c r="Q348" t="inlineStr">
        <is>
          <t>Cool Service Serviços (12555)</t>
        </is>
      </c>
      <c r="R348" t="inlineStr">
        <is>
          <t>PC-0045</t>
        </is>
      </c>
      <c r="S348" t="inlineStr">
        <is>
          <t>Sensor de nível modelo 01</t>
        </is>
      </c>
      <c r="T348" t="n">
        <v>1</v>
      </c>
      <c r="U348" t="n">
        <v>131</v>
      </c>
      <c r="V348">
        <f>IF(J348="","",MONTH(J348))</f>
        <v/>
      </c>
      <c r="W348">
        <f>IF(J348="","",YEAR(J348))</f>
        <v/>
      </c>
      <c r="X348" t="inlineStr">
        <is>
          <t>RotaSul</t>
        </is>
      </c>
      <c r="Y348">
        <f>IFERROR(INDEX(Rastreio!$H$2:$H$200,MATCH(X348&amp;"|"&amp;U348,Rastreio!$A$2:$A$200,0)),"")</f>
        <v/>
      </c>
    </row>
    <row r="349">
      <c r="A349">
        <f>IFERROR(INDEX(STAs!$G$2:$G$61,MATCH(P349,STAs!$F$2:$F$61,0))&amp;"","")</f>
        <v/>
      </c>
      <c r="B349" t="n">
        <v>20023481</v>
      </c>
      <c r="C349" t="inlineStr">
        <is>
          <t>Não</t>
        </is>
      </c>
      <c r="D349" t="inlineStr">
        <is>
          <t>AM</t>
        </is>
      </c>
      <c r="E349" t="inlineStr">
        <is>
          <t>NORTE</t>
        </is>
      </c>
      <c r="F349" t="inlineStr">
        <is>
          <t>Cliente C - Misturador</t>
        </is>
      </c>
      <c r="G349" t="inlineStr">
        <is>
          <t>Refrigeradores</t>
        </is>
      </c>
      <c r="H349" s="10" t="n">
        <v>330</v>
      </c>
      <c r="I349" s="10">
        <f>IFERROR(T349*H349,0)</f>
        <v/>
      </c>
      <c r="J349" s="11" t="n">
        <v>45964</v>
      </c>
      <c r="K349" s="11" t="n"/>
      <c r="L349" t="inlineStr">
        <is>
          <t>Não Devolve-Norte</t>
        </is>
      </c>
      <c r="M349">
        <f>IF(L349="","",IFERROR(VLOOKUP(L349,mapGrupoStatus,2,0),"Outros"))</f>
        <v/>
      </c>
      <c r="N349">
        <f>IF(O349="","",IF(O349&lt;=30,"0-30 dias",IF(O349&lt;=60,"31-60 dias",IF(O349&lt;=90,"61-90 dias","Mais de 90 dias"))))</f>
        <v/>
      </c>
      <c r="O349">
        <f>IF(OR(M349="Pendente",M349="Em andamento"),IF(J349="","",TODAY()-J349),"")</f>
        <v/>
      </c>
      <c r="P349" t="n">
        <v>10842</v>
      </c>
      <c r="Q349" t="inlineStr">
        <is>
          <t>Frigo &amp; Cia (10842)</t>
        </is>
      </c>
      <c r="R349" t="inlineStr">
        <is>
          <t>PC-0003</t>
        </is>
      </c>
      <c r="S349" t="inlineStr">
        <is>
          <t>Compressor modelo 03</t>
        </is>
      </c>
      <c r="T349" t="n">
        <v>1</v>
      </c>
      <c r="U349" t="inlineStr"/>
      <c r="V349">
        <f>IF(J349="","",MONTH(J349))</f>
        <v/>
      </c>
      <c r="W349">
        <f>IF(J349="","",YEAR(J349))</f>
        <v/>
      </c>
      <c r="X349" t="inlineStr"/>
      <c r="Y349">
        <f>IFERROR(INDEX(Rastreio!$H$2:$H$200,MATCH(X349&amp;"|"&amp;U349,Rastreio!$A$2:$A$200,0)),"")</f>
        <v/>
      </c>
    </row>
    <row r="350">
      <c r="A350">
        <f>IFERROR(INDEX(STAs!$G$2:$G$61,MATCH(P350,STAs!$F$2:$F$61,0))&amp;"","")</f>
        <v/>
      </c>
      <c r="B350" t="n">
        <v>20025400</v>
      </c>
      <c r="C350" t="inlineStr">
        <is>
          <t>Não</t>
        </is>
      </c>
      <c r="D350" t="inlineStr">
        <is>
          <t>AM</t>
        </is>
      </c>
      <c r="E350" t="inlineStr">
        <is>
          <t>NORTE</t>
        </is>
      </c>
      <c r="F350" t="inlineStr">
        <is>
          <t>Cliente B - Chopeira</t>
        </is>
      </c>
      <c r="G350" t="inlineStr">
        <is>
          <t>Chopeiras</t>
        </is>
      </c>
      <c r="H350" s="10" t="n">
        <v>210</v>
      </c>
      <c r="I350" s="10">
        <f>IFERROR(T350*H350,0)</f>
        <v/>
      </c>
      <c r="J350" s="11" t="n">
        <v>45964</v>
      </c>
      <c r="K350" s="11" t="n"/>
      <c r="L350" t="inlineStr">
        <is>
          <t>Não Devolve-Norte</t>
        </is>
      </c>
      <c r="M350">
        <f>IF(L350="","",IFERROR(VLOOKUP(L350,mapGrupoStatus,2,0),"Outros"))</f>
        <v/>
      </c>
      <c r="N350">
        <f>IF(O350="","",IF(O350&lt;=30,"0-30 dias",IF(O350&lt;=60,"31-60 dias",IF(O350&lt;=90,"61-90 dias","Mais de 90 dias"))))</f>
        <v/>
      </c>
      <c r="O350">
        <f>IF(OR(M350="Pendente",M350="Em andamento"),IF(J350="","",TODAY()-J350),"")</f>
        <v/>
      </c>
      <c r="P350" t="n">
        <v>10842</v>
      </c>
      <c r="Q350" t="inlineStr">
        <is>
          <t>Frigo &amp; Cia (10842)</t>
        </is>
      </c>
      <c r="R350" t="inlineStr">
        <is>
          <t>PC-0029</t>
        </is>
      </c>
      <c r="S350" t="inlineStr">
        <is>
          <t>Serpentina modelo 01</t>
        </is>
      </c>
      <c r="T350" t="n">
        <v>2</v>
      </c>
      <c r="U350" t="inlineStr"/>
      <c r="V350">
        <f>IF(J350="","",MONTH(J350))</f>
        <v/>
      </c>
      <c r="W350">
        <f>IF(J350="","",YEAR(J350))</f>
        <v/>
      </c>
      <c r="X350" t="inlineStr"/>
      <c r="Y350">
        <f>IFERROR(INDEX(Rastreio!$H$2:$H$200,MATCH(X350&amp;"|"&amp;U350,Rastreio!$A$2:$A$200,0)),"")</f>
        <v/>
      </c>
    </row>
    <row r="351">
      <c r="A351">
        <f>IFERROR(INDEX(STAs!$G$2:$G$61,MATCH(P351,STAs!$F$2:$F$61,0))&amp;"","")</f>
        <v/>
      </c>
      <c r="B351" t="n">
        <v>20026556</v>
      </c>
      <c r="C351" t="inlineStr">
        <is>
          <t>Sim</t>
        </is>
      </c>
      <c r="D351" t="inlineStr">
        <is>
          <t>PR</t>
        </is>
      </c>
      <c r="E351" t="inlineStr">
        <is>
          <t>SUL</t>
        </is>
      </c>
      <c r="F351" t="inlineStr">
        <is>
          <t>Cliente A - Refrigerador</t>
        </is>
      </c>
      <c r="G351" t="inlineStr">
        <is>
          <t>Chopeiras</t>
        </is>
      </c>
      <c r="H351" s="10" t="n">
        <v>100</v>
      </c>
      <c r="I351" s="10">
        <f>IFERROR(T351*H351,0)</f>
        <v/>
      </c>
      <c r="J351" s="11" t="n">
        <v>45964</v>
      </c>
      <c r="K351" s="11" t="n">
        <v>46007</v>
      </c>
      <c r="L351" t="inlineStr">
        <is>
          <t>Ok. Devolvida</t>
        </is>
      </c>
      <c r="M351">
        <f>IF(L351="","",IFERROR(VLOOKUP(L351,mapGrupoStatus,2,0),"Outros"))</f>
        <v/>
      </c>
      <c r="N351">
        <f>IF(O351="","",IF(O351&lt;=30,"0-30 dias",IF(O351&lt;=60,"31-60 dias",IF(O351&lt;=90,"61-90 dias","Mais de 90 dias"))))</f>
        <v/>
      </c>
      <c r="O351">
        <f>IF(OR(M351="Pendente",M351="Em andamento"),IF(J351="","",TODAY()-J351),"")</f>
        <v/>
      </c>
      <c r="P351" t="n">
        <v>10913</v>
      </c>
      <c r="Q351" t="inlineStr">
        <is>
          <t>Ice Tech &amp; Cia (10913)</t>
        </is>
      </c>
      <c r="R351" t="inlineStr">
        <is>
          <t>PC-0027</t>
        </is>
      </c>
      <c r="S351" t="inlineStr">
        <is>
          <t>Torneira de chopp modelo 02</t>
        </is>
      </c>
      <c r="T351" t="n">
        <v>1</v>
      </c>
      <c r="U351" t="n">
        <v>143</v>
      </c>
      <c r="V351">
        <f>IF(J351="","",MONTH(J351))</f>
        <v/>
      </c>
      <c r="W351">
        <f>IF(J351="","",YEAR(J351))</f>
        <v/>
      </c>
      <c r="X351" t="inlineStr">
        <is>
          <t>ViaCargo</t>
        </is>
      </c>
      <c r="Y351">
        <f>IFERROR(INDEX(Rastreio!$H$2:$H$200,MATCH(X351&amp;"|"&amp;U351,Rastreio!$A$2:$A$200,0)),"")</f>
        <v/>
      </c>
    </row>
    <row r="352">
      <c r="A352">
        <f>IFERROR(INDEX(STAs!$G$2:$G$61,MATCH(P352,STAs!$F$2:$F$61,0))&amp;"","")</f>
        <v/>
      </c>
      <c r="B352" t="n">
        <v>20003232</v>
      </c>
      <c r="C352" t="inlineStr">
        <is>
          <t>Não</t>
        </is>
      </c>
      <c r="D352" t="inlineStr">
        <is>
          <t>MG</t>
        </is>
      </c>
      <c r="E352" t="inlineStr">
        <is>
          <t>SUDESTE MG</t>
        </is>
      </c>
      <c r="F352" t="inlineStr">
        <is>
          <t>Cliente C - Misturador</t>
        </is>
      </c>
      <c r="G352" t="inlineStr">
        <is>
          <t>Misturadores</t>
        </is>
      </c>
      <c r="H352" s="10" t="n">
        <v>255</v>
      </c>
      <c r="I352" s="10">
        <f>IFERROR(T352*H352,0)</f>
        <v/>
      </c>
      <c r="J352" s="11" t="n">
        <v>45965</v>
      </c>
      <c r="K352" s="11" t="n"/>
      <c r="L352" t="inlineStr">
        <is>
          <t>Não Devolve-Norte</t>
        </is>
      </c>
      <c r="M352">
        <f>IF(L352="","",IFERROR(VLOOKUP(L352,mapGrupoStatus,2,0),"Outros"))</f>
        <v/>
      </c>
      <c r="N352">
        <f>IF(O352="","",IF(O352&lt;=30,"0-30 dias",IF(O352&lt;=60,"31-60 dias",IF(O352&lt;=90,"61-90 dias","Mais de 90 dias"))))</f>
        <v/>
      </c>
      <c r="O352">
        <f>IF(OR(M352="Pendente",M352="Em andamento"),IF(J352="","",TODAY()-J352),"")</f>
        <v/>
      </c>
      <c r="P352" t="n">
        <v>12470</v>
      </c>
      <c r="Q352" t="inlineStr">
        <is>
          <t>Cool Service Técnica (12470)</t>
        </is>
      </c>
      <c r="R352" t="inlineStr">
        <is>
          <t>PC-0037</t>
        </is>
      </c>
      <c r="S352" t="inlineStr">
        <is>
          <t>Bomba de recirculação modelo 01</t>
        </is>
      </c>
      <c r="T352" t="n">
        <v>1</v>
      </c>
      <c r="U352" t="inlineStr"/>
      <c r="V352">
        <f>IF(J352="","",MONTH(J352))</f>
        <v/>
      </c>
      <c r="W352">
        <f>IF(J352="","",YEAR(J352))</f>
        <v/>
      </c>
      <c r="X352" t="inlineStr"/>
      <c r="Y352">
        <f>IFERROR(INDEX(Rastreio!$H$2:$H$200,MATCH(X352&amp;"|"&amp;U352,Rastreio!$A$2:$A$200,0)),"")</f>
        <v/>
      </c>
    </row>
    <row r="353">
      <c r="A353">
        <f>IFERROR(INDEX(STAs!$G$2:$G$61,MATCH(P353,STAs!$F$2:$F$61,0))&amp;"","")</f>
        <v/>
      </c>
      <c r="B353" t="n">
        <v>20020913</v>
      </c>
      <c r="C353" t="inlineStr">
        <is>
          <t>Não</t>
        </is>
      </c>
      <c r="D353" t="inlineStr">
        <is>
          <t>RR</t>
        </is>
      </c>
      <c r="E353" t="inlineStr">
        <is>
          <t>NORTE</t>
        </is>
      </c>
      <c r="F353" t="inlineStr">
        <is>
          <t>Cliente B - Chopeira</t>
        </is>
      </c>
      <c r="G353" t="inlineStr">
        <is>
          <t>Refrigeradores</t>
        </is>
      </c>
      <c r="H353" s="10" t="n">
        <v>185</v>
      </c>
      <c r="I353" s="10">
        <f>IFERROR(T353*H353,0)</f>
        <v/>
      </c>
      <c r="J353" s="11" t="n">
        <v>45965</v>
      </c>
      <c r="K353" s="11" t="n"/>
      <c r="L353" t="inlineStr">
        <is>
          <t>Não Devolve-Norte</t>
        </is>
      </c>
      <c r="M353">
        <f>IF(L353="","",IFERROR(VLOOKUP(L353,mapGrupoStatus,2,0),"Outros"))</f>
        <v/>
      </c>
      <c r="N353">
        <f>IF(O353="","",IF(O353&lt;=30,"0-30 dias",IF(O353&lt;=60,"31-60 dias",IF(O353&lt;=90,"61-90 dias","Mais de 90 dias"))))</f>
        <v/>
      </c>
      <c r="O353">
        <f>IF(OR(M353="Pendente",M353="Em andamento"),IF(J353="","",TODAY()-J353),"")</f>
        <v/>
      </c>
      <c r="P353" t="n">
        <v>11818</v>
      </c>
      <c r="Q353" t="inlineStr">
        <is>
          <t>Termotec Ltda (11818)</t>
        </is>
      </c>
      <c r="R353" t="inlineStr">
        <is>
          <t>PC-0013</t>
        </is>
      </c>
      <c r="S353" t="inlineStr">
        <is>
          <t>Placa eletrônica modelo 03</t>
        </is>
      </c>
      <c r="T353" t="n">
        <v>1</v>
      </c>
      <c r="U353" t="inlineStr"/>
      <c r="V353">
        <f>IF(J353="","",MONTH(J353))</f>
        <v/>
      </c>
      <c r="W353">
        <f>IF(J353="","",YEAR(J353))</f>
        <v/>
      </c>
      <c r="X353" t="inlineStr"/>
      <c r="Y353">
        <f>IFERROR(INDEX(Rastreio!$H$2:$H$200,MATCH(X353&amp;"|"&amp;U353,Rastreio!$A$2:$A$200,0)),"")</f>
        <v/>
      </c>
    </row>
    <row r="354">
      <c r="A354">
        <f>IFERROR(INDEX(STAs!$G$2:$G$61,MATCH(P354,STAs!$F$2:$F$61,0))&amp;"","")</f>
        <v/>
      </c>
      <c r="B354" t="n">
        <v>20026697</v>
      </c>
      <c r="C354" t="inlineStr">
        <is>
          <t>Não</t>
        </is>
      </c>
      <c r="D354" t="inlineStr">
        <is>
          <t>RR</t>
        </is>
      </c>
      <c r="E354" t="inlineStr">
        <is>
          <t>NORTE</t>
        </is>
      </c>
      <c r="F354" t="inlineStr">
        <is>
          <t>Cliente C - Misturador</t>
        </is>
      </c>
      <c r="G354" t="inlineStr">
        <is>
          <t>Chopeiras</t>
        </is>
      </c>
      <c r="H354" s="10" t="n">
        <v>215</v>
      </c>
      <c r="I354" s="10">
        <f>IFERROR(T354*H354,0)</f>
        <v/>
      </c>
      <c r="J354" s="11" t="n">
        <v>45965</v>
      </c>
      <c r="K354" s="11" t="n"/>
      <c r="L354" t="inlineStr">
        <is>
          <t>Não Devolve-Norte</t>
        </is>
      </c>
      <c r="M354">
        <f>IF(L354="","",IFERROR(VLOOKUP(L354,mapGrupoStatus,2,0),"Outros"))</f>
        <v/>
      </c>
      <c r="N354">
        <f>IF(O354="","",IF(O354&lt;=30,"0-30 dias",IF(O354&lt;=60,"31-60 dias",IF(O354&lt;=90,"61-90 dias","Mais de 90 dias"))))</f>
        <v/>
      </c>
      <c r="O354">
        <f>IF(OR(M354="Pendente",M354="Em andamento"),IF(J354="","",TODAY()-J354),"")</f>
        <v/>
      </c>
      <c r="P354" t="n">
        <v>11818</v>
      </c>
      <c r="Q354" t="inlineStr">
        <is>
          <t>Termotec Ltda (11818)</t>
        </is>
      </c>
      <c r="R354" t="inlineStr">
        <is>
          <t>PC-0030</t>
        </is>
      </c>
      <c r="S354" t="inlineStr">
        <is>
          <t>Serpentina modelo 02</t>
        </is>
      </c>
      <c r="T354" t="n">
        <v>2</v>
      </c>
      <c r="U354" t="inlineStr"/>
      <c r="V354">
        <f>IF(J354="","",MONTH(J354))</f>
        <v/>
      </c>
      <c r="W354">
        <f>IF(J354="","",YEAR(J354))</f>
        <v/>
      </c>
      <c r="X354" t="inlineStr"/>
      <c r="Y354">
        <f>IFERROR(INDEX(Rastreio!$H$2:$H$200,MATCH(X354&amp;"|"&amp;U354,Rastreio!$A$2:$A$200,0)),"")</f>
        <v/>
      </c>
    </row>
    <row r="355">
      <c r="A355">
        <f>IFERROR(INDEX(STAs!$G$2:$G$61,MATCH(P355,STAs!$F$2:$F$61,0))&amp;"","")</f>
        <v/>
      </c>
      <c r="B355" t="n">
        <v>20028478</v>
      </c>
      <c r="C355" t="inlineStr">
        <is>
          <t>Não</t>
        </is>
      </c>
      <c r="D355" t="inlineStr">
        <is>
          <t>RO</t>
        </is>
      </c>
      <c r="E355" t="inlineStr">
        <is>
          <t>NORTE</t>
        </is>
      </c>
      <c r="F355" t="inlineStr">
        <is>
          <t>Cliente B - Chopeira</t>
        </is>
      </c>
      <c r="G355" t="inlineStr">
        <is>
          <t>Refrigeradores</t>
        </is>
      </c>
      <c r="H355" s="10" t="n">
        <v>40</v>
      </c>
      <c r="I355" s="10">
        <f>IFERROR(T355*H355,0)</f>
        <v/>
      </c>
      <c r="J355" s="11" t="n">
        <v>45965</v>
      </c>
      <c r="K355" s="11" t="n"/>
      <c r="L355" t="inlineStr">
        <is>
          <t>Não Devolve-Norte</t>
        </is>
      </c>
      <c r="M355">
        <f>IF(L355="","",IFERROR(VLOOKUP(L355,mapGrupoStatus,2,0),"Outros"))</f>
        <v/>
      </c>
      <c r="N355">
        <f>IF(O355="","",IF(O355&lt;=30,"0-30 dias",IF(O355&lt;=60,"31-60 dias",IF(O355&lt;=90,"61-90 dias","Mais de 90 dias"))))</f>
        <v/>
      </c>
      <c r="O355">
        <f>IF(OR(M355="Pendente",M355="Em andamento"),IF(J355="","",TODAY()-J355),"")</f>
        <v/>
      </c>
      <c r="P355" t="n">
        <v>10172</v>
      </c>
      <c r="Q355" t="inlineStr">
        <is>
          <t>Frigo Serviços (10172)</t>
        </is>
      </c>
      <c r="R355" t="inlineStr">
        <is>
          <t>PC-0005</t>
        </is>
      </c>
      <c r="S355" t="inlineStr">
        <is>
          <t>Termostato modelo 02</t>
        </is>
      </c>
      <c r="T355" t="n">
        <v>1</v>
      </c>
      <c r="U355" t="inlineStr"/>
      <c r="V355">
        <f>IF(J355="","",MONTH(J355))</f>
        <v/>
      </c>
      <c r="W355">
        <f>IF(J355="","",YEAR(J355))</f>
        <v/>
      </c>
      <c r="X355" t="inlineStr"/>
      <c r="Y355">
        <f>IFERROR(INDEX(Rastreio!$H$2:$H$200,MATCH(X355&amp;"|"&amp;U355,Rastreio!$A$2:$A$200,0)),"")</f>
        <v/>
      </c>
    </row>
    <row r="356">
      <c r="A356">
        <f>IFERROR(INDEX(STAs!$G$2:$G$61,MATCH(P356,STAs!$F$2:$F$61,0))&amp;"","")</f>
        <v/>
      </c>
      <c r="B356" t="n">
        <v>20007184</v>
      </c>
      <c r="C356" t="inlineStr">
        <is>
          <t>Não</t>
        </is>
      </c>
      <c r="D356" t="inlineStr">
        <is>
          <t>MT</t>
        </is>
      </c>
      <c r="E356" t="inlineStr">
        <is>
          <t>CENTRO OESTE</t>
        </is>
      </c>
      <c r="F356" t="inlineStr">
        <is>
          <t>Cliente B - Chopeira</t>
        </is>
      </c>
      <c r="G356" t="inlineStr">
        <is>
          <t>Refrigeradores</t>
        </is>
      </c>
      <c r="H356" s="10" t="n">
        <v>185</v>
      </c>
      <c r="I356" s="10">
        <f>IFERROR(T356*H356,0)</f>
        <v/>
      </c>
      <c r="J356" s="11" t="n">
        <v>45966</v>
      </c>
      <c r="K356" s="11" t="n">
        <v>46025</v>
      </c>
      <c r="L356" t="inlineStr">
        <is>
          <t>Ok. Devolvida</t>
        </is>
      </c>
      <c r="M356">
        <f>IF(L356="","",IFERROR(VLOOKUP(L356,mapGrupoStatus,2,0),"Outros"))</f>
        <v/>
      </c>
      <c r="N356">
        <f>IF(O356="","",IF(O356&lt;=30,"0-30 dias",IF(O356&lt;=60,"31-60 dias",IF(O356&lt;=90,"61-90 dias","Mais de 90 dias"))))</f>
        <v/>
      </c>
      <c r="O356">
        <f>IF(OR(M356="Pendente",M356="Em andamento"),IF(J356="","",TODAY()-J356),"")</f>
        <v/>
      </c>
      <c r="P356" t="n">
        <v>10227</v>
      </c>
      <c r="Q356" t="inlineStr">
        <is>
          <t>Assistência Técnica ME (10227)</t>
        </is>
      </c>
      <c r="R356" t="inlineStr">
        <is>
          <t>PC-0013</t>
        </is>
      </c>
      <c r="S356" t="inlineStr">
        <is>
          <t>Placa eletrônica modelo 03</t>
        </is>
      </c>
      <c r="T356" t="n">
        <v>1</v>
      </c>
      <c r="U356" t="n">
        <v>119</v>
      </c>
      <c r="V356">
        <f>IF(J356="","",MONTH(J356))</f>
        <v/>
      </c>
      <c r="W356">
        <f>IF(J356="","",YEAR(J356))</f>
        <v/>
      </c>
      <c r="X356" t="inlineStr">
        <is>
          <t>ViaCargo</t>
        </is>
      </c>
      <c r="Y356">
        <f>IFERROR(INDEX(Rastreio!$H$2:$H$200,MATCH(X356&amp;"|"&amp;U356,Rastreio!$A$2:$A$200,0)),"")</f>
        <v/>
      </c>
    </row>
    <row r="357">
      <c r="A357">
        <f>IFERROR(INDEX(STAs!$G$2:$G$61,MATCH(P357,STAs!$F$2:$F$61,0))&amp;"","")</f>
        <v/>
      </c>
      <c r="B357" t="n">
        <v>20020548</v>
      </c>
      <c r="C357" t="inlineStr">
        <is>
          <t>Não</t>
        </is>
      </c>
      <c r="D357" t="inlineStr">
        <is>
          <t>RR</t>
        </is>
      </c>
      <c r="E357" t="inlineStr">
        <is>
          <t>NORTE</t>
        </is>
      </c>
      <c r="F357" t="inlineStr">
        <is>
          <t>Cliente B - Chopeira</t>
        </is>
      </c>
      <c r="G357" t="inlineStr">
        <is>
          <t>Refrigeradores</t>
        </is>
      </c>
      <c r="H357" s="10" t="n">
        <v>70</v>
      </c>
      <c r="I357" s="10">
        <f>IFERROR(T357*H357,0)</f>
        <v/>
      </c>
      <c r="J357" s="11" t="n">
        <v>45966</v>
      </c>
      <c r="K357" s="11" t="n">
        <v>45985</v>
      </c>
      <c r="L357" t="inlineStr">
        <is>
          <t>Ok. Devolvida</t>
        </is>
      </c>
      <c r="M357">
        <f>IF(L357="","",IFERROR(VLOOKUP(L357,mapGrupoStatus,2,0),"Outros"))</f>
        <v/>
      </c>
      <c r="N357">
        <f>IF(O357="","",IF(O357&lt;=30,"0-30 dias",IF(O357&lt;=60,"31-60 dias",IF(O357&lt;=90,"61-90 dias","Mais de 90 dias"))))</f>
        <v/>
      </c>
      <c r="O357">
        <f>IF(OR(M357="Pendente",M357="Em andamento"),IF(J357="","",TODAY()-J357),"")</f>
        <v/>
      </c>
      <c r="P357" t="n">
        <v>11818</v>
      </c>
      <c r="Q357" t="inlineStr">
        <is>
          <t>Termotec Ltda (11818)</t>
        </is>
      </c>
      <c r="R357" t="inlineStr">
        <is>
          <t>PC-0009</t>
        </is>
      </c>
      <c r="S357" t="inlineStr">
        <is>
          <t>Ventilador modelo 03</t>
        </is>
      </c>
      <c r="T357" t="n">
        <v>1</v>
      </c>
      <c r="U357" t="n">
        <v>138</v>
      </c>
      <c r="V357">
        <f>IF(J357="","",MONTH(J357))</f>
        <v/>
      </c>
      <c r="W357">
        <f>IF(J357="","",YEAR(J357))</f>
        <v/>
      </c>
      <c r="X357" t="inlineStr">
        <is>
          <t>CargoMax</t>
        </is>
      </c>
      <c r="Y357">
        <f>IFERROR(INDEX(Rastreio!$H$2:$H$200,MATCH(X357&amp;"|"&amp;U357,Rastreio!$A$2:$A$200,0)),"")</f>
        <v/>
      </c>
    </row>
    <row r="358">
      <c r="A358">
        <f>IFERROR(INDEX(STAs!$G$2:$G$61,MATCH(P358,STAs!$F$2:$F$61,0))&amp;"","")</f>
        <v/>
      </c>
      <c r="B358" t="n">
        <v>20026077</v>
      </c>
      <c r="C358" t="inlineStr">
        <is>
          <t>Não</t>
        </is>
      </c>
      <c r="D358" t="inlineStr">
        <is>
          <t>RO</t>
        </is>
      </c>
      <c r="E358" t="inlineStr">
        <is>
          <t>NORTE</t>
        </is>
      </c>
      <c r="F358" t="inlineStr">
        <is>
          <t>Cliente C - Misturador</t>
        </is>
      </c>
      <c r="G358" t="inlineStr">
        <is>
          <t>Misturadores</t>
        </is>
      </c>
      <c r="H358" s="10" t="n">
        <v>255</v>
      </c>
      <c r="I358" s="10">
        <f>IFERROR(T358*H358,0)</f>
        <v/>
      </c>
      <c r="J358" s="11" t="n">
        <v>45966</v>
      </c>
      <c r="K358" s="11" t="n"/>
      <c r="L358" t="inlineStr">
        <is>
          <t>Não Devolve-Norte</t>
        </is>
      </c>
      <c r="M358">
        <f>IF(L358="","",IFERROR(VLOOKUP(L358,mapGrupoStatus,2,0),"Outros"))</f>
        <v/>
      </c>
      <c r="N358">
        <f>IF(O358="","",IF(O358&lt;=30,"0-30 dias",IF(O358&lt;=60,"31-60 dias",IF(O358&lt;=90,"61-90 dias","Mais de 90 dias"))))</f>
        <v/>
      </c>
      <c r="O358">
        <f>IF(OR(M358="Pendente",M358="Em andamento"),IF(J358="","",TODAY()-J358),"")</f>
        <v/>
      </c>
      <c r="P358" t="n">
        <v>10172</v>
      </c>
      <c r="Q358" t="inlineStr">
        <is>
          <t>Frigo Serviços (10172)</t>
        </is>
      </c>
      <c r="R358" t="inlineStr">
        <is>
          <t>PC-0037</t>
        </is>
      </c>
      <c r="S358" t="inlineStr">
        <is>
          <t>Bomba de recirculação modelo 01</t>
        </is>
      </c>
      <c r="T358" t="n">
        <v>1</v>
      </c>
      <c r="U358" t="inlineStr"/>
      <c r="V358">
        <f>IF(J358="","",MONTH(J358))</f>
        <v/>
      </c>
      <c r="W358">
        <f>IF(J358="","",YEAR(J358))</f>
        <v/>
      </c>
      <c r="X358" t="inlineStr"/>
      <c r="Y358">
        <f>IFERROR(INDEX(Rastreio!$H$2:$H$200,MATCH(X358&amp;"|"&amp;U358,Rastreio!$A$2:$A$200,0)),"")</f>
        <v/>
      </c>
    </row>
    <row r="359">
      <c r="A359">
        <f>IFERROR(INDEX(STAs!$G$2:$G$61,MATCH(P359,STAs!$F$2:$F$61,0))&amp;"","")</f>
        <v/>
      </c>
      <c r="B359" t="n">
        <v>20029207</v>
      </c>
      <c r="C359" t="inlineStr">
        <is>
          <t>Não</t>
        </is>
      </c>
      <c r="D359" t="inlineStr">
        <is>
          <t>RJ</t>
        </is>
      </c>
      <c r="E359" t="inlineStr">
        <is>
          <t>SUDESTE RJ e ES</t>
        </is>
      </c>
      <c r="F359" t="inlineStr">
        <is>
          <t>Cliente A - Refrigerador</t>
        </is>
      </c>
      <c r="G359" t="inlineStr">
        <is>
          <t>Chopeiras</t>
        </is>
      </c>
      <c r="H359" s="10" t="n">
        <v>85</v>
      </c>
      <c r="I359" s="10">
        <f>IFERROR(T359*H359,0)</f>
        <v/>
      </c>
      <c r="J359" s="11" t="n">
        <v>45966</v>
      </c>
      <c r="K359" s="11" t="n">
        <v>46006</v>
      </c>
      <c r="L359" t="inlineStr">
        <is>
          <t>Ok. Devolvida</t>
        </is>
      </c>
      <c r="M359">
        <f>IF(L359="","",IFERROR(VLOOKUP(L359,mapGrupoStatus,2,0),"Outros"))</f>
        <v/>
      </c>
      <c r="N359">
        <f>IF(O359="","",IF(O359&lt;=30,"0-30 dias",IF(O359&lt;=60,"31-60 dias",IF(O359&lt;=90,"61-90 dias","Mais de 90 dias"))))</f>
        <v/>
      </c>
      <c r="O359">
        <f>IF(OR(M359="Pendente",M359="Em andamento"),IF(J359="","",TODAY()-J359),"")</f>
        <v/>
      </c>
      <c r="P359" t="n">
        <v>12811</v>
      </c>
      <c r="Q359" t="inlineStr">
        <is>
          <t>Norte Frio Técnica (12811)</t>
        </is>
      </c>
      <c r="R359" t="inlineStr">
        <is>
          <t>PC-0028</t>
        </is>
      </c>
      <c r="S359" t="inlineStr">
        <is>
          <t>Torneira de chopp modelo 03</t>
        </is>
      </c>
      <c r="T359" t="n">
        <v>1</v>
      </c>
      <c r="U359" t="n">
        <v>150</v>
      </c>
      <c r="V359">
        <f>IF(J359="","",MONTH(J359))</f>
        <v/>
      </c>
      <c r="W359">
        <f>IF(J359="","",YEAR(J359))</f>
        <v/>
      </c>
      <c r="X359" t="inlineStr">
        <is>
          <t>TransNorte</t>
        </is>
      </c>
      <c r="Y359">
        <f>IFERROR(INDEX(Rastreio!$H$2:$H$200,MATCH(X359&amp;"|"&amp;U359,Rastreio!$A$2:$A$200,0)),"")</f>
        <v/>
      </c>
    </row>
    <row r="360">
      <c r="A360">
        <f>IFERROR(INDEX(STAs!$G$2:$G$61,MATCH(P360,STAs!$F$2:$F$61,0))&amp;"","")</f>
        <v/>
      </c>
      <c r="B360" t="n">
        <v>20033138</v>
      </c>
      <c r="C360" t="inlineStr">
        <is>
          <t>Não</t>
        </is>
      </c>
      <c r="D360" t="inlineStr">
        <is>
          <t>SP</t>
        </is>
      </c>
      <c r="E360" t="inlineStr">
        <is>
          <t>SUDESTE SP</t>
        </is>
      </c>
      <c r="F360" t="inlineStr">
        <is>
          <t>Cliente A - Refrigerador</t>
        </is>
      </c>
      <c r="G360" t="inlineStr">
        <is>
          <t>Misturadores</t>
        </is>
      </c>
      <c r="H360" s="10" t="n">
        <v>255</v>
      </c>
      <c r="I360" s="10">
        <f>IFERROR(T360*H360,0)</f>
        <v/>
      </c>
      <c r="J360" s="11" t="n">
        <v>45966</v>
      </c>
      <c r="K360" s="11" t="n">
        <v>45975</v>
      </c>
      <c r="L360" t="inlineStr">
        <is>
          <t>Ok. Devolvida</t>
        </is>
      </c>
      <c r="M360">
        <f>IF(L360="","",IFERROR(VLOOKUP(L360,mapGrupoStatus,2,0),"Outros"))</f>
        <v/>
      </c>
      <c r="N360">
        <f>IF(O360="","",IF(O360&lt;=30,"0-30 dias",IF(O360&lt;=60,"31-60 dias",IF(O360&lt;=90,"61-90 dias","Mais de 90 dias"))))</f>
        <v/>
      </c>
      <c r="O360">
        <f>IF(OR(M360="Pendente",M360="Em andamento"),IF(J360="","",TODAY()-J360),"")</f>
        <v/>
      </c>
      <c r="P360" t="n">
        <v>11710</v>
      </c>
      <c r="Q360" t="inlineStr">
        <is>
          <t>Brisa &amp; Cia (11710)</t>
        </is>
      </c>
      <c r="R360" t="inlineStr">
        <is>
          <t>PC-0039</t>
        </is>
      </c>
      <c r="S360" t="inlineStr">
        <is>
          <t>Bomba de recirculação modelo 03</t>
        </is>
      </c>
      <c r="T360" t="n">
        <v>1</v>
      </c>
      <c r="U360" t="n">
        <v>152</v>
      </c>
      <c r="V360">
        <f>IF(J360="","",MONTH(J360))</f>
        <v/>
      </c>
      <c r="W360">
        <f>IF(J360="","",YEAR(J360))</f>
        <v/>
      </c>
      <c r="X360" t="inlineStr">
        <is>
          <t>ViaCargo</t>
        </is>
      </c>
      <c r="Y360">
        <f>IFERROR(INDEX(Rastreio!$H$2:$H$200,MATCH(X360&amp;"|"&amp;U360,Rastreio!$A$2:$A$200,0)),"")</f>
        <v/>
      </c>
    </row>
    <row r="361">
      <c r="A361">
        <f>IFERROR(INDEX(STAs!$G$2:$G$61,MATCH(P361,STAs!$F$2:$F$61,0))&amp;"","")</f>
        <v/>
      </c>
      <c r="B361" t="n">
        <v>20002391</v>
      </c>
      <c r="C361" t="inlineStr">
        <is>
          <t>Não</t>
        </is>
      </c>
      <c r="D361" t="inlineStr">
        <is>
          <t>GO</t>
        </is>
      </c>
      <c r="E361" t="inlineStr">
        <is>
          <t>CENTRO OESTE</t>
        </is>
      </c>
      <c r="F361" t="inlineStr">
        <is>
          <t>Cliente B - Chopeira</t>
        </is>
      </c>
      <c r="G361" t="inlineStr">
        <is>
          <t>Misturadores</t>
        </is>
      </c>
      <c r="H361" s="10" t="n">
        <v>50</v>
      </c>
      <c r="I361" s="10">
        <f>IFERROR(T361*H361,0)</f>
        <v/>
      </c>
      <c r="J361" s="11" t="n">
        <v>45967</v>
      </c>
      <c r="K361" s="11" t="n"/>
      <c r="L361" t="inlineStr">
        <is>
          <t>Em transporte</t>
        </is>
      </c>
      <c r="M361">
        <f>IF(L361="","",IFERROR(VLOOKUP(L361,mapGrupoStatus,2,0),"Outros"))</f>
        <v/>
      </c>
      <c r="N361">
        <f>IF(O361="","",IF(O361&lt;=30,"0-30 dias",IF(O361&lt;=60,"31-60 dias",IF(O361&lt;=90,"61-90 dias","Mais de 90 dias"))))</f>
        <v/>
      </c>
      <c r="O361">
        <f>IF(OR(M361="Pendente",M361="Em andamento"),IF(J361="","",TODAY()-J361),"")</f>
        <v/>
      </c>
      <c r="P361" t="n">
        <v>12007</v>
      </c>
      <c r="Q361" t="inlineStr">
        <is>
          <t>Refrigel Ltda (12007)</t>
        </is>
      </c>
      <c r="R361" t="inlineStr">
        <is>
          <t>PC-0045</t>
        </is>
      </c>
      <c r="S361" t="inlineStr">
        <is>
          <t>Sensor de nível modelo 01</t>
        </is>
      </c>
      <c r="T361" t="n">
        <v>1</v>
      </c>
      <c r="U361" t="n">
        <v>103</v>
      </c>
      <c r="V361">
        <f>IF(J361="","",MONTH(J361))</f>
        <v/>
      </c>
      <c r="W361">
        <f>IF(J361="","",YEAR(J361))</f>
        <v/>
      </c>
      <c r="X361" t="inlineStr">
        <is>
          <t>LogExpress</t>
        </is>
      </c>
      <c r="Y361">
        <f>IFERROR(INDEX(Rastreio!$H$2:$H$200,MATCH(X361&amp;"|"&amp;U361,Rastreio!$A$2:$A$200,0)),"")</f>
        <v/>
      </c>
    </row>
    <row r="362">
      <c r="A362">
        <f>IFERROR(INDEX(STAs!$G$2:$G$61,MATCH(P362,STAs!$F$2:$F$61,0))&amp;"","")</f>
        <v/>
      </c>
      <c r="B362" t="n">
        <v>20003446</v>
      </c>
      <c r="C362" t="inlineStr">
        <is>
          <t>Não</t>
        </is>
      </c>
      <c r="D362" t="inlineStr">
        <is>
          <t>MG</t>
        </is>
      </c>
      <c r="E362" t="inlineStr">
        <is>
          <t>SUDESTE MG</t>
        </is>
      </c>
      <c r="F362" t="inlineStr">
        <is>
          <t>Cliente C - Misturador</t>
        </is>
      </c>
      <c r="G362" t="inlineStr">
        <is>
          <t>Refrigeradores</t>
        </is>
      </c>
      <c r="H362" s="10" t="n">
        <v>35</v>
      </c>
      <c r="I362" s="10">
        <f>IFERROR(T362*H362,0)</f>
        <v/>
      </c>
      <c r="J362" s="11" t="n">
        <v>45967</v>
      </c>
      <c r="K362" s="11" t="n"/>
      <c r="L362" t="inlineStr">
        <is>
          <t>Aguardando devolução</t>
        </is>
      </c>
      <c r="M362">
        <f>IF(L362="","",IFERROR(VLOOKUP(L362,mapGrupoStatus,2,0),"Outros"))</f>
        <v/>
      </c>
      <c r="N362">
        <f>IF(O362="","",IF(O362&lt;=30,"0-30 dias",IF(O362&lt;=60,"31-60 dias",IF(O362&lt;=90,"61-90 dias","Mais de 90 dias"))))</f>
        <v/>
      </c>
      <c r="O362">
        <f>IF(OR(M362="Pendente",M362="Em andamento"),IF(J362="","",TODAY()-J362),"")</f>
        <v/>
      </c>
      <c r="P362" t="n">
        <v>12689</v>
      </c>
      <c r="Q362" t="inlineStr">
        <is>
          <t>Norte Frio Manutenção (12689)</t>
        </is>
      </c>
      <c r="R362" t="inlineStr">
        <is>
          <t>PC-0023</t>
        </is>
      </c>
      <c r="S362" t="inlineStr">
        <is>
          <t>Relé de partida modelo 01</t>
        </is>
      </c>
      <c r="T362" t="n">
        <v>1</v>
      </c>
      <c r="U362" t="inlineStr"/>
      <c r="V362">
        <f>IF(J362="","",MONTH(J362))</f>
        <v/>
      </c>
      <c r="W362">
        <f>IF(J362="","",YEAR(J362))</f>
        <v/>
      </c>
      <c r="X362" t="inlineStr"/>
      <c r="Y362">
        <f>IFERROR(INDEX(Rastreio!$H$2:$H$200,MATCH(X362&amp;"|"&amp;U362,Rastreio!$A$2:$A$200,0)),"")</f>
        <v/>
      </c>
    </row>
    <row r="363">
      <c r="A363">
        <f>IFERROR(INDEX(STAs!$G$2:$G$61,MATCH(P363,STAs!$F$2:$F$61,0))&amp;"","")</f>
        <v/>
      </c>
      <c r="B363" t="n">
        <v>20006300</v>
      </c>
      <c r="C363" t="inlineStr">
        <is>
          <t>Não</t>
        </is>
      </c>
      <c r="D363" t="inlineStr">
        <is>
          <t>ES</t>
        </is>
      </c>
      <c r="E363" t="inlineStr">
        <is>
          <t>SUDESTE RJ e ES</t>
        </is>
      </c>
      <c r="F363" t="inlineStr">
        <is>
          <t>Cliente C - Misturador</t>
        </is>
      </c>
      <c r="G363" t="inlineStr">
        <is>
          <t>Chopeiras</t>
        </is>
      </c>
      <c r="H363" s="10" t="n">
        <v>85</v>
      </c>
      <c r="I363" s="10">
        <f>IFERROR(T363*H363,0)</f>
        <v/>
      </c>
      <c r="J363" s="11" t="n">
        <v>45967</v>
      </c>
      <c r="K363" s="11" t="n"/>
      <c r="L363" t="inlineStr">
        <is>
          <t>Em transporte</t>
        </is>
      </c>
      <c r="M363">
        <f>IF(L363="","",IFERROR(VLOOKUP(L363,mapGrupoStatus,2,0),"Outros"))</f>
        <v/>
      </c>
      <c r="N363">
        <f>IF(O363="","",IF(O363&lt;=30,"0-30 dias",IF(O363&lt;=60,"31-60 dias",IF(O363&lt;=90,"61-90 dias","Mais de 90 dias"))))</f>
        <v/>
      </c>
      <c r="O363">
        <f>IF(OR(M363="Pendente",M363="Em andamento"),IF(J363="","",TODAY()-J363),"")</f>
        <v/>
      </c>
      <c r="P363" t="n">
        <v>11099</v>
      </c>
      <c r="Q363" t="inlineStr">
        <is>
          <t>Refrigel Serviços (11099)</t>
        </is>
      </c>
      <c r="R363" t="inlineStr">
        <is>
          <t>PC-0036</t>
        </is>
      </c>
      <c r="S363" t="inlineStr">
        <is>
          <t>Válvula extratora modelo 02</t>
        </is>
      </c>
      <c r="T363" t="n">
        <v>1</v>
      </c>
      <c r="U363" t="n">
        <v>111</v>
      </c>
      <c r="V363">
        <f>IF(J363="","",MONTH(J363))</f>
        <v/>
      </c>
      <c r="W363">
        <f>IF(J363="","",YEAR(J363))</f>
        <v/>
      </c>
      <c r="X363" t="inlineStr">
        <is>
          <t>RotaSul</t>
        </is>
      </c>
      <c r="Y363">
        <f>IFERROR(INDEX(Rastreio!$H$2:$H$200,MATCH(X363&amp;"|"&amp;U363,Rastreio!$A$2:$A$200,0)),"")</f>
        <v/>
      </c>
    </row>
    <row r="364">
      <c r="A364">
        <f>IFERROR(INDEX(STAs!$G$2:$G$61,MATCH(P364,STAs!$F$2:$F$61,0))&amp;"","")</f>
        <v/>
      </c>
      <c r="B364" t="n">
        <v>20028349</v>
      </c>
      <c r="C364" t="inlineStr">
        <is>
          <t>Sim</t>
        </is>
      </c>
      <c r="D364" t="inlineStr">
        <is>
          <t>PR</t>
        </is>
      </c>
      <c r="E364" t="inlineStr">
        <is>
          <t>SUL</t>
        </is>
      </c>
      <c r="F364" t="inlineStr">
        <is>
          <t>Cliente C - Misturador</t>
        </is>
      </c>
      <c r="G364" t="inlineStr">
        <is>
          <t>Chopeiras</t>
        </is>
      </c>
      <c r="H364" s="10" t="n">
        <v>85</v>
      </c>
      <c r="I364" s="10">
        <f>IFERROR(T364*H364,0)</f>
        <v/>
      </c>
      <c r="J364" s="11" t="n">
        <v>45967</v>
      </c>
      <c r="K364" s="11" t="n">
        <v>45974</v>
      </c>
      <c r="L364" t="inlineStr">
        <is>
          <t>Ok. Devolvida</t>
        </is>
      </c>
      <c r="M364">
        <f>IF(L364="","",IFERROR(VLOOKUP(L364,mapGrupoStatus,2,0),"Outros"))</f>
        <v/>
      </c>
      <c r="N364">
        <f>IF(O364="","",IF(O364&lt;=30,"0-30 dias",IF(O364&lt;=60,"31-60 dias",IF(O364&lt;=90,"61-90 dias","Mais de 90 dias"))))</f>
        <v/>
      </c>
      <c r="O364">
        <f>IF(OR(M364="Pendente",M364="Em andamento"),IF(J364="","",TODAY()-J364),"")</f>
        <v/>
      </c>
      <c r="P364" t="n">
        <v>12724</v>
      </c>
      <c r="Q364" t="inlineStr">
        <is>
          <t>Cool Service &amp; Cia (12724)</t>
        </is>
      </c>
      <c r="R364" t="inlineStr">
        <is>
          <t>PC-0036</t>
        </is>
      </c>
      <c r="S364" t="inlineStr">
        <is>
          <t>Válvula extratora modelo 02</t>
        </is>
      </c>
      <c r="T364" t="n">
        <v>1</v>
      </c>
      <c r="U364" t="n">
        <v>152</v>
      </c>
      <c r="V364">
        <f>IF(J364="","",MONTH(J364))</f>
        <v/>
      </c>
      <c r="W364">
        <f>IF(J364="","",YEAR(J364))</f>
        <v/>
      </c>
      <c r="X364" t="inlineStr">
        <is>
          <t>LogExpress</t>
        </is>
      </c>
      <c r="Y364">
        <f>IFERROR(INDEX(Rastreio!$H$2:$H$200,MATCH(X364&amp;"|"&amp;U364,Rastreio!$A$2:$A$200,0)),"")</f>
        <v/>
      </c>
    </row>
    <row r="365">
      <c r="A365">
        <f>IFERROR(INDEX(STAs!$G$2:$G$61,MATCH(P365,STAs!$F$2:$F$61,0))&amp;"","")</f>
        <v/>
      </c>
      <c r="B365" t="n">
        <v>20028497</v>
      </c>
      <c r="C365" t="inlineStr">
        <is>
          <t>Não</t>
        </is>
      </c>
      <c r="D365" t="inlineStr">
        <is>
          <t>GO</t>
        </is>
      </c>
      <c r="E365" t="inlineStr">
        <is>
          <t>CENTRO OESTE</t>
        </is>
      </c>
      <c r="F365" t="inlineStr">
        <is>
          <t>Cliente C - Misturador</t>
        </is>
      </c>
      <c r="G365" t="inlineStr">
        <is>
          <t>Refrigeradores</t>
        </is>
      </c>
      <c r="H365" s="10" t="n">
        <v>35</v>
      </c>
      <c r="I365" s="10">
        <f>IFERROR(T365*H365,0)</f>
        <v/>
      </c>
      <c r="J365" s="11" t="n">
        <v>45967</v>
      </c>
      <c r="K365" s="11" t="n"/>
      <c r="L365" t="inlineStr">
        <is>
          <t>Em transporte</t>
        </is>
      </c>
      <c r="M365">
        <f>IF(L365="","",IFERROR(VLOOKUP(L365,mapGrupoStatus,2,0),"Outros"))</f>
        <v/>
      </c>
      <c r="N365">
        <f>IF(O365="","",IF(O365&lt;=30,"0-30 dias",IF(O365&lt;=60,"31-60 dias",IF(O365&lt;=90,"61-90 dias","Mais de 90 dias"))))</f>
        <v/>
      </c>
      <c r="O365">
        <f>IF(OR(M365="Pendente",M365="Em andamento"),IF(J365="","",TODAY()-J365),"")</f>
        <v/>
      </c>
      <c r="P365" t="n">
        <v>12007</v>
      </c>
      <c r="Q365" t="inlineStr">
        <is>
          <t>Refrigel Ltda (12007)</t>
        </is>
      </c>
      <c r="R365" t="inlineStr">
        <is>
          <t>PC-0016</t>
        </is>
      </c>
      <c r="S365" t="inlineStr">
        <is>
          <t>Filtro secador modelo 02</t>
        </is>
      </c>
      <c r="T365" t="n">
        <v>1</v>
      </c>
      <c r="U365" t="n">
        <v>149</v>
      </c>
      <c r="V365">
        <f>IF(J365="","",MONTH(J365))</f>
        <v/>
      </c>
      <c r="W365">
        <f>IF(J365="","",YEAR(J365))</f>
        <v/>
      </c>
      <c r="X365" t="inlineStr">
        <is>
          <t>RotaSul</t>
        </is>
      </c>
      <c r="Y365">
        <f>IFERROR(INDEX(Rastreio!$H$2:$H$200,MATCH(X365&amp;"|"&amp;U365,Rastreio!$A$2:$A$200,0)),"")</f>
        <v/>
      </c>
    </row>
    <row r="366">
      <c r="A366">
        <f>IFERROR(INDEX(STAs!$G$2:$G$61,MATCH(P366,STAs!$F$2:$F$61,0))&amp;"","")</f>
        <v/>
      </c>
      <c r="B366" t="n">
        <v>20029699</v>
      </c>
      <c r="C366" t="inlineStr">
        <is>
          <t>Não</t>
        </is>
      </c>
      <c r="D366" t="inlineStr">
        <is>
          <t>PR</t>
        </is>
      </c>
      <c r="E366" t="inlineStr">
        <is>
          <t>SUL</t>
        </is>
      </c>
      <c r="F366" t="inlineStr">
        <is>
          <t>Cliente A - Refrigerador</t>
        </is>
      </c>
      <c r="G366" t="inlineStr">
        <is>
          <t>Misturadores</t>
        </is>
      </c>
      <c r="H366" s="10" t="n">
        <v>200</v>
      </c>
      <c r="I366" s="10">
        <f>IFERROR(T366*H366,0)</f>
        <v/>
      </c>
      <c r="J366" s="11" t="n">
        <v>45967</v>
      </c>
      <c r="K366" s="11" t="n"/>
      <c r="L366" t="inlineStr">
        <is>
          <t>Em transporte</t>
        </is>
      </c>
      <c r="M366">
        <f>IF(L366="","",IFERROR(VLOOKUP(L366,mapGrupoStatus,2,0),"Outros"))</f>
        <v/>
      </c>
      <c r="N366">
        <f>IF(O366="","",IF(O366&lt;=30,"0-30 dias",IF(O366&lt;=60,"31-60 dias",IF(O366&lt;=90,"61-90 dias","Mais de 90 dias"))))</f>
        <v/>
      </c>
      <c r="O366">
        <f>IF(OR(M366="Pendente",M366="Em andamento"),IF(J366="","",TODAY()-J366),"")</f>
        <v/>
      </c>
      <c r="P366" t="n">
        <v>11898</v>
      </c>
      <c r="Q366" t="inlineStr">
        <is>
          <t>Refrigel Express (11898)</t>
        </is>
      </c>
      <c r="R366" t="inlineStr">
        <is>
          <t>PC-0040</t>
        </is>
      </c>
      <c r="S366" t="inlineStr">
        <is>
          <t>Motor agitador modelo 01</t>
        </is>
      </c>
      <c r="T366" t="n">
        <v>2</v>
      </c>
      <c r="U366" t="n">
        <v>156</v>
      </c>
      <c r="V366">
        <f>IF(J366="","",MONTH(J366))</f>
        <v/>
      </c>
      <c r="W366">
        <f>IF(J366="","",YEAR(J366))</f>
        <v/>
      </c>
      <c r="X366" t="inlineStr">
        <is>
          <t>LogExpress</t>
        </is>
      </c>
      <c r="Y366">
        <f>IFERROR(INDEX(Rastreio!$H$2:$H$200,MATCH(X366&amp;"|"&amp;U366,Rastreio!$A$2:$A$200,0)),"")</f>
        <v/>
      </c>
    </row>
    <row r="367">
      <c r="A367">
        <f>IFERROR(INDEX(STAs!$G$2:$G$61,MATCH(P367,STAs!$F$2:$F$61,0))&amp;"","")</f>
        <v/>
      </c>
      <c r="B367" t="n">
        <v>20035837</v>
      </c>
      <c r="C367" t="inlineStr">
        <is>
          <t>Não</t>
        </is>
      </c>
      <c r="D367" t="inlineStr">
        <is>
          <t>RJ</t>
        </is>
      </c>
      <c r="E367" t="inlineStr">
        <is>
          <t>SUDESTE RJ e ES</t>
        </is>
      </c>
      <c r="F367" t="inlineStr">
        <is>
          <t>Cliente B - Chopeira</t>
        </is>
      </c>
      <c r="G367" t="inlineStr">
        <is>
          <t>Chopeiras</t>
        </is>
      </c>
      <c r="H367" s="10" t="n">
        <v>215</v>
      </c>
      <c r="I367" s="10">
        <f>IFERROR(T367*H367,0)</f>
        <v/>
      </c>
      <c r="J367" s="11" t="n">
        <v>45967</v>
      </c>
      <c r="K367" s="11" t="n"/>
      <c r="L367" t="inlineStr">
        <is>
          <t>Aguardando devolução</t>
        </is>
      </c>
      <c r="M367">
        <f>IF(L367="","",IFERROR(VLOOKUP(L367,mapGrupoStatus,2,0),"Outros"))</f>
        <v/>
      </c>
      <c r="N367">
        <f>IF(O367="","",IF(O367&lt;=30,"0-30 dias",IF(O367&lt;=60,"31-60 dias",IF(O367&lt;=90,"61-90 dias","Mais de 90 dias"))))</f>
        <v/>
      </c>
      <c r="O367">
        <f>IF(OR(M367="Pendente",M367="Em andamento"),IF(J367="","",TODAY()-J367),"")</f>
        <v/>
      </c>
      <c r="P367" t="n">
        <v>11059</v>
      </c>
      <c r="Q367" t="inlineStr">
        <is>
          <t>Frio Ltda (11059)</t>
        </is>
      </c>
      <c r="R367" t="inlineStr">
        <is>
          <t>PC-0030</t>
        </is>
      </c>
      <c r="S367" t="inlineStr">
        <is>
          <t>Serpentina modelo 02</t>
        </is>
      </c>
      <c r="T367" t="n">
        <v>1</v>
      </c>
      <c r="U367" t="inlineStr"/>
      <c r="V367">
        <f>IF(J367="","",MONTH(J367))</f>
        <v/>
      </c>
      <c r="W367">
        <f>IF(J367="","",YEAR(J367))</f>
        <v/>
      </c>
      <c r="X367" t="inlineStr"/>
      <c r="Y367">
        <f>IFERROR(INDEX(Rastreio!$H$2:$H$200,MATCH(X367&amp;"|"&amp;U367,Rastreio!$A$2:$A$200,0)),"")</f>
        <v/>
      </c>
    </row>
    <row r="368">
      <c r="A368">
        <f>IFERROR(INDEX(STAs!$G$2:$G$61,MATCH(P368,STAs!$F$2:$F$61,0))&amp;"","")</f>
        <v/>
      </c>
      <c r="B368" t="n">
        <v>20040302</v>
      </c>
      <c r="C368" t="inlineStr">
        <is>
          <t>Não</t>
        </is>
      </c>
      <c r="D368" t="inlineStr">
        <is>
          <t>MG</t>
        </is>
      </c>
      <c r="E368" t="inlineStr">
        <is>
          <t>SUDESTE MG</t>
        </is>
      </c>
      <c r="F368" t="inlineStr">
        <is>
          <t>Cliente C - Misturador</t>
        </is>
      </c>
      <c r="G368" t="inlineStr">
        <is>
          <t>Refrigeradores</t>
        </is>
      </c>
      <c r="H368" s="10" t="n">
        <v>315</v>
      </c>
      <c r="I368" s="10">
        <f>IFERROR(T368*H368,0)</f>
        <v/>
      </c>
      <c r="J368" s="11" t="n">
        <v>45967</v>
      </c>
      <c r="K368" s="11" t="n"/>
      <c r="L368" t="inlineStr">
        <is>
          <t>Debitar do STA</t>
        </is>
      </c>
      <c r="M368">
        <f>IF(L368="","",IFERROR(VLOOKUP(L368,mapGrupoStatus,2,0),"Outros"))</f>
        <v/>
      </c>
      <c r="N368">
        <f>IF(O368="","",IF(O368&lt;=30,"0-30 dias",IF(O368&lt;=60,"31-60 dias",IF(O368&lt;=90,"61-90 dias","Mais de 90 dias"))))</f>
        <v/>
      </c>
      <c r="O368">
        <f>IF(OR(M368="Pendente",M368="Em andamento"),IF(J368="","",TODAY()-J368),"")</f>
        <v/>
      </c>
      <c r="P368" t="n">
        <v>11494</v>
      </c>
      <c r="Q368" t="inlineStr">
        <is>
          <t>Clima Técnica (11494)</t>
        </is>
      </c>
      <c r="R368" t="inlineStr">
        <is>
          <t>PC-0002</t>
        </is>
      </c>
      <c r="S368" t="inlineStr">
        <is>
          <t>Compressor modelo 02</t>
        </is>
      </c>
      <c r="T368" t="n">
        <v>1</v>
      </c>
      <c r="U368" t="inlineStr"/>
      <c r="V368">
        <f>IF(J368="","",MONTH(J368))</f>
        <v/>
      </c>
      <c r="W368">
        <f>IF(J368="","",YEAR(J368))</f>
        <v/>
      </c>
      <c r="X368" t="inlineStr"/>
      <c r="Y368">
        <f>IFERROR(INDEX(Rastreio!$H$2:$H$200,MATCH(X368&amp;"|"&amp;U368,Rastreio!$A$2:$A$200,0)),"")</f>
        <v/>
      </c>
    </row>
    <row r="369">
      <c r="A369">
        <f>IFERROR(INDEX(STAs!$G$2:$G$61,MATCH(P369,STAs!$F$2:$F$61,0))&amp;"","")</f>
        <v/>
      </c>
      <c r="B369" t="n">
        <v>20014702</v>
      </c>
      <c r="C369" t="inlineStr">
        <is>
          <t>Não</t>
        </is>
      </c>
      <c r="D369" t="inlineStr">
        <is>
          <t>RJ</t>
        </is>
      </c>
      <c r="E369" t="inlineStr">
        <is>
          <t>SUDESTE RJ e ES</t>
        </is>
      </c>
      <c r="F369" t="inlineStr">
        <is>
          <t>Cliente A - Refrigerador</t>
        </is>
      </c>
      <c r="G369" t="inlineStr">
        <is>
          <t>Refrigeradores</t>
        </is>
      </c>
      <c r="H369" s="10" t="n">
        <v>45</v>
      </c>
      <c r="I369" s="10">
        <f>IFERROR(T369*H369,0)</f>
        <v/>
      </c>
      <c r="J369" s="11" t="n">
        <v>45968</v>
      </c>
      <c r="K369" s="11" t="n"/>
      <c r="L369" t="inlineStr">
        <is>
          <t>Em transporte</t>
        </is>
      </c>
      <c r="M369">
        <f>IF(L369="","",IFERROR(VLOOKUP(L369,mapGrupoStatus,2,0),"Outros"))</f>
        <v/>
      </c>
      <c r="N369">
        <f>IF(O369="","",IF(O369&lt;=30,"0-30 dias",IF(O369&lt;=60,"31-60 dias",IF(O369&lt;=90,"61-90 dias","Mais de 90 dias"))))</f>
        <v/>
      </c>
      <c r="O369">
        <f>IF(OR(M369="Pendente",M369="Em andamento"),IF(J369="","",TODAY()-J369),"")</f>
        <v/>
      </c>
      <c r="P369" t="n">
        <v>12336</v>
      </c>
      <c r="Q369" t="inlineStr">
        <is>
          <t>Termotec ME (12336)</t>
        </is>
      </c>
      <c r="R369" t="inlineStr">
        <is>
          <t>PC-0018</t>
        </is>
      </c>
      <c r="S369" t="inlineStr">
        <is>
          <t>Gaxeta da porta modelo 01</t>
        </is>
      </c>
      <c r="T369" t="n">
        <v>1</v>
      </c>
      <c r="U369" t="n">
        <v>130</v>
      </c>
      <c r="V369">
        <f>IF(J369="","",MONTH(J369))</f>
        <v/>
      </c>
      <c r="W369">
        <f>IF(J369="","",YEAR(J369))</f>
        <v/>
      </c>
      <c r="X369" t="inlineStr">
        <is>
          <t>ViaCargo</t>
        </is>
      </c>
      <c r="Y369">
        <f>IFERROR(INDEX(Rastreio!$H$2:$H$200,MATCH(X369&amp;"|"&amp;U369,Rastreio!$A$2:$A$200,0)),"")</f>
        <v/>
      </c>
    </row>
    <row r="370">
      <c r="A370">
        <f>IFERROR(INDEX(STAs!$G$2:$G$61,MATCH(P370,STAs!$F$2:$F$61,0))&amp;"","")</f>
        <v/>
      </c>
      <c r="B370" t="n">
        <v>20016789</v>
      </c>
      <c r="C370" t="inlineStr">
        <is>
          <t>Não</t>
        </is>
      </c>
      <c r="D370" t="inlineStr">
        <is>
          <t>SP</t>
        </is>
      </c>
      <c r="E370" t="inlineStr">
        <is>
          <t>SUDESTE SP</t>
        </is>
      </c>
      <c r="F370" t="inlineStr">
        <is>
          <t>Cliente B - Chopeira</t>
        </is>
      </c>
      <c r="G370" t="inlineStr">
        <is>
          <t>Refrigeradores</t>
        </is>
      </c>
      <c r="H370" s="10" t="n">
        <v>40</v>
      </c>
      <c r="I370" s="10">
        <f>IFERROR(T370*H370,0)</f>
        <v/>
      </c>
      <c r="J370" s="11" t="n">
        <v>45968</v>
      </c>
      <c r="K370" s="11" t="n"/>
      <c r="L370" t="inlineStr">
        <is>
          <t>Debitar do STA</t>
        </is>
      </c>
      <c r="M370">
        <f>IF(L370="","",IFERROR(VLOOKUP(L370,mapGrupoStatus,2,0),"Outros"))</f>
        <v/>
      </c>
      <c r="N370">
        <f>IF(O370="","",IF(O370&lt;=30,"0-30 dias",IF(O370&lt;=60,"31-60 dias",IF(O370&lt;=90,"61-90 dias","Mais de 90 dias"))))</f>
        <v/>
      </c>
      <c r="O370">
        <f>IF(OR(M370="Pendente",M370="Em andamento"),IF(J370="","",TODAY()-J370),"")</f>
        <v/>
      </c>
      <c r="P370" t="n">
        <v>12901</v>
      </c>
      <c r="Q370" t="inlineStr">
        <is>
          <t>Frio Serviços (12901)</t>
        </is>
      </c>
      <c r="R370" t="inlineStr">
        <is>
          <t>PC-0005</t>
        </is>
      </c>
      <c r="S370" t="inlineStr">
        <is>
          <t>Termostato modelo 02</t>
        </is>
      </c>
      <c r="T370" t="n">
        <v>1</v>
      </c>
      <c r="U370" t="inlineStr"/>
      <c r="V370">
        <f>IF(J370="","",MONTH(J370))</f>
        <v/>
      </c>
      <c r="W370">
        <f>IF(J370="","",YEAR(J370))</f>
        <v/>
      </c>
      <c r="X370" t="inlineStr"/>
      <c r="Y370">
        <f>IFERROR(INDEX(Rastreio!$H$2:$H$200,MATCH(X370&amp;"|"&amp;U370,Rastreio!$A$2:$A$200,0)),"")</f>
        <v/>
      </c>
    </row>
    <row r="371">
      <c r="A371">
        <f>IFERROR(INDEX(STAs!$G$2:$G$61,MATCH(P371,STAs!$F$2:$F$61,0))&amp;"","")</f>
        <v/>
      </c>
      <c r="B371" t="n">
        <v>20020056</v>
      </c>
      <c r="C371" t="inlineStr">
        <is>
          <t>Não</t>
        </is>
      </c>
      <c r="D371" t="inlineStr">
        <is>
          <t>MG</t>
        </is>
      </c>
      <c r="E371" t="inlineStr">
        <is>
          <t>SUDESTE MG</t>
        </is>
      </c>
      <c r="F371" t="inlineStr">
        <is>
          <t>Cliente C - Misturador</t>
        </is>
      </c>
      <c r="G371" t="inlineStr">
        <is>
          <t>Misturadores</t>
        </is>
      </c>
      <c r="H371" s="10" t="n">
        <v>50</v>
      </c>
      <c r="I371" s="10">
        <f>IFERROR(T371*H371,0)</f>
        <v/>
      </c>
      <c r="J371" s="11" t="n">
        <v>45968</v>
      </c>
      <c r="K371" s="11" t="n"/>
      <c r="L371" t="inlineStr">
        <is>
          <t>Aguardando devolução</t>
        </is>
      </c>
      <c r="M371">
        <f>IF(L371="","",IFERROR(VLOOKUP(L371,mapGrupoStatus,2,0),"Outros"))</f>
        <v/>
      </c>
      <c r="N371">
        <f>IF(O371="","",IF(O371&lt;=30,"0-30 dias",IF(O371&lt;=60,"31-60 dias",IF(O371&lt;=90,"61-90 dias","Mais de 90 dias"))))</f>
        <v/>
      </c>
      <c r="O371">
        <f>IF(OR(M371="Pendente",M371="Em andamento"),IF(J371="","",TODAY()-J371),"")</f>
        <v/>
      </c>
      <c r="P371" t="n">
        <v>11494</v>
      </c>
      <c r="Q371" t="inlineStr">
        <is>
          <t>Clima Técnica (11494)</t>
        </is>
      </c>
      <c r="R371" t="inlineStr">
        <is>
          <t>PC-0047</t>
        </is>
      </c>
      <c r="S371" t="inlineStr">
        <is>
          <t>Sensor de nível modelo 03</t>
        </is>
      </c>
      <c r="T371" t="n">
        <v>1</v>
      </c>
      <c r="U371" t="inlineStr"/>
      <c r="V371">
        <f>IF(J371="","",MONTH(J371))</f>
        <v/>
      </c>
      <c r="W371">
        <f>IF(J371="","",YEAR(J371))</f>
        <v/>
      </c>
      <c r="X371" t="inlineStr"/>
      <c r="Y371">
        <f>IFERROR(INDEX(Rastreio!$H$2:$H$200,MATCH(X371&amp;"|"&amp;U371,Rastreio!$A$2:$A$200,0)),"")</f>
        <v/>
      </c>
    </row>
    <row r="372">
      <c r="A372">
        <f>IFERROR(INDEX(STAs!$G$2:$G$61,MATCH(P372,STAs!$F$2:$F$61,0))&amp;"","")</f>
        <v/>
      </c>
      <c r="B372" t="n">
        <v>20024157</v>
      </c>
      <c r="C372" t="inlineStr">
        <is>
          <t>Não</t>
        </is>
      </c>
      <c r="D372" t="inlineStr">
        <is>
          <t>PI</t>
        </is>
      </c>
      <c r="E372" t="inlineStr">
        <is>
          <t>NORDESTE</t>
        </is>
      </c>
      <c r="F372" t="inlineStr">
        <is>
          <t>Cliente B - Chopeira</t>
        </is>
      </c>
      <c r="G372" t="inlineStr">
        <is>
          <t>Misturadores</t>
        </is>
      </c>
      <c r="H372" s="10" t="n">
        <v>60</v>
      </c>
      <c r="I372" s="10">
        <f>IFERROR(T372*H372,0)</f>
        <v/>
      </c>
      <c r="J372" s="11" t="n">
        <v>45968</v>
      </c>
      <c r="K372" s="11" t="n">
        <v>45979</v>
      </c>
      <c r="L372" t="inlineStr">
        <is>
          <t>Ok. Devolvida</t>
        </is>
      </c>
      <c r="M372">
        <f>IF(L372="","",IFERROR(VLOOKUP(L372,mapGrupoStatus,2,0),"Outros"))</f>
        <v/>
      </c>
      <c r="N372">
        <f>IF(O372="","",IF(O372&lt;=30,"0-30 dias",IF(O372&lt;=60,"31-60 dias",IF(O372&lt;=90,"61-90 dias","Mais de 90 dias"))))</f>
        <v/>
      </c>
      <c r="O372">
        <f>IF(OR(M372="Pendente",M372="Em andamento"),IF(J372="","",TODAY()-J372),"")</f>
        <v/>
      </c>
      <c r="P372" t="n">
        <v>12936</v>
      </c>
      <c r="Q372" t="inlineStr">
        <is>
          <t>Frigo Técnica (12936)</t>
        </is>
      </c>
      <c r="R372" t="inlineStr">
        <is>
          <t>PC-0048</t>
        </is>
      </c>
      <c r="S372" t="inlineStr">
        <is>
          <t>Sensor de nível modelo 04</t>
        </is>
      </c>
      <c r="T372" t="n">
        <v>1</v>
      </c>
      <c r="U372" t="n">
        <v>142</v>
      </c>
      <c r="V372">
        <f>IF(J372="","",MONTH(J372))</f>
        <v/>
      </c>
      <c r="W372">
        <f>IF(J372="","",YEAR(J372))</f>
        <v/>
      </c>
      <c r="X372" t="inlineStr">
        <is>
          <t>LogExpress</t>
        </is>
      </c>
      <c r="Y372">
        <f>IFERROR(INDEX(Rastreio!$H$2:$H$200,MATCH(X372&amp;"|"&amp;U372,Rastreio!$A$2:$A$200,0)),"")</f>
        <v/>
      </c>
    </row>
    <row r="373">
      <c r="A373">
        <f>IFERROR(INDEX(STAs!$G$2:$G$61,MATCH(P373,STAs!$F$2:$F$61,0))&amp;"","")</f>
        <v/>
      </c>
      <c r="B373" t="n">
        <v>20029833</v>
      </c>
      <c r="C373" t="inlineStr">
        <is>
          <t>Não</t>
        </is>
      </c>
      <c r="D373" t="inlineStr">
        <is>
          <t>MG</t>
        </is>
      </c>
      <c r="E373" t="inlineStr">
        <is>
          <t>SUDESTE MG</t>
        </is>
      </c>
      <c r="F373" t="inlineStr">
        <is>
          <t>Cliente B - Chopeira</t>
        </is>
      </c>
      <c r="G373" t="inlineStr">
        <is>
          <t>Refrigeradores</t>
        </is>
      </c>
      <c r="H373" s="10" t="n">
        <v>30</v>
      </c>
      <c r="I373" s="10">
        <f>IFERROR(T373*H373,0)</f>
        <v/>
      </c>
      <c r="J373" s="11" t="n">
        <v>45968</v>
      </c>
      <c r="K373" s="11" t="n"/>
      <c r="L373" t="inlineStr">
        <is>
          <t>Aguardando devolução</t>
        </is>
      </c>
      <c r="M373">
        <f>IF(L373="","",IFERROR(VLOOKUP(L373,mapGrupoStatus,2,0),"Outros"))</f>
        <v/>
      </c>
      <c r="N373">
        <f>IF(O373="","",IF(O373&lt;=30,"0-30 dias",IF(O373&lt;=60,"31-60 dias",IF(O373&lt;=90,"61-90 dias","Mais de 90 dias"))))</f>
        <v/>
      </c>
      <c r="O373">
        <f>IF(OR(M373="Pendente",M373="Em andamento"),IF(J373="","",TODAY()-J373),"")</f>
        <v/>
      </c>
      <c r="P373" t="n">
        <v>12470</v>
      </c>
      <c r="Q373" t="inlineStr">
        <is>
          <t>Cool Service Técnica (12470)</t>
        </is>
      </c>
      <c r="R373" t="inlineStr">
        <is>
          <t>PC-0025</t>
        </is>
      </c>
      <c r="S373" t="inlineStr">
        <is>
          <t>Relé de partida modelo 03</t>
        </is>
      </c>
      <c r="T373" t="n">
        <v>2</v>
      </c>
      <c r="U373" t="inlineStr"/>
      <c r="V373">
        <f>IF(J373="","",MONTH(J373))</f>
        <v/>
      </c>
      <c r="W373">
        <f>IF(J373="","",YEAR(J373))</f>
        <v/>
      </c>
      <c r="X373" t="inlineStr"/>
      <c r="Y373">
        <f>IFERROR(INDEX(Rastreio!$H$2:$H$200,MATCH(X373&amp;"|"&amp;U373,Rastreio!$A$2:$A$200,0)),"")</f>
        <v/>
      </c>
    </row>
    <row r="374">
      <c r="A374">
        <f>IFERROR(INDEX(STAs!$G$2:$G$61,MATCH(P374,STAs!$F$2:$F$61,0))&amp;"","")</f>
        <v/>
      </c>
      <c r="B374" t="n">
        <v>20030741</v>
      </c>
      <c r="C374" t="inlineStr">
        <is>
          <t>Sim</t>
        </is>
      </c>
      <c r="D374" t="inlineStr">
        <is>
          <t>PR</t>
        </is>
      </c>
      <c r="E374" t="inlineStr">
        <is>
          <t>SUL</t>
        </is>
      </c>
      <c r="F374" t="inlineStr">
        <is>
          <t>Cliente B - Chopeira</t>
        </is>
      </c>
      <c r="G374" t="inlineStr">
        <is>
          <t>Refrigeradores</t>
        </is>
      </c>
      <c r="H374" s="10" t="n">
        <v>35</v>
      </c>
      <c r="I374" s="10">
        <f>IFERROR(T374*H374,0)</f>
        <v/>
      </c>
      <c r="J374" s="11" t="n">
        <v>45968</v>
      </c>
      <c r="K374" s="11" t="n">
        <v>45997</v>
      </c>
      <c r="L374" t="inlineStr">
        <is>
          <t>Ok. Devolvida</t>
        </is>
      </c>
      <c r="M374">
        <f>IF(L374="","",IFERROR(VLOOKUP(L374,mapGrupoStatus,2,0),"Outros"))</f>
        <v/>
      </c>
      <c r="N374">
        <f>IF(O374="","",IF(O374&lt;=30,"0-30 dias",IF(O374&lt;=60,"31-60 dias",IF(O374&lt;=90,"61-90 dias","Mais de 90 dias"))))</f>
        <v/>
      </c>
      <c r="O374">
        <f>IF(OR(M374="Pendente",M374="Em andamento"),IF(J374="","",TODAY()-J374),"")</f>
        <v/>
      </c>
      <c r="P374" t="n">
        <v>10753</v>
      </c>
      <c r="Q374" t="inlineStr">
        <is>
          <t>Refrigel &amp; Cia (10753)</t>
        </is>
      </c>
      <c r="R374" t="inlineStr">
        <is>
          <t>PC-0020</t>
        </is>
      </c>
      <c r="S374" t="inlineStr">
        <is>
          <t>Gaxeta da porta modelo 03</t>
        </is>
      </c>
      <c r="T374" t="n">
        <v>1</v>
      </c>
      <c r="U374" t="n">
        <v>145</v>
      </c>
      <c r="V374">
        <f>IF(J374="","",MONTH(J374))</f>
        <v/>
      </c>
      <c r="W374">
        <f>IF(J374="","",YEAR(J374))</f>
        <v/>
      </c>
      <c r="X374" t="inlineStr">
        <is>
          <t>EntregaJá</t>
        </is>
      </c>
      <c r="Y374">
        <f>IFERROR(INDEX(Rastreio!$H$2:$H$200,MATCH(X374&amp;"|"&amp;U374,Rastreio!$A$2:$A$200,0)),"")</f>
        <v/>
      </c>
    </row>
    <row r="375">
      <c r="A375">
        <f>IFERROR(INDEX(STAs!$G$2:$G$61,MATCH(P375,STAs!$F$2:$F$61,0))&amp;"","")</f>
        <v/>
      </c>
      <c r="B375" t="n">
        <v>20003576</v>
      </c>
      <c r="C375" t="inlineStr">
        <is>
          <t>Não</t>
        </is>
      </c>
      <c r="D375" t="inlineStr">
        <is>
          <t>RS</t>
        </is>
      </c>
      <c r="E375" t="inlineStr">
        <is>
          <t>SUL</t>
        </is>
      </c>
      <c r="F375" t="inlineStr">
        <is>
          <t>Cliente C - Misturador</t>
        </is>
      </c>
      <c r="G375" t="inlineStr">
        <is>
          <t>Refrigeradores</t>
        </is>
      </c>
      <c r="H375" s="10" t="n">
        <v>55</v>
      </c>
      <c r="I375" s="10">
        <f>IFERROR(T375*H375,0)</f>
        <v/>
      </c>
      <c r="J375" s="11" t="n">
        <v>45969</v>
      </c>
      <c r="K375" s="11" t="n"/>
      <c r="L375" t="inlineStr">
        <is>
          <t>NF Vencida</t>
        </is>
      </c>
      <c r="M375">
        <f>IF(L375="","",IFERROR(VLOOKUP(L375,mapGrupoStatus,2,0),"Outros"))</f>
        <v/>
      </c>
      <c r="N375">
        <f>IF(O375="","",IF(O375&lt;=30,"0-30 dias",IF(O375&lt;=60,"31-60 dias",IF(O375&lt;=90,"61-90 dias","Mais de 90 dias"))))</f>
        <v/>
      </c>
      <c r="O375">
        <f>IF(OR(M375="Pendente",M375="Em andamento"),IF(J375="","",TODAY()-J375),"")</f>
        <v/>
      </c>
      <c r="P375" t="n">
        <v>12617</v>
      </c>
      <c r="Q375" t="inlineStr">
        <is>
          <t>Gelo Manutenção (12617)</t>
        </is>
      </c>
      <c r="R375" t="inlineStr">
        <is>
          <t>PC-0007</t>
        </is>
      </c>
      <c r="S375" t="inlineStr">
        <is>
          <t>Ventilador modelo 01</t>
        </is>
      </c>
      <c r="T375" t="n">
        <v>1</v>
      </c>
      <c r="U375" t="inlineStr"/>
      <c r="V375">
        <f>IF(J375="","",MONTH(J375))</f>
        <v/>
      </c>
      <c r="W375">
        <f>IF(J375="","",YEAR(J375))</f>
        <v/>
      </c>
      <c r="X375" t="inlineStr"/>
      <c r="Y375">
        <f>IFERROR(INDEX(Rastreio!$H$2:$H$200,MATCH(X375&amp;"|"&amp;U375,Rastreio!$A$2:$A$200,0)),"")</f>
        <v/>
      </c>
    </row>
    <row r="376">
      <c r="A376">
        <f>IFERROR(INDEX(STAs!$G$2:$G$61,MATCH(P376,STAs!$F$2:$F$61,0))&amp;"","")</f>
        <v/>
      </c>
      <c r="B376" t="n">
        <v>20009347</v>
      </c>
      <c r="C376" t="inlineStr">
        <is>
          <t>Não</t>
        </is>
      </c>
      <c r="D376" t="inlineStr">
        <is>
          <t>ES</t>
        </is>
      </c>
      <c r="E376" t="inlineStr">
        <is>
          <t>SUDESTE RJ e ES</t>
        </is>
      </c>
      <c r="F376" t="inlineStr">
        <is>
          <t>Cliente C - Misturador</t>
        </is>
      </c>
      <c r="G376" t="inlineStr">
        <is>
          <t>Refrigeradores</t>
        </is>
      </c>
      <c r="H376" s="10" t="n">
        <v>45</v>
      </c>
      <c r="I376" s="10">
        <f>IFERROR(T376*H376,0)</f>
        <v/>
      </c>
      <c r="J376" s="11" t="n">
        <v>45969</v>
      </c>
      <c r="K376" s="11" t="n">
        <v>46012</v>
      </c>
      <c r="L376" t="inlineStr">
        <is>
          <t>Ok. Devolvida</t>
        </is>
      </c>
      <c r="M376">
        <f>IF(L376="","",IFERROR(VLOOKUP(L376,mapGrupoStatus,2,0),"Outros"))</f>
        <v/>
      </c>
      <c r="N376">
        <f>IF(O376="","",IF(O376&lt;=30,"0-30 dias",IF(O376&lt;=60,"31-60 dias",IF(O376&lt;=90,"61-90 dias","Mais de 90 dias"))))</f>
        <v/>
      </c>
      <c r="O376">
        <f>IF(OR(M376="Pendente",M376="Em andamento"),IF(J376="","",TODAY()-J376),"")</f>
        <v/>
      </c>
      <c r="P376" t="n">
        <v>11099</v>
      </c>
      <c r="Q376" t="inlineStr">
        <is>
          <t>Refrigel Serviços (11099)</t>
        </is>
      </c>
      <c r="R376" t="inlineStr">
        <is>
          <t>PC-0019</t>
        </is>
      </c>
      <c r="S376" t="inlineStr">
        <is>
          <t>Gaxeta da porta modelo 02</t>
        </is>
      </c>
      <c r="T376" t="n">
        <v>1</v>
      </c>
      <c r="U376" t="n">
        <v>118</v>
      </c>
      <c r="V376">
        <f>IF(J376="","",MONTH(J376))</f>
        <v/>
      </c>
      <c r="W376">
        <f>IF(J376="","",YEAR(J376))</f>
        <v/>
      </c>
      <c r="X376" t="inlineStr">
        <is>
          <t>EntregaJá</t>
        </is>
      </c>
      <c r="Y376">
        <f>IFERROR(INDEX(Rastreio!$H$2:$H$200,MATCH(X376&amp;"|"&amp;U376,Rastreio!$A$2:$A$200,0)),"")</f>
        <v/>
      </c>
    </row>
    <row r="377">
      <c r="A377">
        <f>IFERROR(INDEX(STAs!$G$2:$G$61,MATCH(P377,STAs!$F$2:$F$61,0))&amp;"","")</f>
        <v/>
      </c>
      <c r="B377" t="n">
        <v>20013224</v>
      </c>
      <c r="C377" t="inlineStr">
        <is>
          <t>Não</t>
        </is>
      </c>
      <c r="D377" t="inlineStr">
        <is>
          <t>ES</t>
        </is>
      </c>
      <c r="E377" t="inlineStr">
        <is>
          <t>SUDESTE RJ e ES</t>
        </is>
      </c>
      <c r="F377" t="inlineStr">
        <is>
          <t>Cliente B - Chopeira</t>
        </is>
      </c>
      <c r="G377" t="inlineStr">
        <is>
          <t>Refrigeradores</t>
        </is>
      </c>
      <c r="H377" s="10" t="n">
        <v>50</v>
      </c>
      <c r="I377" s="10">
        <f>IFERROR(T377*H377,0)</f>
        <v/>
      </c>
      <c r="J377" s="11" t="n">
        <v>45969</v>
      </c>
      <c r="K377" s="11" t="n">
        <v>46012</v>
      </c>
      <c r="L377" t="inlineStr">
        <is>
          <t>Ok. Devolvida</t>
        </is>
      </c>
      <c r="M377">
        <f>IF(L377="","",IFERROR(VLOOKUP(L377,mapGrupoStatus,2,0),"Outros"))</f>
        <v/>
      </c>
      <c r="N377">
        <f>IF(O377="","",IF(O377&lt;=30,"0-30 dias",IF(O377&lt;=60,"31-60 dias",IF(O377&lt;=90,"61-90 dias","Mais de 90 dias"))))</f>
        <v/>
      </c>
      <c r="O377">
        <f>IF(OR(M377="Pendente",M377="Em andamento"),IF(J377="","",TODAY()-J377),"")</f>
        <v/>
      </c>
      <c r="P377" t="n">
        <v>11162</v>
      </c>
      <c r="Q377" t="inlineStr">
        <is>
          <t>Ártico Refrigeração (11162)</t>
        </is>
      </c>
      <c r="R377" t="inlineStr">
        <is>
          <t>PC-0006</t>
        </is>
      </c>
      <c r="S377" t="inlineStr">
        <is>
          <t>Termostato modelo 03</t>
        </is>
      </c>
      <c r="T377" t="n">
        <v>1</v>
      </c>
      <c r="U377" t="n">
        <v>121</v>
      </c>
      <c r="V377">
        <f>IF(J377="","",MONTH(J377))</f>
        <v/>
      </c>
      <c r="W377">
        <f>IF(J377="","",YEAR(J377))</f>
        <v/>
      </c>
      <c r="X377" t="inlineStr">
        <is>
          <t>RotaSul</t>
        </is>
      </c>
      <c r="Y377">
        <f>IFERROR(INDEX(Rastreio!$H$2:$H$200,MATCH(X377&amp;"|"&amp;U377,Rastreio!$A$2:$A$200,0)),"")</f>
        <v/>
      </c>
    </row>
    <row r="378">
      <c r="A378">
        <f>IFERROR(INDEX(STAs!$G$2:$G$61,MATCH(P378,STAs!$F$2:$F$61,0))&amp;"","")</f>
        <v/>
      </c>
      <c r="B378" t="n">
        <v>20014402</v>
      </c>
      <c r="C378" t="inlineStr">
        <is>
          <t>Não</t>
        </is>
      </c>
      <c r="D378" t="inlineStr">
        <is>
          <t>RR</t>
        </is>
      </c>
      <c r="E378" t="inlineStr">
        <is>
          <t>NORTE</t>
        </is>
      </c>
      <c r="F378" t="inlineStr">
        <is>
          <t>Cliente C - Misturador</t>
        </is>
      </c>
      <c r="G378" t="inlineStr">
        <is>
          <t>Refrigeradores</t>
        </is>
      </c>
      <c r="H378" s="10" t="n">
        <v>45</v>
      </c>
      <c r="I378" s="10">
        <f>IFERROR(T378*H378,0)</f>
        <v/>
      </c>
      <c r="J378" s="11" t="n">
        <v>45969</v>
      </c>
      <c r="K378" s="11" t="n">
        <v>45983</v>
      </c>
      <c r="L378" t="inlineStr">
        <is>
          <t>Ok. Devolvida</t>
        </is>
      </c>
      <c r="M378">
        <f>IF(L378="","",IFERROR(VLOOKUP(L378,mapGrupoStatus,2,0),"Outros"))</f>
        <v/>
      </c>
      <c r="N378">
        <f>IF(O378="","",IF(O378&lt;=30,"0-30 dias",IF(O378&lt;=60,"31-60 dias",IF(O378&lt;=90,"61-90 dias","Mais de 90 dias"))))</f>
        <v/>
      </c>
      <c r="O378">
        <f>IF(OR(M378="Pendente",M378="Em andamento"),IF(J378="","",TODAY()-J378),"")</f>
        <v/>
      </c>
      <c r="P378" t="n">
        <v>10468</v>
      </c>
      <c r="Q378" t="inlineStr">
        <is>
          <t>Clima Express (10468)</t>
        </is>
      </c>
      <c r="R378" t="inlineStr">
        <is>
          <t>PC-0019</t>
        </is>
      </c>
      <c r="S378" t="inlineStr">
        <is>
          <t>Gaxeta da porta modelo 02</t>
        </is>
      </c>
      <c r="T378" t="n">
        <v>1</v>
      </c>
      <c r="U378" t="n">
        <v>124</v>
      </c>
      <c r="V378">
        <f>IF(J378="","",MONTH(J378))</f>
        <v/>
      </c>
      <c r="W378">
        <f>IF(J378="","",YEAR(J378))</f>
        <v/>
      </c>
      <c r="X378" t="inlineStr">
        <is>
          <t>EntregaJá</t>
        </is>
      </c>
      <c r="Y378">
        <f>IFERROR(INDEX(Rastreio!$H$2:$H$200,MATCH(X378&amp;"|"&amp;U378,Rastreio!$A$2:$A$200,0)),"")</f>
        <v/>
      </c>
    </row>
    <row r="379">
      <c r="A379">
        <f>IFERROR(INDEX(STAs!$G$2:$G$61,MATCH(P379,STAs!$F$2:$F$61,0))&amp;"","")</f>
        <v/>
      </c>
      <c r="B379" t="n">
        <v>20018282</v>
      </c>
      <c r="C379" t="inlineStr">
        <is>
          <t>Não</t>
        </is>
      </c>
      <c r="D379" t="inlineStr">
        <is>
          <t>MS</t>
        </is>
      </c>
      <c r="E379" t="inlineStr">
        <is>
          <t>CENTRO OESTE</t>
        </is>
      </c>
      <c r="F379" t="inlineStr">
        <is>
          <t>Cliente C - Misturador</t>
        </is>
      </c>
      <c r="G379" t="inlineStr">
        <is>
          <t>Refrigeradores</t>
        </is>
      </c>
      <c r="H379" s="10" t="n">
        <v>325</v>
      </c>
      <c r="I379" s="10">
        <f>IFERROR(T379*H379,0)</f>
        <v/>
      </c>
      <c r="J379" s="11" t="n">
        <v>45969</v>
      </c>
      <c r="K379" s="11" t="n"/>
      <c r="L379" t="inlineStr">
        <is>
          <t>NF Vencida</t>
        </is>
      </c>
      <c r="M379">
        <f>IF(L379="","",IFERROR(VLOOKUP(L379,mapGrupoStatus,2,0),"Outros"))</f>
        <v/>
      </c>
      <c r="N379">
        <f>IF(O379="","",IF(O379&lt;=30,"0-30 dias",IF(O379&lt;=60,"31-60 dias",IF(O379&lt;=90,"61-90 dias","Mais de 90 dias"))))</f>
        <v/>
      </c>
      <c r="O379">
        <f>IF(OR(M379="Pendente",M379="Em andamento"),IF(J379="","",TODAY()-J379),"")</f>
        <v/>
      </c>
      <c r="P379" t="n">
        <v>10302</v>
      </c>
      <c r="Q379" t="inlineStr">
        <is>
          <t>Ice Tech Express (10302)</t>
        </is>
      </c>
      <c r="R379" t="inlineStr">
        <is>
          <t>PC-0001</t>
        </is>
      </c>
      <c r="S379" t="inlineStr">
        <is>
          <t>Compressor modelo 01</t>
        </is>
      </c>
      <c r="T379" t="n">
        <v>1</v>
      </c>
      <c r="U379" t="inlineStr"/>
      <c r="V379">
        <f>IF(J379="","",MONTH(J379))</f>
        <v/>
      </c>
      <c r="W379">
        <f>IF(J379="","",YEAR(J379))</f>
        <v/>
      </c>
      <c r="X379" t="inlineStr"/>
      <c r="Y379">
        <f>IFERROR(INDEX(Rastreio!$H$2:$H$200,MATCH(X379&amp;"|"&amp;U379,Rastreio!$A$2:$A$200,0)),"")</f>
        <v/>
      </c>
    </row>
    <row r="380">
      <c r="A380">
        <f>IFERROR(INDEX(STAs!$G$2:$G$61,MATCH(P380,STAs!$F$2:$F$61,0))&amp;"","")</f>
        <v/>
      </c>
      <c r="B380" t="n">
        <v>20022265</v>
      </c>
      <c r="C380" t="inlineStr">
        <is>
          <t>Não</t>
        </is>
      </c>
      <c r="D380" t="inlineStr">
        <is>
          <t>RS</t>
        </is>
      </c>
      <c r="E380" t="inlineStr">
        <is>
          <t>SUL</t>
        </is>
      </c>
      <c r="F380" t="inlineStr">
        <is>
          <t>Cliente B - Chopeira</t>
        </is>
      </c>
      <c r="G380" t="inlineStr">
        <is>
          <t>Misturadores</t>
        </is>
      </c>
      <c r="H380" s="10" t="n">
        <v>60</v>
      </c>
      <c r="I380" s="10">
        <f>IFERROR(T380*H380,0)</f>
        <v/>
      </c>
      <c r="J380" s="11" t="n">
        <v>45969</v>
      </c>
      <c r="K380" s="11" t="n">
        <v>46015</v>
      </c>
      <c r="L380" t="inlineStr">
        <is>
          <t>Ok. Devolvida</t>
        </is>
      </c>
      <c r="M380">
        <f>IF(L380="","",IFERROR(VLOOKUP(L380,mapGrupoStatus,2,0),"Outros"))</f>
        <v/>
      </c>
      <c r="N380">
        <f>IF(O380="","",IF(O380&lt;=30,"0-30 dias",IF(O380&lt;=60,"31-60 dias",IF(O380&lt;=90,"61-90 dias","Mais de 90 dias"))))</f>
        <v/>
      </c>
      <c r="O380">
        <f>IF(OR(M380="Pendente",M380="Em andamento"),IF(J380="","",TODAY()-J380),"")</f>
        <v/>
      </c>
      <c r="P380" t="n">
        <v>11459</v>
      </c>
      <c r="Q380" t="inlineStr">
        <is>
          <t>Frio ME (11459)</t>
        </is>
      </c>
      <c r="R380" t="inlineStr">
        <is>
          <t>PC-0048</t>
        </is>
      </c>
      <c r="S380" t="inlineStr">
        <is>
          <t>Sensor de nível modelo 04</t>
        </is>
      </c>
      <c r="T380" t="n">
        <v>1</v>
      </c>
      <c r="U380" t="n">
        <v>139</v>
      </c>
      <c r="V380">
        <f>IF(J380="","",MONTH(J380))</f>
        <v/>
      </c>
      <c r="W380">
        <f>IF(J380="","",YEAR(J380))</f>
        <v/>
      </c>
      <c r="X380" t="inlineStr">
        <is>
          <t>LogExpress</t>
        </is>
      </c>
      <c r="Y380">
        <f>IFERROR(INDEX(Rastreio!$H$2:$H$200,MATCH(X380&amp;"|"&amp;U380,Rastreio!$A$2:$A$200,0)),"")</f>
        <v/>
      </c>
    </row>
    <row r="381">
      <c r="A381">
        <f>IFERROR(INDEX(STAs!$G$2:$G$61,MATCH(P381,STAs!$F$2:$F$61,0))&amp;"","")</f>
        <v/>
      </c>
      <c r="B381" t="n">
        <v>20023539</v>
      </c>
      <c r="C381" t="inlineStr">
        <is>
          <t>Não</t>
        </is>
      </c>
      <c r="D381" t="inlineStr">
        <is>
          <t>RR</t>
        </is>
      </c>
      <c r="E381" t="inlineStr">
        <is>
          <t>NORTE</t>
        </is>
      </c>
      <c r="F381" t="inlineStr">
        <is>
          <t>Cliente B - Chopeira</t>
        </is>
      </c>
      <c r="G381" t="inlineStr">
        <is>
          <t>Refrigeradores</t>
        </is>
      </c>
      <c r="H381" s="10" t="n">
        <v>35</v>
      </c>
      <c r="I381" s="10">
        <f>IFERROR(T381*H381,0)</f>
        <v/>
      </c>
      <c r="J381" s="11" t="n">
        <v>45969</v>
      </c>
      <c r="K381" s="11" t="n"/>
      <c r="L381" t="inlineStr">
        <is>
          <t>Não Devolve-Norte</t>
        </is>
      </c>
      <c r="M381">
        <f>IF(L381="","",IFERROR(VLOOKUP(L381,mapGrupoStatus,2,0),"Outros"))</f>
        <v/>
      </c>
      <c r="N381">
        <f>IF(O381="","",IF(O381&lt;=30,"0-30 dias",IF(O381&lt;=60,"31-60 dias",IF(O381&lt;=90,"61-90 dias","Mais de 90 dias"))))</f>
        <v/>
      </c>
      <c r="O381">
        <f>IF(OR(M381="Pendente",M381="Em andamento"),IF(J381="","",TODAY()-J381),"")</f>
        <v/>
      </c>
      <c r="P381" t="n">
        <v>10468</v>
      </c>
      <c r="Q381" t="inlineStr">
        <is>
          <t>Clima Express (10468)</t>
        </is>
      </c>
      <c r="R381" t="inlineStr">
        <is>
          <t>PC-0020</t>
        </is>
      </c>
      <c r="S381" t="inlineStr">
        <is>
          <t>Gaxeta da porta modelo 03</t>
        </is>
      </c>
      <c r="T381" t="n">
        <v>1</v>
      </c>
      <c r="U381" t="inlineStr"/>
      <c r="V381">
        <f>IF(J381="","",MONTH(J381))</f>
        <v/>
      </c>
      <c r="W381">
        <f>IF(J381="","",YEAR(J381))</f>
        <v/>
      </c>
      <c r="X381" t="inlineStr"/>
      <c r="Y381">
        <f>IFERROR(INDEX(Rastreio!$H$2:$H$200,MATCH(X381&amp;"|"&amp;U381,Rastreio!$A$2:$A$200,0)),"")</f>
        <v/>
      </c>
    </row>
    <row r="382">
      <c r="A382">
        <f>IFERROR(INDEX(STAs!$G$2:$G$61,MATCH(P382,STAs!$F$2:$F$61,0))&amp;"","")</f>
        <v/>
      </c>
      <c r="B382" t="n">
        <v>20024607</v>
      </c>
      <c r="C382" t="inlineStr">
        <is>
          <t>Não</t>
        </is>
      </c>
      <c r="D382" t="inlineStr">
        <is>
          <t>SC</t>
        </is>
      </c>
      <c r="E382" t="inlineStr">
        <is>
          <t>SUL</t>
        </is>
      </c>
      <c r="F382" t="inlineStr">
        <is>
          <t>Cliente A - Refrigerador</t>
        </is>
      </c>
      <c r="G382" t="inlineStr">
        <is>
          <t>Chopeiras</t>
        </is>
      </c>
      <c r="H382" s="10" t="n">
        <v>85</v>
      </c>
      <c r="I382" s="10">
        <f>IFERROR(T382*H382,0)</f>
        <v/>
      </c>
      <c r="J382" s="11" t="n">
        <v>45969</v>
      </c>
      <c r="K382" s="11" t="n">
        <v>46013</v>
      </c>
      <c r="L382" t="inlineStr">
        <is>
          <t>Ok. Devolvida</t>
        </is>
      </c>
      <c r="M382">
        <f>IF(L382="","",IFERROR(VLOOKUP(L382,mapGrupoStatus,2,0),"Outros"))</f>
        <v/>
      </c>
      <c r="N382">
        <f>IF(O382="","",IF(O382&lt;=30,"0-30 dias",IF(O382&lt;=60,"31-60 dias",IF(O382&lt;=90,"61-90 dias","Mais de 90 dias"))))</f>
        <v/>
      </c>
      <c r="O382">
        <f>IF(OR(M382="Pendente",M382="Em andamento"),IF(J382="","",TODAY()-J382),"")</f>
        <v/>
      </c>
      <c r="P382" t="n">
        <v>12138</v>
      </c>
      <c r="Q382" t="inlineStr">
        <is>
          <t>Refrigeração Serviços (12138)</t>
        </is>
      </c>
      <c r="R382" t="inlineStr">
        <is>
          <t>PC-0036</t>
        </is>
      </c>
      <c r="S382" t="inlineStr">
        <is>
          <t>Válvula extratora modelo 02</t>
        </is>
      </c>
      <c r="T382" t="n">
        <v>1</v>
      </c>
      <c r="U382" t="n">
        <v>140</v>
      </c>
      <c r="V382">
        <f>IF(J382="","",MONTH(J382))</f>
        <v/>
      </c>
      <c r="W382">
        <f>IF(J382="","",YEAR(J382))</f>
        <v/>
      </c>
      <c r="X382" t="inlineStr">
        <is>
          <t>ViaCargo</t>
        </is>
      </c>
      <c r="Y382">
        <f>IFERROR(INDEX(Rastreio!$H$2:$H$200,MATCH(X382&amp;"|"&amp;U382,Rastreio!$A$2:$A$200,0)),"")</f>
        <v/>
      </c>
    </row>
    <row r="383">
      <c r="A383">
        <f>IFERROR(INDEX(STAs!$G$2:$G$61,MATCH(P383,STAs!$F$2:$F$61,0))&amp;"","")</f>
        <v/>
      </c>
      <c r="B383" t="n">
        <v>20041060</v>
      </c>
      <c r="C383" t="inlineStr">
        <is>
          <t>Não</t>
        </is>
      </c>
      <c r="D383" t="inlineStr">
        <is>
          <t>MG</t>
        </is>
      </c>
      <c r="E383" t="inlineStr">
        <is>
          <t>SUDESTE MG</t>
        </is>
      </c>
      <c r="F383" t="inlineStr">
        <is>
          <t>Cliente A - Refrigerador</t>
        </is>
      </c>
      <c r="G383" t="inlineStr">
        <is>
          <t>Refrigeradores</t>
        </is>
      </c>
      <c r="H383" s="10" t="n">
        <v>25</v>
      </c>
      <c r="I383" s="10">
        <f>IFERROR(T383*H383,0)</f>
        <v/>
      </c>
      <c r="J383" s="11" t="n">
        <v>45969</v>
      </c>
      <c r="K383" s="11" t="n">
        <v>45989</v>
      </c>
      <c r="L383" t="inlineStr">
        <is>
          <t>Ok. Devolvida</t>
        </is>
      </c>
      <c r="M383">
        <f>IF(L383="","",IFERROR(VLOOKUP(L383,mapGrupoStatus,2,0),"Outros"))</f>
        <v/>
      </c>
      <c r="N383">
        <f>IF(O383="","",IF(O383&lt;=30,"0-30 dias",IF(O383&lt;=60,"31-60 dias",IF(O383&lt;=90,"61-90 dias","Mais de 90 dias"))))</f>
        <v/>
      </c>
      <c r="O383">
        <f>IF(OR(M383="Pendente",M383="Em andamento"),IF(J383="","",TODAY()-J383),"")</f>
        <v/>
      </c>
      <c r="P383" t="n">
        <v>11494</v>
      </c>
      <c r="Q383" t="inlineStr">
        <is>
          <t>Clima Técnica (11494)</t>
        </is>
      </c>
      <c r="R383" t="inlineStr">
        <is>
          <t>PC-0015</t>
        </is>
      </c>
      <c r="S383" t="inlineStr">
        <is>
          <t>Filtro secador modelo 01</t>
        </is>
      </c>
      <c r="T383" t="n">
        <v>3</v>
      </c>
      <c r="U383" t="n">
        <v>162</v>
      </c>
      <c r="V383">
        <f>IF(J383="","",MONTH(J383))</f>
        <v/>
      </c>
      <c r="W383">
        <f>IF(J383="","",YEAR(J383))</f>
        <v/>
      </c>
      <c r="X383" t="inlineStr">
        <is>
          <t>EntregaJá</t>
        </is>
      </c>
      <c r="Y383">
        <f>IFERROR(INDEX(Rastreio!$H$2:$H$200,MATCH(X383&amp;"|"&amp;U383,Rastreio!$A$2:$A$200,0)),"")</f>
        <v/>
      </c>
    </row>
    <row r="384">
      <c r="A384">
        <f>IFERROR(INDEX(STAs!$G$2:$G$61,MATCH(P384,STAs!$F$2:$F$61,0))&amp;"","")</f>
        <v/>
      </c>
      <c r="B384" t="n">
        <v>20005517</v>
      </c>
      <c r="C384" t="inlineStr">
        <is>
          <t>Não</t>
        </is>
      </c>
      <c r="D384" t="inlineStr">
        <is>
          <t>ES</t>
        </is>
      </c>
      <c r="E384" t="inlineStr">
        <is>
          <t>SUDESTE RJ e ES</t>
        </is>
      </c>
      <c r="F384" t="inlineStr">
        <is>
          <t>Cliente B - Chopeira</t>
        </is>
      </c>
      <c r="G384" t="inlineStr">
        <is>
          <t>Misturadores</t>
        </is>
      </c>
      <c r="H384" s="10" t="n">
        <v>40</v>
      </c>
      <c r="I384" s="10">
        <f>IFERROR(T384*H384,0)</f>
        <v/>
      </c>
      <c r="J384" s="11" t="n">
        <v>45970</v>
      </c>
      <c r="K384" s="11" t="n">
        <v>46013</v>
      </c>
      <c r="L384" t="inlineStr">
        <is>
          <t>Ok. Devolvida</t>
        </is>
      </c>
      <c r="M384">
        <f>IF(L384="","",IFERROR(VLOOKUP(L384,mapGrupoStatus,2,0),"Outros"))</f>
        <v/>
      </c>
      <c r="N384">
        <f>IF(O384="","",IF(O384&lt;=30,"0-30 dias",IF(O384&lt;=60,"31-60 dias",IF(O384&lt;=90,"61-90 dias","Mais de 90 dias"))))</f>
        <v/>
      </c>
      <c r="O384">
        <f>IF(OR(M384="Pendente",M384="Em andamento"),IF(J384="","",TODAY()-J384),"")</f>
        <v/>
      </c>
      <c r="P384" t="n">
        <v>11396</v>
      </c>
      <c r="Q384" t="inlineStr">
        <is>
          <t>Frio Manutenção (11396)</t>
        </is>
      </c>
      <c r="R384" t="inlineStr">
        <is>
          <t>PC-0042</t>
        </is>
      </c>
      <c r="S384" t="inlineStr">
        <is>
          <t>Bico dosador modelo 01</t>
        </is>
      </c>
      <c r="T384" t="n">
        <v>1</v>
      </c>
      <c r="U384" t="n">
        <v>110</v>
      </c>
      <c r="V384">
        <f>IF(J384="","",MONTH(J384))</f>
        <v/>
      </c>
      <c r="W384">
        <f>IF(J384="","",YEAR(J384))</f>
        <v/>
      </c>
      <c r="X384" t="inlineStr">
        <is>
          <t>EntregaJá</t>
        </is>
      </c>
      <c r="Y384">
        <f>IFERROR(INDEX(Rastreio!$H$2:$H$200,MATCH(X384&amp;"|"&amp;U384,Rastreio!$A$2:$A$200,0)),"")</f>
        <v/>
      </c>
    </row>
    <row r="385">
      <c r="A385">
        <f>IFERROR(INDEX(STAs!$G$2:$G$61,MATCH(P385,STAs!$F$2:$F$61,0))&amp;"","")</f>
        <v/>
      </c>
      <c r="B385" t="n">
        <v>20009932</v>
      </c>
      <c r="C385" t="inlineStr">
        <is>
          <t>Não</t>
        </is>
      </c>
      <c r="D385" t="inlineStr">
        <is>
          <t>PR</t>
        </is>
      </c>
      <c r="E385" t="inlineStr">
        <is>
          <t>SUL</t>
        </is>
      </c>
      <c r="F385" t="inlineStr">
        <is>
          <t>Cliente C - Misturador</t>
        </is>
      </c>
      <c r="G385" t="inlineStr">
        <is>
          <t>Chopeiras</t>
        </is>
      </c>
      <c r="H385" s="10" t="n">
        <v>85</v>
      </c>
      <c r="I385" s="10">
        <f>IFERROR(T385*H385,0)</f>
        <v/>
      </c>
      <c r="J385" s="11" t="n">
        <v>45970</v>
      </c>
      <c r="K385" s="11" t="n"/>
      <c r="L385" t="inlineStr">
        <is>
          <t>Aguardando Transporte</t>
        </is>
      </c>
      <c r="M385">
        <f>IF(L385="","",IFERROR(VLOOKUP(L385,mapGrupoStatus,2,0),"Outros"))</f>
        <v/>
      </c>
      <c r="N385">
        <f>IF(O385="","",IF(O385&lt;=30,"0-30 dias",IF(O385&lt;=60,"31-60 dias",IF(O385&lt;=90,"61-90 dias","Mais de 90 dias"))))</f>
        <v/>
      </c>
      <c r="O385">
        <f>IF(OR(M385="Pendente",M385="Em andamento"),IF(J385="","",TODAY()-J385),"")</f>
        <v/>
      </c>
      <c r="P385" t="n">
        <v>10504</v>
      </c>
      <c r="Q385" t="inlineStr">
        <is>
          <t>Zero Grau Ltda (10504)</t>
        </is>
      </c>
      <c r="R385" t="inlineStr">
        <is>
          <t>PC-0035</t>
        </is>
      </c>
      <c r="S385" t="inlineStr">
        <is>
          <t>Válvula extratora modelo 01</t>
        </is>
      </c>
      <c r="T385" t="n">
        <v>1</v>
      </c>
      <c r="U385" t="n">
        <v>119</v>
      </c>
      <c r="V385">
        <f>IF(J385="","",MONTH(J385))</f>
        <v/>
      </c>
      <c r="W385">
        <f>IF(J385="","",YEAR(J385))</f>
        <v/>
      </c>
      <c r="X385" t="inlineStr">
        <is>
          <t>CargoMax</t>
        </is>
      </c>
      <c r="Y385">
        <f>IFERROR(INDEX(Rastreio!$H$2:$H$200,MATCH(X385&amp;"|"&amp;U385,Rastreio!$A$2:$A$200,0)),"")</f>
        <v/>
      </c>
    </row>
    <row r="386">
      <c r="A386">
        <f>IFERROR(INDEX(STAs!$G$2:$G$61,MATCH(P386,STAs!$F$2:$F$61,0))&amp;"","")</f>
        <v/>
      </c>
      <c r="B386" t="n">
        <v>20012727</v>
      </c>
      <c r="C386" t="inlineStr">
        <is>
          <t>Não</t>
        </is>
      </c>
      <c r="D386" t="inlineStr">
        <is>
          <t>ES</t>
        </is>
      </c>
      <c r="E386" t="inlineStr">
        <is>
          <t>SUDESTE RJ e ES</t>
        </is>
      </c>
      <c r="F386" t="inlineStr">
        <is>
          <t>Cliente C - Misturador</t>
        </is>
      </c>
      <c r="G386" t="inlineStr">
        <is>
          <t>Misturadores</t>
        </is>
      </c>
      <c r="H386" s="10" t="n">
        <v>50</v>
      </c>
      <c r="I386" s="10">
        <f>IFERROR(T386*H386,0)</f>
        <v/>
      </c>
      <c r="J386" s="11" t="n">
        <v>45970</v>
      </c>
      <c r="K386" s="11" t="n">
        <v>45987</v>
      </c>
      <c r="L386" t="inlineStr">
        <is>
          <t>Ok. Devolvida</t>
        </is>
      </c>
      <c r="M386">
        <f>IF(L386="","",IFERROR(VLOOKUP(L386,mapGrupoStatus,2,0),"Outros"))</f>
        <v/>
      </c>
      <c r="N386">
        <f>IF(O386="","",IF(O386&lt;=30,"0-30 dias",IF(O386&lt;=60,"31-60 dias",IF(O386&lt;=90,"61-90 dias","Mais de 90 dias"))))</f>
        <v/>
      </c>
      <c r="O386">
        <f>IF(OR(M386="Pendente",M386="Em andamento"),IF(J386="","",TODAY()-J386),"")</f>
        <v/>
      </c>
      <c r="P386" t="n">
        <v>11396</v>
      </c>
      <c r="Q386" t="inlineStr">
        <is>
          <t>Frio Manutenção (11396)</t>
        </is>
      </c>
      <c r="R386" t="inlineStr">
        <is>
          <t>PC-0045</t>
        </is>
      </c>
      <c r="S386" t="inlineStr">
        <is>
          <t>Sensor de nível modelo 01</t>
        </is>
      </c>
      <c r="T386" t="n">
        <v>1</v>
      </c>
      <c r="U386" t="n">
        <v>120</v>
      </c>
      <c r="V386">
        <f>IF(J386="","",MONTH(J386))</f>
        <v/>
      </c>
      <c r="W386">
        <f>IF(J386="","",YEAR(J386))</f>
        <v/>
      </c>
      <c r="X386" t="inlineStr">
        <is>
          <t>RotaSul</t>
        </is>
      </c>
      <c r="Y386">
        <f>IFERROR(INDEX(Rastreio!$H$2:$H$200,MATCH(X386&amp;"|"&amp;U386,Rastreio!$A$2:$A$200,0)),"")</f>
        <v/>
      </c>
    </row>
    <row r="387">
      <c r="A387">
        <f>IFERROR(INDEX(STAs!$G$2:$G$61,MATCH(P387,STAs!$F$2:$F$61,0))&amp;"","")</f>
        <v/>
      </c>
      <c r="B387" t="n">
        <v>20002616</v>
      </c>
      <c r="C387" t="inlineStr">
        <is>
          <t>Não</t>
        </is>
      </c>
      <c r="D387" t="inlineStr">
        <is>
          <t>MG</t>
        </is>
      </c>
      <c r="E387" t="inlineStr">
        <is>
          <t>SUDESTE MG</t>
        </is>
      </c>
      <c r="F387" t="inlineStr">
        <is>
          <t>Cliente A - Refrigerador</t>
        </is>
      </c>
      <c r="G387" t="inlineStr">
        <is>
          <t>Refrigeradores</t>
        </is>
      </c>
      <c r="H387" s="10" t="n">
        <v>185</v>
      </c>
      <c r="I387" s="10">
        <f>IFERROR(T387*H387,0)</f>
        <v/>
      </c>
      <c r="J387" s="11" t="n">
        <v>45971</v>
      </c>
      <c r="K387" s="11" t="n"/>
      <c r="L387" t="inlineStr">
        <is>
          <t>NF Vencida</t>
        </is>
      </c>
      <c r="M387">
        <f>IF(L387="","",IFERROR(VLOOKUP(L387,mapGrupoStatus,2,0),"Outros"))</f>
        <v/>
      </c>
      <c r="N387">
        <f>IF(O387="","",IF(O387&lt;=30,"0-30 dias",IF(O387&lt;=60,"31-60 dias",IF(O387&lt;=90,"61-90 dias","Mais de 90 dias"))))</f>
        <v/>
      </c>
      <c r="O387">
        <f>IF(OR(M387="Pendente",M387="Em andamento"),IF(J387="","",TODAY()-J387),"")</f>
        <v/>
      </c>
      <c r="P387" t="n">
        <v>12470</v>
      </c>
      <c r="Q387" t="inlineStr">
        <is>
          <t>Cool Service Técnica (12470)</t>
        </is>
      </c>
      <c r="R387" t="inlineStr">
        <is>
          <t>PC-0013</t>
        </is>
      </c>
      <c r="S387" t="inlineStr">
        <is>
          <t>Placa eletrônica modelo 03</t>
        </is>
      </c>
      <c r="T387" t="n">
        <v>1</v>
      </c>
      <c r="U387" t="inlineStr"/>
      <c r="V387">
        <f>IF(J387="","",MONTH(J387))</f>
        <v/>
      </c>
      <c r="W387">
        <f>IF(J387="","",YEAR(J387))</f>
        <v/>
      </c>
      <c r="X387" t="inlineStr"/>
      <c r="Y387">
        <f>IFERROR(INDEX(Rastreio!$H$2:$H$200,MATCH(X387&amp;"|"&amp;U387,Rastreio!$A$2:$A$200,0)),"")</f>
        <v/>
      </c>
    </row>
    <row r="388">
      <c r="A388">
        <f>IFERROR(INDEX(STAs!$G$2:$G$61,MATCH(P388,STAs!$F$2:$F$61,0))&amp;"","")</f>
        <v/>
      </c>
      <c r="B388" t="n">
        <v>20013255</v>
      </c>
      <c r="C388" t="inlineStr">
        <is>
          <t>Não</t>
        </is>
      </c>
      <c r="D388" t="inlineStr">
        <is>
          <t>GO</t>
        </is>
      </c>
      <c r="E388" t="inlineStr">
        <is>
          <t>CENTRO OESTE</t>
        </is>
      </c>
      <c r="F388" t="inlineStr">
        <is>
          <t>Cliente A - Refrigerador</t>
        </is>
      </c>
      <c r="G388" t="inlineStr">
        <is>
          <t>Chopeiras</t>
        </is>
      </c>
      <c r="H388" s="10" t="n">
        <v>120</v>
      </c>
      <c r="I388" s="10">
        <f>IFERROR(T388*H388,0)</f>
        <v/>
      </c>
      <c r="J388" s="11" t="n">
        <v>45971</v>
      </c>
      <c r="K388" s="11" t="n">
        <v>45990</v>
      </c>
      <c r="L388" t="inlineStr">
        <is>
          <t>Ok. Devolvida</t>
        </is>
      </c>
      <c r="M388">
        <f>IF(L388="","",IFERROR(VLOOKUP(L388,mapGrupoStatus,2,0),"Outros"))</f>
        <v/>
      </c>
      <c r="N388">
        <f>IF(O388="","",IF(O388&lt;=30,"0-30 dias",IF(O388&lt;=60,"31-60 dias",IF(O388&lt;=90,"61-90 dias","Mais de 90 dias"))))</f>
        <v/>
      </c>
      <c r="O388">
        <f>IF(OR(M388="Pendente",M388="Em andamento"),IF(J388="","",TODAY()-J388),"")</f>
        <v/>
      </c>
      <c r="P388" t="n">
        <v>11293</v>
      </c>
      <c r="Q388" t="inlineStr">
        <is>
          <t>Assistência Técnica Ltda (11293)</t>
        </is>
      </c>
      <c r="R388" t="inlineStr">
        <is>
          <t>PC-0032</t>
        </is>
      </c>
      <c r="S388" t="inlineStr">
        <is>
          <t>Regulador de pressão modelo 01</t>
        </is>
      </c>
      <c r="T388" t="n">
        <v>2</v>
      </c>
      <c r="U388" t="n">
        <v>124</v>
      </c>
      <c r="V388">
        <f>IF(J388="","",MONTH(J388))</f>
        <v/>
      </c>
      <c r="W388">
        <f>IF(J388="","",YEAR(J388))</f>
        <v/>
      </c>
      <c r="X388" t="inlineStr">
        <is>
          <t>LogExpress</t>
        </is>
      </c>
      <c r="Y388">
        <f>IFERROR(INDEX(Rastreio!$H$2:$H$200,MATCH(X388&amp;"|"&amp;U388,Rastreio!$A$2:$A$200,0)),"")</f>
        <v/>
      </c>
    </row>
    <row r="389">
      <c r="A389">
        <f>IFERROR(INDEX(STAs!$G$2:$G$61,MATCH(P389,STAs!$F$2:$F$61,0))&amp;"","")</f>
        <v/>
      </c>
      <c r="B389" t="n">
        <v>20015391</v>
      </c>
      <c r="C389" t="inlineStr">
        <is>
          <t>Não</t>
        </is>
      </c>
      <c r="D389" t="inlineStr">
        <is>
          <t>SP</t>
        </is>
      </c>
      <c r="E389" t="inlineStr">
        <is>
          <t>SUDESTE SP</t>
        </is>
      </c>
      <c r="F389" t="inlineStr">
        <is>
          <t>Cliente C - Misturador</t>
        </is>
      </c>
      <c r="G389" t="inlineStr">
        <is>
          <t>Misturadores</t>
        </is>
      </c>
      <c r="H389" s="10" t="n">
        <v>255</v>
      </c>
      <c r="I389" s="10">
        <f>IFERROR(T389*H389,0)</f>
        <v/>
      </c>
      <c r="J389" s="11" t="n">
        <v>45971</v>
      </c>
      <c r="K389" s="11" t="n">
        <v>46026</v>
      </c>
      <c r="L389" t="inlineStr">
        <is>
          <t>Ok. Devolvida</t>
        </is>
      </c>
      <c r="M389">
        <f>IF(L389="","",IFERROR(VLOOKUP(L389,mapGrupoStatus,2,0),"Outros"))</f>
        <v/>
      </c>
      <c r="N389">
        <f>IF(O389="","",IF(O389&lt;=30,"0-30 dias",IF(O389&lt;=60,"31-60 dias",IF(O389&lt;=90,"61-90 dias","Mais de 90 dias"))))</f>
        <v/>
      </c>
      <c r="O389">
        <f>IF(OR(M389="Pendente",M389="Em andamento"),IF(J389="","",TODAY()-J389),"")</f>
        <v/>
      </c>
      <c r="P389" t="n">
        <v>12052</v>
      </c>
      <c r="Q389" t="inlineStr">
        <is>
          <t>Brisa Refrigeração (12052)</t>
        </is>
      </c>
      <c r="R389" t="inlineStr">
        <is>
          <t>PC-0037</t>
        </is>
      </c>
      <c r="S389" t="inlineStr">
        <is>
          <t>Bomba de recirculação modelo 01</t>
        </is>
      </c>
      <c r="T389" t="n">
        <v>1</v>
      </c>
      <c r="U389" t="n">
        <v>124</v>
      </c>
      <c r="V389">
        <f>IF(J389="","",MONTH(J389))</f>
        <v/>
      </c>
      <c r="W389">
        <f>IF(J389="","",YEAR(J389))</f>
        <v/>
      </c>
      <c r="X389" t="inlineStr">
        <is>
          <t>TransNorte</t>
        </is>
      </c>
      <c r="Y389">
        <f>IFERROR(INDEX(Rastreio!$H$2:$H$200,MATCH(X389&amp;"|"&amp;U389,Rastreio!$A$2:$A$200,0)),"")</f>
        <v/>
      </c>
    </row>
    <row r="390">
      <c r="A390">
        <f>IFERROR(INDEX(STAs!$G$2:$G$61,MATCH(P390,STAs!$F$2:$F$61,0))&amp;"","")</f>
        <v/>
      </c>
      <c r="B390" t="n">
        <v>20016730</v>
      </c>
      <c r="C390" t="inlineStr">
        <is>
          <t>Não</t>
        </is>
      </c>
      <c r="D390" t="inlineStr">
        <is>
          <t>MG</t>
        </is>
      </c>
      <c r="E390" t="inlineStr">
        <is>
          <t>SUDESTE MG</t>
        </is>
      </c>
      <c r="F390" t="inlineStr">
        <is>
          <t>Cliente A - Refrigerador</t>
        </is>
      </c>
      <c r="G390" t="inlineStr">
        <is>
          <t>Refrigeradores</t>
        </is>
      </c>
      <c r="H390" s="10" t="n">
        <v>65</v>
      </c>
      <c r="I390" s="10">
        <f>IFERROR(T390*H390,0)</f>
        <v/>
      </c>
      <c r="J390" s="11" t="n">
        <v>45971</v>
      </c>
      <c r="K390" s="11" t="n">
        <v>45999</v>
      </c>
      <c r="L390" t="inlineStr">
        <is>
          <t>Ok. Devolvida</t>
        </is>
      </c>
      <c r="M390">
        <f>IF(L390="","",IFERROR(VLOOKUP(L390,mapGrupoStatus,2,0),"Outros"))</f>
        <v/>
      </c>
      <c r="N390">
        <f>IF(O390="","",IF(O390&lt;=30,"0-30 dias",IF(O390&lt;=60,"31-60 dias",IF(O390&lt;=90,"61-90 dias","Mais de 90 dias"))))</f>
        <v/>
      </c>
      <c r="O390">
        <f>IF(OR(M390="Pendente",M390="Em andamento"),IF(J390="","",TODAY()-J390),"")</f>
        <v/>
      </c>
      <c r="P390" t="n">
        <v>12470</v>
      </c>
      <c r="Q390" t="inlineStr">
        <is>
          <t>Cool Service Técnica (12470)</t>
        </is>
      </c>
      <c r="R390" t="inlineStr">
        <is>
          <t>PC-0010</t>
        </is>
      </c>
      <c r="S390" t="inlineStr">
        <is>
          <t>Ventilador modelo 04</t>
        </is>
      </c>
      <c r="T390" t="n">
        <v>1</v>
      </c>
      <c r="U390" t="n">
        <v>122</v>
      </c>
      <c r="V390">
        <f>IF(J390="","",MONTH(J390))</f>
        <v/>
      </c>
      <c r="W390">
        <f>IF(J390="","",YEAR(J390))</f>
        <v/>
      </c>
      <c r="X390" t="inlineStr">
        <is>
          <t>RotaSul</t>
        </is>
      </c>
      <c r="Y390">
        <f>IFERROR(INDEX(Rastreio!$H$2:$H$200,MATCH(X390&amp;"|"&amp;U390,Rastreio!$A$2:$A$200,0)),"")</f>
        <v/>
      </c>
    </row>
    <row r="391">
      <c r="A391">
        <f>IFERROR(INDEX(STAs!$G$2:$G$61,MATCH(P391,STAs!$F$2:$F$61,0))&amp;"","")</f>
        <v/>
      </c>
      <c r="B391" t="n">
        <v>20028433</v>
      </c>
      <c r="C391" t="inlineStr">
        <is>
          <t>Não</t>
        </is>
      </c>
      <c r="D391" t="inlineStr">
        <is>
          <t>PR</t>
        </is>
      </c>
      <c r="E391" t="inlineStr">
        <is>
          <t>SUL</t>
        </is>
      </c>
      <c r="F391" t="inlineStr">
        <is>
          <t>Cliente B - Chopeira</t>
        </is>
      </c>
      <c r="G391" t="inlineStr">
        <is>
          <t>Chopeiras</t>
        </is>
      </c>
      <c r="H391" s="10" t="n">
        <v>85</v>
      </c>
      <c r="I391" s="10">
        <f>IFERROR(T391*H391,0)</f>
        <v/>
      </c>
      <c r="J391" s="11" t="n">
        <v>45971</v>
      </c>
      <c r="K391" s="11" t="n">
        <v>45983</v>
      </c>
      <c r="L391" t="inlineStr">
        <is>
          <t>Ok. Devolvida</t>
        </is>
      </c>
      <c r="M391">
        <f>IF(L391="","",IFERROR(VLOOKUP(L391,mapGrupoStatus,2,0),"Outros"))</f>
        <v/>
      </c>
      <c r="N391">
        <f>IF(O391="","",IF(O391&lt;=30,"0-30 dias",IF(O391&lt;=60,"31-60 dias",IF(O391&lt;=90,"61-90 dias","Mais de 90 dias"))))</f>
        <v/>
      </c>
      <c r="O391">
        <f>IF(OR(M391="Pendente",M391="Em andamento"),IF(J391="","",TODAY()-J391),"")</f>
        <v/>
      </c>
      <c r="P391" t="n">
        <v>12089</v>
      </c>
      <c r="Q391" t="inlineStr">
        <is>
          <t>Termotec Serviços (12089)</t>
        </is>
      </c>
      <c r="R391" t="inlineStr">
        <is>
          <t>PC-0028</t>
        </is>
      </c>
      <c r="S391" t="inlineStr">
        <is>
          <t>Torneira de chopp modelo 03</t>
        </is>
      </c>
      <c r="T391" t="n">
        <v>1</v>
      </c>
      <c r="U391" t="n">
        <v>149</v>
      </c>
      <c r="V391">
        <f>IF(J391="","",MONTH(J391))</f>
        <v/>
      </c>
      <c r="W391">
        <f>IF(J391="","",YEAR(J391))</f>
        <v/>
      </c>
      <c r="X391" t="inlineStr">
        <is>
          <t>CargoMax</t>
        </is>
      </c>
      <c r="Y391">
        <f>IFERROR(INDEX(Rastreio!$H$2:$H$200,MATCH(X391&amp;"|"&amp;U391,Rastreio!$A$2:$A$200,0)),"")</f>
        <v/>
      </c>
    </row>
    <row r="392">
      <c r="A392">
        <f>IFERROR(INDEX(STAs!$G$2:$G$61,MATCH(P392,STAs!$F$2:$F$61,0))&amp;"","")</f>
        <v/>
      </c>
      <c r="B392" t="n">
        <v>20033151</v>
      </c>
      <c r="C392" t="inlineStr">
        <is>
          <t>Sim</t>
        </is>
      </c>
      <c r="D392" t="inlineStr">
        <is>
          <t>CE</t>
        </is>
      </c>
      <c r="E392" t="inlineStr">
        <is>
          <t>NORDESTE</t>
        </is>
      </c>
      <c r="F392" t="inlineStr">
        <is>
          <t>Cliente B - Chopeira</t>
        </is>
      </c>
      <c r="G392" t="inlineStr">
        <is>
          <t>Refrigeradores</t>
        </is>
      </c>
      <c r="H392" s="10" t="n">
        <v>35</v>
      </c>
      <c r="I392" s="10">
        <f>IFERROR(T392*H392,0)</f>
        <v/>
      </c>
      <c r="J392" s="11" t="n">
        <v>45971</v>
      </c>
      <c r="K392" s="11" t="n"/>
      <c r="L392" t="inlineStr">
        <is>
          <t>NF Vencida</t>
        </is>
      </c>
      <c r="M392">
        <f>IF(L392="","",IFERROR(VLOOKUP(L392,mapGrupoStatus,2,0),"Outros"))</f>
        <v/>
      </c>
      <c r="N392">
        <f>IF(O392="","",IF(O392&lt;=30,"0-30 dias",IF(O392&lt;=60,"31-60 dias",IF(O392&lt;=90,"61-90 dias","Mais de 90 dias"))))</f>
        <v/>
      </c>
      <c r="O392">
        <f>IF(OR(M392="Pendente",M392="Em andamento"),IF(J392="","",TODAY()-J392),"")</f>
        <v/>
      </c>
      <c r="P392" t="n">
        <v>10615</v>
      </c>
      <c r="Q392" t="inlineStr">
        <is>
          <t>Brisa Técnica (10615)</t>
        </is>
      </c>
      <c r="R392" t="inlineStr">
        <is>
          <t>PC-0023</t>
        </is>
      </c>
      <c r="S392" t="inlineStr">
        <is>
          <t>Relé de partida modelo 01</t>
        </is>
      </c>
      <c r="T392" t="n">
        <v>1</v>
      </c>
      <c r="U392" t="inlineStr"/>
      <c r="V392">
        <f>IF(J392="","",MONTH(J392))</f>
        <v/>
      </c>
      <c r="W392">
        <f>IF(J392="","",YEAR(J392))</f>
        <v/>
      </c>
      <c r="X392" t="inlineStr"/>
      <c r="Y392">
        <f>IFERROR(INDEX(Rastreio!$H$2:$H$200,MATCH(X392&amp;"|"&amp;U392,Rastreio!$A$2:$A$200,0)),"")</f>
        <v/>
      </c>
    </row>
    <row r="393">
      <c r="A393">
        <f>IFERROR(INDEX(STAs!$G$2:$G$61,MATCH(P393,STAs!$F$2:$F$61,0))&amp;"","")</f>
        <v/>
      </c>
      <c r="B393" t="n">
        <v>20038113</v>
      </c>
      <c r="C393" t="inlineStr">
        <is>
          <t>Sim</t>
        </is>
      </c>
      <c r="D393" t="inlineStr">
        <is>
          <t>GO</t>
        </is>
      </c>
      <c r="E393" t="inlineStr">
        <is>
          <t>CENTRO OESTE</t>
        </is>
      </c>
      <c r="F393" t="inlineStr">
        <is>
          <t>Cliente A - Refrigerador</t>
        </is>
      </c>
      <c r="G393" t="inlineStr">
        <is>
          <t>Refrigeradores</t>
        </is>
      </c>
      <c r="H393" s="10" t="n">
        <v>325</v>
      </c>
      <c r="I393" s="10">
        <f>IFERROR(T393*H393,0)</f>
        <v/>
      </c>
      <c r="J393" s="11" t="n">
        <v>45971</v>
      </c>
      <c r="K393" s="11" t="n">
        <v>45991</v>
      </c>
      <c r="L393" t="inlineStr">
        <is>
          <t>Ok. Devolvida</t>
        </is>
      </c>
      <c r="M393">
        <f>IF(L393="","",IFERROR(VLOOKUP(L393,mapGrupoStatus,2,0),"Outros"))</f>
        <v/>
      </c>
      <c r="N393">
        <f>IF(O393="","",IF(O393&lt;=30,"0-30 dias",IF(O393&lt;=60,"31-60 dias",IF(O393&lt;=90,"61-90 dias","Mais de 90 dias"))))</f>
        <v/>
      </c>
      <c r="O393">
        <f>IF(OR(M393="Pendente",M393="Em andamento"),IF(J393="","",TODAY()-J393),"")</f>
        <v/>
      </c>
      <c r="P393" t="n">
        <v>11677</v>
      </c>
      <c r="Q393" t="inlineStr">
        <is>
          <t>Cool Service Manutenção (11677)</t>
        </is>
      </c>
      <c r="R393" t="inlineStr">
        <is>
          <t>PC-0001</t>
        </is>
      </c>
      <c r="S393" t="inlineStr">
        <is>
          <t>Compressor modelo 01</t>
        </is>
      </c>
      <c r="T393" t="n">
        <v>1</v>
      </c>
      <c r="U393" t="n">
        <v>172</v>
      </c>
      <c r="V393">
        <f>IF(J393="","",MONTH(J393))</f>
        <v/>
      </c>
      <c r="W393">
        <f>IF(J393="","",YEAR(J393))</f>
        <v/>
      </c>
      <c r="X393" t="inlineStr">
        <is>
          <t>RotaSul</t>
        </is>
      </c>
      <c r="Y393">
        <f>IFERROR(INDEX(Rastreio!$H$2:$H$200,MATCH(X393&amp;"|"&amp;U393,Rastreio!$A$2:$A$200,0)),"")</f>
        <v/>
      </c>
    </row>
    <row r="394">
      <c r="A394">
        <f>IFERROR(INDEX(STAs!$G$2:$G$61,MATCH(P394,STAs!$F$2:$F$61,0))&amp;"","")</f>
        <v/>
      </c>
      <c r="B394" t="n">
        <v>20040726</v>
      </c>
      <c r="C394" t="inlineStr">
        <is>
          <t>Não</t>
        </is>
      </c>
      <c r="D394" t="inlineStr">
        <is>
          <t>ES</t>
        </is>
      </c>
      <c r="E394" t="inlineStr">
        <is>
          <t>SUDESTE RJ e ES</t>
        </is>
      </c>
      <c r="F394" t="inlineStr">
        <is>
          <t>Cliente B - Chopeira</t>
        </is>
      </c>
      <c r="G394" t="inlineStr">
        <is>
          <t>Refrigeradores</t>
        </is>
      </c>
      <c r="H394" s="10" t="n">
        <v>45</v>
      </c>
      <c r="I394" s="10">
        <f>IFERROR(T394*H394,0)</f>
        <v/>
      </c>
      <c r="J394" s="11" t="n">
        <v>45971</v>
      </c>
      <c r="K394" s="11" t="n">
        <v>46013</v>
      </c>
      <c r="L394" t="inlineStr">
        <is>
          <t>Ok. Devolvida</t>
        </is>
      </c>
      <c r="M394">
        <f>IF(L394="","",IFERROR(VLOOKUP(L394,mapGrupoStatus,2,0),"Outros"))</f>
        <v/>
      </c>
      <c r="N394">
        <f>IF(O394="","",IF(O394&lt;=30,"0-30 dias",IF(O394&lt;=60,"31-60 dias",IF(O394&lt;=90,"61-90 dias","Mais de 90 dias"))))</f>
        <v/>
      </c>
      <c r="O394">
        <f>IF(OR(M394="Pendente",M394="Em andamento"),IF(J394="","",TODAY()-J394),"")</f>
        <v/>
      </c>
      <c r="P394" t="n">
        <v>11099</v>
      </c>
      <c r="Q394" t="inlineStr">
        <is>
          <t>Refrigel Serviços (11099)</t>
        </is>
      </c>
      <c r="R394" t="inlineStr">
        <is>
          <t>PC-0018</t>
        </is>
      </c>
      <c r="S394" t="inlineStr">
        <is>
          <t>Gaxeta da porta modelo 01</t>
        </is>
      </c>
      <c r="T394" t="n">
        <v>1</v>
      </c>
      <c r="U394" t="n">
        <v>175</v>
      </c>
      <c r="V394">
        <f>IF(J394="","",MONTH(J394))</f>
        <v/>
      </c>
      <c r="W394">
        <f>IF(J394="","",YEAR(J394))</f>
        <v/>
      </c>
      <c r="X394" t="inlineStr">
        <is>
          <t>LogExpress</t>
        </is>
      </c>
      <c r="Y394">
        <f>IFERROR(INDEX(Rastreio!$H$2:$H$200,MATCH(X394&amp;"|"&amp;U394,Rastreio!$A$2:$A$200,0)),"")</f>
        <v/>
      </c>
    </row>
    <row r="395">
      <c r="A395">
        <f>IFERROR(INDEX(STAs!$G$2:$G$61,MATCH(P395,STAs!$F$2:$F$61,0))&amp;"","")</f>
        <v/>
      </c>
      <c r="B395" t="n">
        <v>20006493</v>
      </c>
      <c r="C395" t="inlineStr">
        <is>
          <t>Não</t>
        </is>
      </c>
      <c r="D395" t="inlineStr">
        <is>
          <t>ES</t>
        </is>
      </c>
      <c r="E395" t="inlineStr">
        <is>
          <t>SUDESTE RJ e ES</t>
        </is>
      </c>
      <c r="F395" t="inlineStr">
        <is>
          <t>Cliente C - Misturador</t>
        </is>
      </c>
      <c r="G395" t="inlineStr">
        <is>
          <t>Chopeiras</t>
        </is>
      </c>
      <c r="H395" s="10" t="n">
        <v>85</v>
      </c>
      <c r="I395" s="10">
        <f>IFERROR(T395*H395,0)</f>
        <v/>
      </c>
      <c r="J395" s="11" t="n">
        <v>45972</v>
      </c>
      <c r="K395" s="11" t="n">
        <v>46018</v>
      </c>
      <c r="L395" t="inlineStr">
        <is>
          <t>Ok. Devolvida</t>
        </is>
      </c>
      <c r="M395">
        <f>IF(L395="","",IFERROR(VLOOKUP(L395,mapGrupoStatus,2,0),"Outros"))</f>
        <v/>
      </c>
      <c r="N395">
        <f>IF(O395="","",IF(O395&lt;=30,"0-30 dias",IF(O395&lt;=60,"31-60 dias",IF(O395&lt;=90,"61-90 dias","Mais de 90 dias"))))</f>
        <v/>
      </c>
      <c r="O395">
        <f>IF(OR(M395="Pendente",M395="Em andamento"),IF(J395="","",TODAY()-J395),"")</f>
        <v/>
      </c>
      <c r="P395" t="n">
        <v>11162</v>
      </c>
      <c r="Q395" t="inlineStr">
        <is>
          <t>Ártico Refrigeração (11162)</t>
        </is>
      </c>
      <c r="R395" t="inlineStr">
        <is>
          <t>PC-0028</t>
        </is>
      </c>
      <c r="S395" t="inlineStr">
        <is>
          <t>Torneira de chopp modelo 03</t>
        </is>
      </c>
      <c r="T395" t="n">
        <v>1</v>
      </c>
      <c r="U395" t="n">
        <v>110</v>
      </c>
      <c r="V395">
        <f>IF(J395="","",MONTH(J395))</f>
        <v/>
      </c>
      <c r="W395">
        <f>IF(J395="","",YEAR(J395))</f>
        <v/>
      </c>
      <c r="X395" t="inlineStr">
        <is>
          <t>LogExpress</t>
        </is>
      </c>
      <c r="Y395">
        <f>IFERROR(INDEX(Rastreio!$H$2:$H$200,MATCH(X395&amp;"|"&amp;U395,Rastreio!$A$2:$A$200,0)),"")</f>
        <v/>
      </c>
    </row>
    <row r="396">
      <c r="A396">
        <f>IFERROR(INDEX(STAs!$G$2:$G$61,MATCH(P396,STAs!$F$2:$F$61,0))&amp;"","")</f>
        <v/>
      </c>
      <c r="B396" t="n">
        <v>20010178</v>
      </c>
      <c r="C396" t="inlineStr">
        <is>
          <t>Não</t>
        </is>
      </c>
      <c r="D396" t="inlineStr">
        <is>
          <t>AP</t>
        </is>
      </c>
      <c r="E396" t="inlineStr">
        <is>
          <t>NORTE</t>
        </is>
      </c>
      <c r="F396" t="inlineStr">
        <is>
          <t>Cliente C - Misturador</t>
        </is>
      </c>
      <c r="G396" t="inlineStr">
        <is>
          <t>Refrigeradores</t>
        </is>
      </c>
      <c r="H396" s="10" t="n">
        <v>50</v>
      </c>
      <c r="I396" s="10">
        <f>IFERROR(T396*H396,0)</f>
        <v/>
      </c>
      <c r="J396" s="11" t="n">
        <v>45972</v>
      </c>
      <c r="K396" s="11" t="n"/>
      <c r="L396" t="inlineStr">
        <is>
          <t>Não Devolve-Norte</t>
        </is>
      </c>
      <c r="M396">
        <f>IF(L396="","",IFERROR(VLOOKUP(L396,mapGrupoStatus,2,0),"Outros"))</f>
        <v/>
      </c>
      <c r="N396">
        <f>IF(O396="","",IF(O396&lt;=30,"0-30 dias",IF(O396&lt;=60,"31-60 dias",IF(O396&lt;=90,"61-90 dias","Mais de 90 dias"))))</f>
        <v/>
      </c>
      <c r="O396">
        <f>IF(OR(M396="Pendente",M396="Em andamento"),IF(J396="","",TODAY()-J396),"")</f>
        <v/>
      </c>
      <c r="P396" t="n">
        <v>11859</v>
      </c>
      <c r="Q396" t="inlineStr">
        <is>
          <t>Ice Tech Serviços (11859)</t>
        </is>
      </c>
      <c r="R396" t="inlineStr">
        <is>
          <t>PC-0006</t>
        </is>
      </c>
      <c r="S396" t="inlineStr">
        <is>
          <t>Termostato modelo 03</t>
        </is>
      </c>
      <c r="T396" t="n">
        <v>2</v>
      </c>
      <c r="U396" t="inlineStr"/>
      <c r="V396">
        <f>IF(J396="","",MONTH(J396))</f>
        <v/>
      </c>
      <c r="W396">
        <f>IF(J396="","",YEAR(J396))</f>
        <v/>
      </c>
      <c r="X396" t="inlineStr"/>
      <c r="Y396">
        <f>IFERROR(INDEX(Rastreio!$H$2:$H$200,MATCH(X396&amp;"|"&amp;U396,Rastreio!$A$2:$A$200,0)),"")</f>
        <v/>
      </c>
    </row>
    <row r="397">
      <c r="A397">
        <f>IFERROR(INDEX(STAs!$G$2:$G$61,MATCH(P397,STAs!$F$2:$F$61,0))&amp;"","")</f>
        <v/>
      </c>
      <c r="B397" t="n">
        <v>20021971</v>
      </c>
      <c r="C397" t="inlineStr">
        <is>
          <t>Sim</t>
        </is>
      </c>
      <c r="D397" t="inlineStr">
        <is>
          <t>PR</t>
        </is>
      </c>
      <c r="E397" t="inlineStr">
        <is>
          <t>SUL</t>
        </is>
      </c>
      <c r="F397" t="inlineStr">
        <is>
          <t>Cliente A - Refrigerador</t>
        </is>
      </c>
      <c r="G397" t="inlineStr">
        <is>
          <t>Misturadores</t>
        </is>
      </c>
      <c r="H397" s="10" t="n">
        <v>60</v>
      </c>
      <c r="I397" s="10">
        <f>IFERROR(T397*H397,0)</f>
        <v/>
      </c>
      <c r="J397" s="11" t="n">
        <v>45972</v>
      </c>
      <c r="K397" s="11" t="n">
        <v>45994</v>
      </c>
      <c r="L397" t="inlineStr">
        <is>
          <t>Ok. Devolvida</t>
        </is>
      </c>
      <c r="M397">
        <f>IF(L397="","",IFERROR(VLOOKUP(L397,mapGrupoStatus,2,0),"Outros"))</f>
        <v/>
      </c>
      <c r="N397">
        <f>IF(O397="","",IF(O397&lt;=30,"0-30 dias",IF(O397&lt;=60,"31-60 dias",IF(O397&lt;=90,"61-90 dias","Mais de 90 dias"))))</f>
        <v/>
      </c>
      <c r="O397">
        <f>IF(OR(M397="Pendente",M397="Em andamento"),IF(J397="","",TODAY()-J397),"")</f>
        <v/>
      </c>
      <c r="P397" t="n">
        <v>10753</v>
      </c>
      <c r="Q397" t="inlineStr">
        <is>
          <t>Refrigel &amp; Cia (10753)</t>
        </is>
      </c>
      <c r="R397" t="inlineStr">
        <is>
          <t>PC-0046</t>
        </is>
      </c>
      <c r="S397" t="inlineStr">
        <is>
          <t>Sensor de nível modelo 02</t>
        </is>
      </c>
      <c r="T397" t="n">
        <v>1</v>
      </c>
      <c r="U397" t="n">
        <v>133</v>
      </c>
      <c r="V397">
        <f>IF(J397="","",MONTH(J397))</f>
        <v/>
      </c>
      <c r="W397">
        <f>IF(J397="","",YEAR(J397))</f>
        <v/>
      </c>
      <c r="X397" t="inlineStr">
        <is>
          <t>TransNorte</t>
        </is>
      </c>
      <c r="Y397">
        <f>IFERROR(INDEX(Rastreio!$H$2:$H$200,MATCH(X397&amp;"|"&amp;U397,Rastreio!$A$2:$A$200,0)),"")</f>
        <v/>
      </c>
    </row>
    <row r="398">
      <c r="A398">
        <f>IFERROR(INDEX(STAs!$G$2:$G$61,MATCH(P398,STAs!$F$2:$F$61,0))&amp;"","")</f>
        <v/>
      </c>
      <c r="B398" t="n">
        <v>20024079</v>
      </c>
      <c r="C398" t="inlineStr">
        <is>
          <t>Não</t>
        </is>
      </c>
      <c r="D398" t="inlineStr">
        <is>
          <t>RO</t>
        </is>
      </c>
      <c r="E398" t="inlineStr">
        <is>
          <t>NORTE</t>
        </is>
      </c>
      <c r="F398" t="inlineStr">
        <is>
          <t>Cliente B - Chopeira</t>
        </is>
      </c>
      <c r="G398" t="inlineStr">
        <is>
          <t>Chopeiras</t>
        </is>
      </c>
      <c r="H398" s="10" t="n">
        <v>210</v>
      </c>
      <c r="I398" s="10">
        <f>IFERROR(T398*H398,0)</f>
        <v/>
      </c>
      <c r="J398" s="11" t="n">
        <v>45972</v>
      </c>
      <c r="K398" s="11" t="n"/>
      <c r="L398" t="inlineStr">
        <is>
          <t>Não Devolve-Norte</t>
        </is>
      </c>
      <c r="M398">
        <f>IF(L398="","",IFERROR(VLOOKUP(L398,mapGrupoStatus,2,0),"Outros"))</f>
        <v/>
      </c>
      <c r="N398">
        <f>IF(O398="","",IF(O398&lt;=30,"0-30 dias",IF(O398&lt;=60,"31-60 dias",IF(O398&lt;=90,"61-90 dias","Mais de 90 dias"))))</f>
        <v/>
      </c>
      <c r="O398">
        <f>IF(OR(M398="Pendente",M398="Em andamento"),IF(J398="","",TODAY()-J398),"")</f>
        <v/>
      </c>
      <c r="P398" t="n">
        <v>12019</v>
      </c>
      <c r="Q398" t="inlineStr">
        <is>
          <t>Ártico Serviços (12019)</t>
        </is>
      </c>
      <c r="R398" t="inlineStr">
        <is>
          <t>PC-0029</t>
        </is>
      </c>
      <c r="S398" t="inlineStr">
        <is>
          <t>Serpentina modelo 01</t>
        </is>
      </c>
      <c r="T398" t="n">
        <v>2</v>
      </c>
      <c r="U398" t="inlineStr"/>
      <c r="V398">
        <f>IF(J398="","",MONTH(J398))</f>
        <v/>
      </c>
      <c r="W398">
        <f>IF(J398="","",YEAR(J398))</f>
        <v/>
      </c>
      <c r="X398" t="inlineStr"/>
      <c r="Y398">
        <f>IFERROR(INDEX(Rastreio!$H$2:$H$200,MATCH(X398&amp;"|"&amp;U398,Rastreio!$A$2:$A$200,0)),"")</f>
        <v/>
      </c>
    </row>
    <row r="399">
      <c r="A399">
        <f>IFERROR(INDEX(STAs!$G$2:$G$61,MATCH(P399,STAs!$F$2:$F$61,0))&amp;"","")</f>
        <v/>
      </c>
      <c r="B399" t="n">
        <v>20030179</v>
      </c>
      <c r="C399" t="inlineStr">
        <is>
          <t>Não</t>
        </is>
      </c>
      <c r="D399" t="inlineStr">
        <is>
          <t>RR</t>
        </is>
      </c>
      <c r="E399" t="inlineStr">
        <is>
          <t>NORTE</t>
        </is>
      </c>
      <c r="F399" t="inlineStr">
        <is>
          <t>Cliente A - Refrigerador</t>
        </is>
      </c>
      <c r="G399" t="inlineStr">
        <is>
          <t>Chopeiras</t>
        </is>
      </c>
      <c r="H399" s="10" t="n">
        <v>115</v>
      </c>
      <c r="I399" s="10">
        <f>IFERROR(T399*H399,0)</f>
        <v/>
      </c>
      <c r="J399" s="11" t="n">
        <v>45972</v>
      </c>
      <c r="K399" s="11" t="n"/>
      <c r="L399" t="inlineStr">
        <is>
          <t>Aguardando Transporte</t>
        </is>
      </c>
      <c r="M399">
        <f>IF(L399="","",IFERROR(VLOOKUP(L399,mapGrupoStatus,2,0),"Outros"))</f>
        <v/>
      </c>
      <c r="N399">
        <f>IF(O399="","",IF(O399&lt;=30,"0-30 dias",IF(O399&lt;=60,"31-60 dias",IF(O399&lt;=90,"61-90 dias","Mais de 90 dias"))))</f>
        <v/>
      </c>
      <c r="O399">
        <f>IF(OR(M399="Pendente",M399="Em andamento"),IF(J399="","",TODAY()-J399),"")</f>
        <v/>
      </c>
      <c r="P399" t="n">
        <v>12422</v>
      </c>
      <c r="Q399" t="inlineStr">
        <is>
          <t>Assistência Técnica Refrigeração (12422)</t>
        </is>
      </c>
      <c r="R399" t="inlineStr">
        <is>
          <t>PC-0034</t>
        </is>
      </c>
      <c r="S399" t="inlineStr">
        <is>
          <t>Regulador de pressão modelo 03</t>
        </is>
      </c>
      <c r="T399" t="n">
        <v>1</v>
      </c>
      <c r="U399" t="n">
        <v>153</v>
      </c>
      <c r="V399">
        <f>IF(J399="","",MONTH(J399))</f>
        <v/>
      </c>
      <c r="W399">
        <f>IF(J399="","",YEAR(J399))</f>
        <v/>
      </c>
      <c r="X399" t="inlineStr">
        <is>
          <t>RotaSul</t>
        </is>
      </c>
      <c r="Y399">
        <f>IFERROR(INDEX(Rastreio!$H$2:$H$200,MATCH(X399&amp;"|"&amp;U399,Rastreio!$A$2:$A$200,0)),"")</f>
        <v/>
      </c>
    </row>
    <row r="400">
      <c r="A400">
        <f>IFERROR(INDEX(STAs!$G$2:$G$61,MATCH(P400,STAs!$F$2:$F$61,0))&amp;"","")</f>
        <v/>
      </c>
      <c r="B400" t="n">
        <v>20032950</v>
      </c>
      <c r="C400" t="inlineStr">
        <is>
          <t>Não</t>
        </is>
      </c>
      <c r="D400" t="inlineStr">
        <is>
          <t>AP</t>
        </is>
      </c>
      <c r="E400" t="inlineStr">
        <is>
          <t>NORTE</t>
        </is>
      </c>
      <c r="F400" t="inlineStr">
        <is>
          <t>Cliente B - Chopeira</t>
        </is>
      </c>
      <c r="G400" t="inlineStr">
        <is>
          <t>Misturadores</t>
        </is>
      </c>
      <c r="H400" s="10" t="n">
        <v>60</v>
      </c>
      <c r="I400" s="10">
        <f>IFERROR(T400*H400,0)</f>
        <v/>
      </c>
      <c r="J400" s="11" t="n">
        <v>45972</v>
      </c>
      <c r="K400" s="11" t="n"/>
      <c r="L400" t="inlineStr">
        <is>
          <t>Não Devolve-Norte</t>
        </is>
      </c>
      <c r="M400">
        <f>IF(L400="","",IFERROR(VLOOKUP(L400,mapGrupoStatus,2,0),"Outros"))</f>
        <v/>
      </c>
      <c r="N400">
        <f>IF(O400="","",IF(O400&lt;=30,"0-30 dias",IF(O400&lt;=60,"31-60 dias",IF(O400&lt;=90,"61-90 dias","Mais de 90 dias"))))</f>
        <v/>
      </c>
      <c r="O400">
        <f>IF(OR(M400="Pendente",M400="Em andamento"),IF(J400="","",TODAY()-J400),"")</f>
        <v/>
      </c>
      <c r="P400" t="n">
        <v>11859</v>
      </c>
      <c r="Q400" t="inlineStr">
        <is>
          <t>Ice Tech Serviços (11859)</t>
        </is>
      </c>
      <c r="R400" t="inlineStr">
        <is>
          <t>PC-0048</t>
        </is>
      </c>
      <c r="S400" t="inlineStr">
        <is>
          <t>Sensor de nível modelo 04</t>
        </is>
      </c>
      <c r="T400" t="n">
        <v>2</v>
      </c>
      <c r="U400" t="inlineStr"/>
      <c r="V400">
        <f>IF(J400="","",MONTH(J400))</f>
        <v/>
      </c>
      <c r="W400">
        <f>IF(J400="","",YEAR(J400))</f>
        <v/>
      </c>
      <c r="X400" t="inlineStr"/>
      <c r="Y400">
        <f>IFERROR(INDEX(Rastreio!$H$2:$H$200,MATCH(X400&amp;"|"&amp;U400,Rastreio!$A$2:$A$200,0)),"")</f>
        <v/>
      </c>
    </row>
    <row r="401">
      <c r="A401">
        <f>IFERROR(INDEX(STAs!$G$2:$G$61,MATCH(P401,STAs!$F$2:$F$61,0))&amp;"","")</f>
        <v/>
      </c>
      <c r="B401" t="n">
        <v>20007649</v>
      </c>
      <c r="C401" t="inlineStr">
        <is>
          <t>Não</t>
        </is>
      </c>
      <c r="D401" t="inlineStr">
        <is>
          <t>PB</t>
        </is>
      </c>
      <c r="E401" t="inlineStr">
        <is>
          <t>NORDESTE</t>
        </is>
      </c>
      <c r="F401" t="inlineStr">
        <is>
          <t>Cliente B - Chopeira</t>
        </is>
      </c>
      <c r="G401" t="inlineStr">
        <is>
          <t>Refrigeradores</t>
        </is>
      </c>
      <c r="H401" s="10" t="n">
        <v>55</v>
      </c>
      <c r="I401" s="10">
        <f>IFERROR(T401*H401,0)</f>
        <v/>
      </c>
      <c r="J401" s="11" t="n">
        <v>45973</v>
      </c>
      <c r="K401" s="11" t="n">
        <v>45982</v>
      </c>
      <c r="L401" t="inlineStr">
        <is>
          <t>Ok. Devolvida</t>
        </is>
      </c>
      <c r="M401">
        <f>IF(L401="","",IFERROR(VLOOKUP(L401,mapGrupoStatus,2,0),"Outros"))</f>
        <v/>
      </c>
      <c r="N401">
        <f>IF(O401="","",IF(O401&lt;=30,"0-30 dias",IF(O401&lt;=60,"31-60 dias",IF(O401&lt;=90,"61-90 dias","Mais de 90 dias"))))</f>
        <v/>
      </c>
      <c r="O401">
        <f>IF(OR(M401="Pendente",M401="Em andamento"),IF(J401="","",TODAY()-J401),"")</f>
        <v/>
      </c>
      <c r="P401" t="n">
        <v>11741</v>
      </c>
      <c r="Q401" t="inlineStr">
        <is>
          <t>Clima Refrigeração (11741)</t>
        </is>
      </c>
      <c r="R401" t="inlineStr">
        <is>
          <t>PC-0007</t>
        </is>
      </c>
      <c r="S401" t="inlineStr">
        <is>
          <t>Ventilador modelo 01</t>
        </is>
      </c>
      <c r="T401" t="n">
        <v>1</v>
      </c>
      <c r="U401" t="n">
        <v>111</v>
      </c>
      <c r="V401">
        <f>IF(J401="","",MONTH(J401))</f>
        <v/>
      </c>
      <c r="W401">
        <f>IF(J401="","",YEAR(J401))</f>
        <v/>
      </c>
      <c r="X401" t="inlineStr">
        <is>
          <t>TransNorte</t>
        </is>
      </c>
      <c r="Y401">
        <f>IFERROR(INDEX(Rastreio!$H$2:$H$200,MATCH(X401&amp;"|"&amp;U401,Rastreio!$A$2:$A$200,0)),"")</f>
        <v/>
      </c>
    </row>
    <row r="402">
      <c r="A402">
        <f>IFERROR(INDEX(STAs!$G$2:$G$61,MATCH(P402,STAs!$F$2:$F$61,0))&amp;"","")</f>
        <v/>
      </c>
      <c r="B402" t="n">
        <v>20014510</v>
      </c>
      <c r="C402" t="inlineStr">
        <is>
          <t>Não</t>
        </is>
      </c>
      <c r="D402" t="inlineStr">
        <is>
          <t>MG</t>
        </is>
      </c>
      <c r="E402" t="inlineStr">
        <is>
          <t>SUDESTE MG</t>
        </is>
      </c>
      <c r="F402" t="inlineStr">
        <is>
          <t>Cliente B - Chopeira</t>
        </is>
      </c>
      <c r="G402" t="inlineStr">
        <is>
          <t>Misturadores</t>
        </is>
      </c>
      <c r="H402" s="10" t="n">
        <v>50</v>
      </c>
      <c r="I402" s="10">
        <f>IFERROR(T402*H402,0)</f>
        <v/>
      </c>
      <c r="J402" s="11" t="n">
        <v>45973</v>
      </c>
      <c r="K402" s="11" t="n"/>
      <c r="L402" t="inlineStr">
        <is>
          <t>Aguardando Transporte</t>
        </is>
      </c>
      <c r="M402">
        <f>IF(L402="","",IFERROR(VLOOKUP(L402,mapGrupoStatus,2,0),"Outros"))</f>
        <v/>
      </c>
      <c r="N402">
        <f>IF(O402="","",IF(O402&lt;=30,"0-30 dias",IF(O402&lt;=60,"31-60 dias",IF(O402&lt;=90,"61-90 dias","Mais de 90 dias"))))</f>
        <v/>
      </c>
      <c r="O402">
        <f>IF(OR(M402="Pendente",M402="Em andamento"),IF(J402="","",TODAY()-J402),"")</f>
        <v/>
      </c>
      <c r="P402" t="n">
        <v>11494</v>
      </c>
      <c r="Q402" t="inlineStr">
        <is>
          <t>Clima Técnica (11494)</t>
        </is>
      </c>
      <c r="R402" t="inlineStr">
        <is>
          <t>PC-0045</t>
        </is>
      </c>
      <c r="S402" t="inlineStr">
        <is>
          <t>Sensor de nível modelo 01</t>
        </is>
      </c>
      <c r="T402" t="n">
        <v>1</v>
      </c>
      <c r="U402" t="n">
        <v>127</v>
      </c>
      <c r="V402">
        <f>IF(J402="","",MONTH(J402))</f>
        <v/>
      </c>
      <c r="W402">
        <f>IF(J402="","",YEAR(J402))</f>
        <v/>
      </c>
      <c r="X402" t="inlineStr">
        <is>
          <t>CargoMax</t>
        </is>
      </c>
      <c r="Y402">
        <f>IFERROR(INDEX(Rastreio!$H$2:$H$200,MATCH(X402&amp;"|"&amp;U402,Rastreio!$A$2:$A$200,0)),"")</f>
        <v/>
      </c>
    </row>
    <row r="403">
      <c r="A403">
        <f>IFERROR(INDEX(STAs!$G$2:$G$61,MATCH(P403,STAs!$F$2:$F$61,0))&amp;"","")</f>
        <v/>
      </c>
      <c r="B403" t="n">
        <v>20015409</v>
      </c>
      <c r="C403" t="inlineStr">
        <is>
          <t>Não</t>
        </is>
      </c>
      <c r="D403" t="inlineStr">
        <is>
          <t>MT</t>
        </is>
      </c>
      <c r="E403" t="inlineStr">
        <is>
          <t>CENTRO OESTE</t>
        </is>
      </c>
      <c r="F403" t="inlineStr">
        <is>
          <t>Cliente A - Refrigerador</t>
        </is>
      </c>
      <c r="G403" t="inlineStr">
        <is>
          <t>Refrigeradores</t>
        </is>
      </c>
      <c r="H403" s="10" t="n">
        <v>55</v>
      </c>
      <c r="I403" s="10">
        <f>IFERROR(T403*H403,0)</f>
        <v/>
      </c>
      <c r="J403" s="11" t="n">
        <v>45973</v>
      </c>
      <c r="K403" s="11" t="n"/>
      <c r="L403" t="inlineStr">
        <is>
          <t>Aguardando devolução</t>
        </is>
      </c>
      <c r="M403">
        <f>IF(L403="","",IFERROR(VLOOKUP(L403,mapGrupoStatus,2,0),"Outros"))</f>
        <v/>
      </c>
      <c r="N403">
        <f>IF(O403="","",IF(O403&lt;=30,"0-30 dias",IF(O403&lt;=60,"31-60 dias",IF(O403&lt;=90,"61-90 dias","Mais de 90 dias"))))</f>
        <v/>
      </c>
      <c r="O403">
        <f>IF(OR(M403="Pendente",M403="Em andamento"),IF(J403="","",TODAY()-J403),"")</f>
        <v/>
      </c>
      <c r="P403" t="n">
        <v>10227</v>
      </c>
      <c r="Q403" t="inlineStr">
        <is>
          <t>Assistência Técnica ME (10227)</t>
        </is>
      </c>
      <c r="R403" t="inlineStr">
        <is>
          <t>PC-0008</t>
        </is>
      </c>
      <c r="S403" t="inlineStr">
        <is>
          <t>Ventilador modelo 02</t>
        </is>
      </c>
      <c r="T403" t="n">
        <v>1</v>
      </c>
      <c r="U403" t="inlineStr"/>
      <c r="V403">
        <f>IF(J403="","",MONTH(J403))</f>
        <v/>
      </c>
      <c r="W403">
        <f>IF(J403="","",YEAR(J403))</f>
        <v/>
      </c>
      <c r="X403" t="inlineStr"/>
      <c r="Y403">
        <f>IFERROR(INDEX(Rastreio!$H$2:$H$200,MATCH(X403&amp;"|"&amp;U403,Rastreio!$A$2:$A$200,0)),"")</f>
        <v/>
      </c>
    </row>
    <row r="404">
      <c r="A404">
        <f>IFERROR(INDEX(STAs!$G$2:$G$61,MATCH(P404,STAs!$F$2:$F$61,0))&amp;"","")</f>
        <v/>
      </c>
      <c r="B404" t="n">
        <v>20034972</v>
      </c>
      <c r="C404" t="inlineStr">
        <is>
          <t>Não</t>
        </is>
      </c>
      <c r="D404" t="inlineStr">
        <is>
          <t>ES</t>
        </is>
      </c>
      <c r="E404" t="inlineStr">
        <is>
          <t>SUDESTE RJ e ES</t>
        </is>
      </c>
      <c r="F404" t="inlineStr">
        <is>
          <t>Cliente B - Chopeira</t>
        </is>
      </c>
      <c r="G404" t="inlineStr">
        <is>
          <t>Refrigeradores</t>
        </is>
      </c>
      <c r="H404" s="10" t="n">
        <v>35</v>
      </c>
      <c r="I404" s="10">
        <f>IFERROR(T404*H404,0)</f>
        <v/>
      </c>
      <c r="J404" s="11" t="n">
        <v>45973</v>
      </c>
      <c r="K404" s="11" t="n">
        <v>46030</v>
      </c>
      <c r="L404" t="inlineStr">
        <is>
          <t>Ok. Devolvida</t>
        </is>
      </c>
      <c r="M404">
        <f>IF(L404="","",IFERROR(VLOOKUP(L404,mapGrupoStatus,2,0),"Outros"))</f>
        <v/>
      </c>
      <c r="N404">
        <f>IF(O404="","",IF(O404&lt;=30,"0-30 dias",IF(O404&lt;=60,"31-60 dias",IF(O404&lt;=90,"61-90 dias","Mais de 90 dias"))))</f>
        <v/>
      </c>
      <c r="O404">
        <f>IF(OR(M404="Pendente",M404="Em andamento"),IF(J404="","",TODAY()-J404),"")</f>
        <v/>
      </c>
      <c r="P404" t="n">
        <v>11099</v>
      </c>
      <c r="Q404" t="inlineStr">
        <is>
          <t>Refrigel Serviços (11099)</t>
        </is>
      </c>
      <c r="R404" t="inlineStr">
        <is>
          <t>PC-0016</t>
        </is>
      </c>
      <c r="S404" t="inlineStr">
        <is>
          <t>Filtro secador modelo 02</t>
        </is>
      </c>
      <c r="T404" t="n">
        <v>1</v>
      </c>
      <c r="U404" t="n">
        <v>161</v>
      </c>
      <c r="V404">
        <f>IF(J404="","",MONTH(J404))</f>
        <v/>
      </c>
      <c r="W404">
        <f>IF(J404="","",YEAR(J404))</f>
        <v/>
      </c>
      <c r="X404" t="inlineStr">
        <is>
          <t>RotaSul</t>
        </is>
      </c>
      <c r="Y404">
        <f>IFERROR(INDEX(Rastreio!$H$2:$H$200,MATCH(X404&amp;"|"&amp;U404,Rastreio!$A$2:$A$200,0)),"")</f>
        <v/>
      </c>
    </row>
    <row r="405">
      <c r="A405">
        <f>IFERROR(INDEX(STAs!$G$2:$G$61,MATCH(P405,STAs!$F$2:$F$61,0))&amp;"","")</f>
        <v/>
      </c>
      <c r="B405" t="n">
        <v>20035245</v>
      </c>
      <c r="C405" t="inlineStr">
        <is>
          <t>Não</t>
        </is>
      </c>
      <c r="D405" t="inlineStr">
        <is>
          <t>PE</t>
        </is>
      </c>
      <c r="E405" t="inlineStr">
        <is>
          <t>NORDESTE</t>
        </is>
      </c>
      <c r="F405" t="inlineStr">
        <is>
          <t>Cliente B - Chopeira</t>
        </is>
      </c>
      <c r="G405" t="inlineStr">
        <is>
          <t>Refrigeradores</t>
        </is>
      </c>
      <c r="H405" s="10" t="n">
        <v>330</v>
      </c>
      <c r="I405" s="10">
        <f>IFERROR(T405*H405,0)</f>
        <v/>
      </c>
      <c r="J405" s="11" t="n">
        <v>45973</v>
      </c>
      <c r="K405" s="11" t="n"/>
      <c r="L405" t="inlineStr">
        <is>
          <t>Em transporte</t>
        </is>
      </c>
      <c r="M405">
        <f>IF(L405="","",IFERROR(VLOOKUP(L405,mapGrupoStatus,2,0),"Outros"))</f>
        <v/>
      </c>
      <c r="N405">
        <f>IF(O405="","",IF(O405&lt;=30,"0-30 dias",IF(O405&lt;=60,"31-60 dias",IF(O405&lt;=90,"61-90 dias","Mais de 90 dias"))))</f>
        <v/>
      </c>
      <c r="O405">
        <f>IF(OR(M405="Pendente",M405="Em andamento"),IF(J405="","",TODAY()-J405),"")</f>
        <v/>
      </c>
      <c r="P405" t="n">
        <v>11352</v>
      </c>
      <c r="Q405" t="inlineStr">
        <is>
          <t>Frio Express (11352)</t>
        </is>
      </c>
      <c r="R405" t="inlineStr">
        <is>
          <t>PC-0003</t>
        </is>
      </c>
      <c r="S405" t="inlineStr">
        <is>
          <t>Compressor modelo 03</t>
        </is>
      </c>
      <c r="T405" t="n">
        <v>1</v>
      </c>
      <c r="U405" t="n">
        <v>162</v>
      </c>
      <c r="V405">
        <f>IF(J405="","",MONTH(J405))</f>
        <v/>
      </c>
      <c r="W405">
        <f>IF(J405="","",YEAR(J405))</f>
        <v/>
      </c>
      <c r="X405" t="inlineStr">
        <is>
          <t>CargoMax</t>
        </is>
      </c>
      <c r="Y405">
        <f>IFERROR(INDEX(Rastreio!$H$2:$H$200,MATCH(X405&amp;"|"&amp;U405,Rastreio!$A$2:$A$200,0)),"")</f>
        <v/>
      </c>
    </row>
    <row r="406">
      <c r="A406">
        <f>IFERROR(INDEX(STAs!$G$2:$G$61,MATCH(P406,STAs!$F$2:$F$61,0))&amp;"","")</f>
        <v/>
      </c>
      <c r="B406" t="n">
        <v>20035750</v>
      </c>
      <c r="C406" t="inlineStr">
        <is>
          <t>Não</t>
        </is>
      </c>
      <c r="D406" t="inlineStr">
        <is>
          <t>AC</t>
        </is>
      </c>
      <c r="E406" t="inlineStr">
        <is>
          <t>NORTE</t>
        </is>
      </c>
      <c r="F406" t="inlineStr">
        <is>
          <t>Cliente C - Misturador</t>
        </is>
      </c>
      <c r="G406" t="inlineStr">
        <is>
          <t>Refrigeradores</t>
        </is>
      </c>
      <c r="H406" s="10" t="n">
        <v>190</v>
      </c>
      <c r="I406" s="10">
        <f>IFERROR(T406*H406,0)</f>
        <v/>
      </c>
      <c r="J406" s="11" t="n">
        <v>45973</v>
      </c>
      <c r="K406" s="11" t="n">
        <v>46006</v>
      </c>
      <c r="L406" t="inlineStr">
        <is>
          <t>Ok. Devolvida</t>
        </is>
      </c>
      <c r="M406">
        <f>IF(L406="","",IFERROR(VLOOKUP(L406,mapGrupoStatus,2,0),"Outros"))</f>
        <v/>
      </c>
      <c r="N406">
        <f>IF(O406="","",IF(O406&lt;=30,"0-30 dias",IF(O406&lt;=60,"31-60 dias",IF(O406&lt;=90,"61-90 dias","Mais de 90 dias"))))</f>
        <v/>
      </c>
      <c r="O406">
        <f>IF(OR(M406="Pendente",M406="Em andamento"),IF(J406="","",TODAY()-J406),"")</f>
        <v/>
      </c>
      <c r="P406" t="n">
        <v>11022</v>
      </c>
      <c r="Q406" t="inlineStr">
        <is>
          <t>Brisa Ltda (11022)</t>
        </is>
      </c>
      <c r="R406" t="inlineStr">
        <is>
          <t>PC-0014</t>
        </is>
      </c>
      <c r="S406" t="inlineStr">
        <is>
          <t>Placa eletrônica modelo 04</t>
        </is>
      </c>
      <c r="T406" t="n">
        <v>1</v>
      </c>
      <c r="U406" t="n">
        <v>156</v>
      </c>
      <c r="V406">
        <f>IF(J406="","",MONTH(J406))</f>
        <v/>
      </c>
      <c r="W406">
        <f>IF(J406="","",YEAR(J406))</f>
        <v/>
      </c>
      <c r="X406" t="inlineStr">
        <is>
          <t>ViaCargo</t>
        </is>
      </c>
      <c r="Y406">
        <f>IFERROR(INDEX(Rastreio!$H$2:$H$200,MATCH(X406&amp;"|"&amp;U406,Rastreio!$A$2:$A$200,0)),"")</f>
        <v/>
      </c>
    </row>
    <row r="407">
      <c r="A407">
        <f>IFERROR(INDEX(STAs!$G$2:$G$61,MATCH(P407,STAs!$F$2:$F$61,0))&amp;"","")</f>
        <v/>
      </c>
      <c r="B407" t="n">
        <v>20010534</v>
      </c>
      <c r="C407" t="inlineStr">
        <is>
          <t>Não</t>
        </is>
      </c>
      <c r="D407" t="inlineStr">
        <is>
          <t>ES</t>
        </is>
      </c>
      <c r="E407" t="inlineStr">
        <is>
          <t>SUDESTE RJ e ES</t>
        </is>
      </c>
      <c r="F407" t="inlineStr">
        <is>
          <t>Cliente A - Refrigerador</t>
        </is>
      </c>
      <c r="G407" t="inlineStr">
        <is>
          <t>Chopeiras</t>
        </is>
      </c>
      <c r="H407" s="10" t="n">
        <v>100</v>
      </c>
      <c r="I407" s="10">
        <f>IFERROR(T407*H407,0)</f>
        <v/>
      </c>
      <c r="J407" s="11" t="n">
        <v>45974</v>
      </c>
      <c r="K407" s="11" t="n"/>
      <c r="L407" t="inlineStr">
        <is>
          <t>Aguardando devolução</t>
        </is>
      </c>
      <c r="M407">
        <f>IF(L407="","",IFERROR(VLOOKUP(L407,mapGrupoStatus,2,0),"Outros"))</f>
        <v/>
      </c>
      <c r="N407">
        <f>IF(O407="","",IF(O407&lt;=30,"0-30 dias",IF(O407&lt;=60,"31-60 dias",IF(O407&lt;=90,"61-90 dias","Mais de 90 dias"))))</f>
        <v/>
      </c>
      <c r="O407">
        <f>IF(OR(M407="Pendente",M407="Em andamento"),IF(J407="","",TODAY()-J407),"")</f>
        <v/>
      </c>
      <c r="P407" t="n">
        <v>12555</v>
      </c>
      <c r="Q407" t="inlineStr">
        <is>
          <t>Cool Service Serviços (12555)</t>
        </is>
      </c>
      <c r="R407" t="inlineStr">
        <is>
          <t>PC-0027</t>
        </is>
      </c>
      <c r="S407" t="inlineStr">
        <is>
          <t>Torneira de chopp modelo 02</t>
        </is>
      </c>
      <c r="T407" t="n">
        <v>1</v>
      </c>
      <c r="U407" t="inlineStr"/>
      <c r="V407">
        <f>IF(J407="","",MONTH(J407))</f>
        <v/>
      </c>
      <c r="W407">
        <f>IF(J407="","",YEAR(J407))</f>
        <v/>
      </c>
      <c r="X407" t="inlineStr"/>
      <c r="Y407">
        <f>IFERROR(INDEX(Rastreio!$H$2:$H$200,MATCH(X407&amp;"|"&amp;U407,Rastreio!$A$2:$A$200,0)),"")</f>
        <v/>
      </c>
    </row>
    <row r="408">
      <c r="A408">
        <f>IFERROR(INDEX(STAs!$G$2:$G$61,MATCH(P408,STAs!$F$2:$F$61,0))&amp;"","")</f>
        <v/>
      </c>
      <c r="B408" t="n">
        <v>20025335</v>
      </c>
      <c r="C408" t="inlineStr">
        <is>
          <t>Não</t>
        </is>
      </c>
      <c r="D408" t="inlineStr">
        <is>
          <t>BA</t>
        </is>
      </c>
      <c r="E408" t="inlineStr">
        <is>
          <t>NORDESTE</t>
        </is>
      </c>
      <c r="F408" t="inlineStr">
        <is>
          <t>Cliente B - Chopeira</t>
        </is>
      </c>
      <c r="G408" t="inlineStr">
        <is>
          <t>Refrigeradores</t>
        </is>
      </c>
      <c r="H408" s="10" t="n">
        <v>55</v>
      </c>
      <c r="I408" s="10">
        <f>IFERROR(T408*H408,0)</f>
        <v/>
      </c>
      <c r="J408" s="11" t="n">
        <v>45974</v>
      </c>
      <c r="K408" s="11" t="n"/>
      <c r="L408" t="inlineStr">
        <is>
          <t>Aguardando devolução</t>
        </is>
      </c>
      <c r="M408">
        <f>IF(L408="","",IFERROR(VLOOKUP(L408,mapGrupoStatus,2,0),"Outros"))</f>
        <v/>
      </c>
      <c r="N408">
        <f>IF(O408="","",IF(O408&lt;=30,"0-30 dias",IF(O408&lt;=60,"31-60 dias",IF(O408&lt;=90,"61-90 dias","Mais de 90 dias"))))</f>
        <v/>
      </c>
      <c r="O408">
        <f>IF(OR(M408="Pendente",M408="Em andamento"),IF(J408="","",TODAY()-J408),"")</f>
        <v/>
      </c>
      <c r="P408" t="n">
        <v>11538</v>
      </c>
      <c r="Q408" t="inlineStr">
        <is>
          <t>Clima Manutenção (11538)</t>
        </is>
      </c>
      <c r="R408" t="inlineStr">
        <is>
          <t>PC-0007</t>
        </is>
      </c>
      <c r="S408" t="inlineStr">
        <is>
          <t>Ventilador modelo 01</t>
        </is>
      </c>
      <c r="T408" t="n">
        <v>1</v>
      </c>
      <c r="U408" t="inlineStr"/>
      <c r="V408">
        <f>IF(J408="","",MONTH(J408))</f>
        <v/>
      </c>
      <c r="W408">
        <f>IF(J408="","",YEAR(J408))</f>
        <v/>
      </c>
      <c r="X408" t="inlineStr"/>
      <c r="Y408">
        <f>IFERROR(INDEX(Rastreio!$H$2:$H$200,MATCH(X408&amp;"|"&amp;U408,Rastreio!$A$2:$A$200,0)),"")</f>
        <v/>
      </c>
    </row>
    <row r="409">
      <c r="A409">
        <f>IFERROR(INDEX(STAs!$G$2:$G$61,MATCH(P409,STAs!$F$2:$F$61,0))&amp;"","")</f>
        <v/>
      </c>
      <c r="B409" t="n">
        <v>20029317</v>
      </c>
      <c r="C409" t="inlineStr">
        <is>
          <t>Não</t>
        </is>
      </c>
      <c r="D409" t="inlineStr">
        <is>
          <t>GO</t>
        </is>
      </c>
      <c r="E409" t="inlineStr">
        <is>
          <t>CENTRO OESTE</t>
        </is>
      </c>
      <c r="F409" t="inlineStr">
        <is>
          <t>Cliente C - Misturador</t>
        </is>
      </c>
      <c r="G409" t="inlineStr">
        <is>
          <t>Refrigeradores</t>
        </is>
      </c>
      <c r="H409" s="10" t="n">
        <v>155</v>
      </c>
      <c r="I409" s="10">
        <f>IFERROR(T409*H409,0)</f>
        <v/>
      </c>
      <c r="J409" s="11" t="n">
        <v>45974</v>
      </c>
      <c r="K409" s="11" t="n">
        <v>46026</v>
      </c>
      <c r="L409" t="inlineStr">
        <is>
          <t>Ok. Devolvida</t>
        </is>
      </c>
      <c r="M409">
        <f>IF(L409="","",IFERROR(VLOOKUP(L409,mapGrupoStatus,2,0),"Outros"))</f>
        <v/>
      </c>
      <c r="N409">
        <f>IF(O409="","",IF(O409&lt;=30,"0-30 dias",IF(O409&lt;=60,"31-60 dias",IF(O409&lt;=90,"61-90 dias","Mais de 90 dias"))))</f>
        <v/>
      </c>
      <c r="O409">
        <f>IF(OR(M409="Pendente",M409="Em andamento"),IF(J409="","",TODAY()-J409),"")</f>
        <v/>
      </c>
      <c r="P409" t="n">
        <v>11293</v>
      </c>
      <c r="Q409" t="inlineStr">
        <is>
          <t>Assistência Técnica Ltda (11293)</t>
        </is>
      </c>
      <c r="R409" t="inlineStr">
        <is>
          <t>PC-0021</t>
        </is>
      </c>
      <c r="S409" t="inlineStr">
        <is>
          <t>Controlador digital modelo 01</t>
        </is>
      </c>
      <c r="T409" t="n">
        <v>1</v>
      </c>
      <c r="U409" t="n">
        <v>143</v>
      </c>
      <c r="V409">
        <f>IF(J409="","",MONTH(J409))</f>
        <v/>
      </c>
      <c r="W409">
        <f>IF(J409="","",YEAR(J409))</f>
        <v/>
      </c>
      <c r="X409" t="inlineStr">
        <is>
          <t>EntregaJá</t>
        </is>
      </c>
      <c r="Y409">
        <f>IFERROR(INDEX(Rastreio!$H$2:$H$200,MATCH(X409&amp;"|"&amp;U409,Rastreio!$A$2:$A$200,0)),"")</f>
        <v/>
      </c>
    </row>
    <row r="410">
      <c r="A410">
        <f>IFERROR(INDEX(STAs!$G$2:$G$61,MATCH(P410,STAs!$F$2:$F$61,0))&amp;"","")</f>
        <v/>
      </c>
      <c r="B410" t="n">
        <v>20001603</v>
      </c>
      <c r="C410" t="inlineStr">
        <is>
          <t>Não</t>
        </is>
      </c>
      <c r="D410" t="inlineStr">
        <is>
          <t>AP</t>
        </is>
      </c>
      <c r="E410" t="inlineStr">
        <is>
          <t>NORTE</t>
        </is>
      </c>
      <c r="F410" t="inlineStr">
        <is>
          <t>Cliente A - Refrigerador</t>
        </is>
      </c>
      <c r="G410" t="inlineStr">
        <is>
          <t>Refrigeradores</t>
        </is>
      </c>
      <c r="H410" s="10" t="n">
        <v>325</v>
      </c>
      <c r="I410" s="10">
        <f>IFERROR(T410*H410,0)</f>
        <v/>
      </c>
      <c r="J410" s="11" t="n">
        <v>45975</v>
      </c>
      <c r="K410" s="11" t="n"/>
      <c r="L410" t="inlineStr">
        <is>
          <t>NPD</t>
        </is>
      </c>
      <c r="M410">
        <f>IF(L410="","",IFERROR(VLOOKUP(L410,mapGrupoStatus,2,0),"Outros"))</f>
        <v/>
      </c>
      <c r="N410">
        <f>IF(O410="","",IF(O410&lt;=30,"0-30 dias",IF(O410&lt;=60,"31-60 dias",IF(O410&lt;=90,"61-90 dias","Mais de 90 dias"))))</f>
        <v/>
      </c>
      <c r="O410">
        <f>IF(OR(M410="Pendente",M410="Em andamento"),IF(J410="","",TODAY()-J410),"")</f>
        <v/>
      </c>
      <c r="P410" t="n">
        <v>11859</v>
      </c>
      <c r="Q410" t="inlineStr">
        <is>
          <t>Ice Tech Serviços (11859)</t>
        </is>
      </c>
      <c r="R410" t="inlineStr">
        <is>
          <t>PC-0001</t>
        </is>
      </c>
      <c r="S410" t="inlineStr">
        <is>
          <t>Compressor modelo 01</t>
        </is>
      </c>
      <c r="T410" t="n">
        <v>1</v>
      </c>
      <c r="U410" t="inlineStr"/>
      <c r="V410">
        <f>IF(J410="","",MONTH(J410))</f>
        <v/>
      </c>
      <c r="W410">
        <f>IF(J410="","",YEAR(J410))</f>
        <v/>
      </c>
      <c r="X410" t="inlineStr"/>
      <c r="Y410">
        <f>IFERROR(INDEX(Rastreio!$H$2:$H$200,MATCH(X410&amp;"|"&amp;U410,Rastreio!$A$2:$A$200,0)),"")</f>
        <v/>
      </c>
    </row>
    <row r="411">
      <c r="A411">
        <f>IFERROR(INDEX(STAs!$G$2:$G$61,MATCH(P411,STAs!$F$2:$F$61,0))&amp;"","")</f>
        <v/>
      </c>
      <c r="B411" t="n">
        <v>20011336</v>
      </c>
      <c r="C411" t="inlineStr">
        <is>
          <t>Não</t>
        </is>
      </c>
      <c r="D411" t="inlineStr">
        <is>
          <t>RS</t>
        </is>
      </c>
      <c r="E411" t="inlineStr">
        <is>
          <t>SUL</t>
        </is>
      </c>
      <c r="F411" t="inlineStr">
        <is>
          <t>Cliente C - Misturador</t>
        </is>
      </c>
      <c r="G411" t="inlineStr">
        <is>
          <t>Refrigeradores</t>
        </is>
      </c>
      <c r="H411" s="10" t="n">
        <v>30</v>
      </c>
      <c r="I411" s="10">
        <f>IFERROR(T411*H411,0)</f>
        <v/>
      </c>
      <c r="J411" s="11" t="n">
        <v>45975</v>
      </c>
      <c r="K411" s="11" t="n"/>
      <c r="L411" t="inlineStr">
        <is>
          <t>Aguardando devolução</t>
        </is>
      </c>
      <c r="M411">
        <f>IF(L411="","",IFERROR(VLOOKUP(L411,mapGrupoStatus,2,0),"Outros"))</f>
        <v/>
      </c>
      <c r="N411">
        <f>IF(O411="","",IF(O411&lt;=30,"0-30 dias",IF(O411&lt;=60,"31-60 dias",IF(O411&lt;=90,"61-90 dias","Mais de 90 dias"))))</f>
        <v/>
      </c>
      <c r="O411">
        <f>IF(OR(M411="Pendente",M411="Em andamento"),IF(J411="","",TODAY()-J411),"")</f>
        <v/>
      </c>
      <c r="P411" t="n">
        <v>12617</v>
      </c>
      <c r="Q411" t="inlineStr">
        <is>
          <t>Gelo Manutenção (12617)</t>
        </is>
      </c>
      <c r="R411" t="inlineStr">
        <is>
          <t>PC-0025</t>
        </is>
      </c>
      <c r="S411" t="inlineStr">
        <is>
          <t>Relé de partida modelo 03</t>
        </is>
      </c>
      <c r="T411" t="n">
        <v>1</v>
      </c>
      <c r="U411" t="inlineStr"/>
      <c r="V411">
        <f>IF(J411="","",MONTH(J411))</f>
        <v/>
      </c>
      <c r="W411">
        <f>IF(J411="","",YEAR(J411))</f>
        <v/>
      </c>
      <c r="X411" t="inlineStr"/>
      <c r="Y411">
        <f>IFERROR(INDEX(Rastreio!$H$2:$H$200,MATCH(X411&amp;"|"&amp;U411,Rastreio!$A$2:$A$200,0)),"")</f>
        <v/>
      </c>
    </row>
    <row r="412">
      <c r="A412">
        <f>IFERROR(INDEX(STAs!$G$2:$G$61,MATCH(P412,STAs!$F$2:$F$61,0))&amp;"","")</f>
        <v/>
      </c>
      <c r="B412" t="n">
        <v>20013469</v>
      </c>
      <c r="C412" t="inlineStr">
        <is>
          <t>Não</t>
        </is>
      </c>
      <c r="D412" t="inlineStr">
        <is>
          <t>RO</t>
        </is>
      </c>
      <c r="E412" t="inlineStr">
        <is>
          <t>NORTE</t>
        </is>
      </c>
      <c r="F412" t="inlineStr">
        <is>
          <t>Cliente B - Chopeira</t>
        </is>
      </c>
      <c r="G412" t="inlineStr">
        <is>
          <t>Refrigeradores</t>
        </is>
      </c>
      <c r="H412" s="10" t="n">
        <v>65</v>
      </c>
      <c r="I412" s="10">
        <f>IFERROR(T412*H412,0)</f>
        <v/>
      </c>
      <c r="J412" s="11" t="n">
        <v>45975</v>
      </c>
      <c r="K412" s="11" t="n">
        <v>46006</v>
      </c>
      <c r="L412" t="inlineStr">
        <is>
          <t>Ok. Devolvida</t>
        </is>
      </c>
      <c r="M412">
        <f>IF(L412="","",IFERROR(VLOOKUP(L412,mapGrupoStatus,2,0),"Outros"))</f>
        <v/>
      </c>
      <c r="N412">
        <f>IF(O412="","",IF(O412&lt;=30,"0-30 dias",IF(O412&lt;=60,"31-60 dias",IF(O412&lt;=90,"61-90 dias","Mais de 90 dias"))))</f>
        <v/>
      </c>
      <c r="O412">
        <f>IF(OR(M412="Pendente",M412="Em andamento"),IF(J412="","",TODAY()-J412),"")</f>
        <v/>
      </c>
      <c r="P412" t="n">
        <v>12019</v>
      </c>
      <c r="Q412" t="inlineStr">
        <is>
          <t>Ártico Serviços (12019)</t>
        </is>
      </c>
      <c r="R412" t="inlineStr">
        <is>
          <t>PC-0010</t>
        </is>
      </c>
      <c r="S412" t="inlineStr">
        <is>
          <t>Ventilador modelo 04</t>
        </is>
      </c>
      <c r="T412" t="n">
        <v>1</v>
      </c>
      <c r="U412" t="n">
        <v>125</v>
      </c>
      <c r="V412">
        <f>IF(J412="","",MONTH(J412))</f>
        <v/>
      </c>
      <c r="W412">
        <f>IF(J412="","",YEAR(J412))</f>
        <v/>
      </c>
      <c r="X412" t="inlineStr">
        <is>
          <t>ViaCargo</t>
        </is>
      </c>
      <c r="Y412">
        <f>IFERROR(INDEX(Rastreio!$H$2:$H$200,MATCH(X412&amp;"|"&amp;U412,Rastreio!$A$2:$A$200,0)),"")</f>
        <v/>
      </c>
    </row>
    <row r="413">
      <c r="A413">
        <f>IFERROR(INDEX(STAs!$G$2:$G$61,MATCH(P413,STAs!$F$2:$F$61,0))&amp;"","")</f>
        <v/>
      </c>
      <c r="B413" t="n">
        <v>20025594</v>
      </c>
      <c r="C413" t="inlineStr">
        <is>
          <t>Não</t>
        </is>
      </c>
      <c r="D413" t="inlineStr">
        <is>
          <t>SP</t>
        </is>
      </c>
      <c r="E413" t="inlineStr">
        <is>
          <t>SUDESTE SP</t>
        </is>
      </c>
      <c r="F413" t="inlineStr">
        <is>
          <t>Cliente C - Misturador</t>
        </is>
      </c>
      <c r="G413" t="inlineStr">
        <is>
          <t>Refrigeradores</t>
        </is>
      </c>
      <c r="H413" s="10" t="n">
        <v>65</v>
      </c>
      <c r="I413" s="10">
        <f>IFERROR(T413*H413,0)</f>
        <v/>
      </c>
      <c r="J413" s="11" t="n">
        <v>45975</v>
      </c>
      <c r="K413" s="11" t="n"/>
      <c r="L413" t="inlineStr">
        <is>
          <t>Em andamento</t>
        </is>
      </c>
      <c r="M413">
        <f>IF(L413="","",IFERROR(VLOOKUP(L413,mapGrupoStatus,2,0),"Outros"))</f>
        <v/>
      </c>
      <c r="N413">
        <f>IF(O413="","",IF(O413&lt;=30,"0-30 dias",IF(O413&lt;=60,"31-60 dias",IF(O413&lt;=90,"61-90 dias","Mais de 90 dias"))))</f>
        <v/>
      </c>
      <c r="O413">
        <f>IF(OR(M413="Pendente",M413="Em andamento"),IF(J413="","",TODAY()-J413),"")</f>
        <v/>
      </c>
      <c r="P413" t="n">
        <v>11710</v>
      </c>
      <c r="Q413" t="inlineStr">
        <is>
          <t>Brisa &amp; Cia (11710)</t>
        </is>
      </c>
      <c r="R413" t="inlineStr">
        <is>
          <t>PC-0010</t>
        </is>
      </c>
      <c r="S413" t="inlineStr">
        <is>
          <t>Ventilador modelo 04</t>
        </is>
      </c>
      <c r="T413" t="n">
        <v>1</v>
      </c>
      <c r="U413" t="n">
        <v>142</v>
      </c>
      <c r="V413">
        <f>IF(J413="","",MONTH(J413))</f>
        <v/>
      </c>
      <c r="W413">
        <f>IF(J413="","",YEAR(J413))</f>
        <v/>
      </c>
      <c r="X413" t="inlineStr">
        <is>
          <t>ViaCargo</t>
        </is>
      </c>
      <c r="Y413">
        <f>IFERROR(INDEX(Rastreio!$H$2:$H$200,MATCH(X413&amp;"|"&amp;U413,Rastreio!$A$2:$A$200,0)),"")</f>
        <v/>
      </c>
    </row>
    <row r="414">
      <c r="A414">
        <f>IFERROR(INDEX(STAs!$G$2:$G$61,MATCH(P414,STAs!$F$2:$F$61,0))&amp;"","")</f>
        <v/>
      </c>
      <c r="B414" t="n">
        <v>20032652</v>
      </c>
      <c r="C414" t="inlineStr">
        <is>
          <t>Não</t>
        </is>
      </c>
      <c r="D414" t="inlineStr">
        <is>
          <t>ES</t>
        </is>
      </c>
      <c r="E414" t="inlineStr">
        <is>
          <t>SUDESTE RJ e ES</t>
        </is>
      </c>
      <c r="F414" t="inlineStr">
        <is>
          <t>Cliente B - Chopeira</t>
        </is>
      </c>
      <c r="G414" t="inlineStr">
        <is>
          <t>Refrigeradores</t>
        </is>
      </c>
      <c r="H414" s="10" t="n">
        <v>35</v>
      </c>
      <c r="I414" s="10">
        <f>IFERROR(T414*H414,0)</f>
        <v/>
      </c>
      <c r="J414" s="11" t="n">
        <v>45975</v>
      </c>
      <c r="K414" s="11" t="n">
        <v>46026</v>
      </c>
      <c r="L414" t="inlineStr">
        <is>
          <t>Ok. Devolvida</t>
        </is>
      </c>
      <c r="M414">
        <f>IF(L414="","",IFERROR(VLOOKUP(L414,mapGrupoStatus,2,0),"Outros"))</f>
        <v/>
      </c>
      <c r="N414">
        <f>IF(O414="","",IF(O414&lt;=30,"0-30 dias",IF(O414&lt;=60,"31-60 dias",IF(O414&lt;=90,"61-90 dias","Mais de 90 dias"))))</f>
        <v/>
      </c>
      <c r="O414">
        <f>IF(OR(M414="Pendente",M414="Em andamento"),IF(J414="","",TODAY()-J414),"")</f>
        <v/>
      </c>
      <c r="P414" t="n">
        <v>12555</v>
      </c>
      <c r="Q414" t="inlineStr">
        <is>
          <t>Cool Service Serviços (12555)</t>
        </is>
      </c>
      <c r="R414" t="inlineStr">
        <is>
          <t>PC-0020</t>
        </is>
      </c>
      <c r="S414" t="inlineStr">
        <is>
          <t>Gaxeta da porta modelo 03</t>
        </is>
      </c>
      <c r="T414" t="n">
        <v>1</v>
      </c>
      <c r="U414" t="n">
        <v>151</v>
      </c>
      <c r="V414">
        <f>IF(J414="","",MONTH(J414))</f>
        <v/>
      </c>
      <c r="W414">
        <f>IF(J414="","",YEAR(J414))</f>
        <v/>
      </c>
      <c r="X414" t="inlineStr">
        <is>
          <t>ViaCargo</t>
        </is>
      </c>
      <c r="Y414">
        <f>IFERROR(INDEX(Rastreio!$H$2:$H$200,MATCH(X414&amp;"|"&amp;U414,Rastreio!$A$2:$A$200,0)),"")</f>
        <v/>
      </c>
    </row>
    <row r="415">
      <c r="A415">
        <f>IFERROR(INDEX(STAs!$G$2:$G$61,MATCH(P415,STAs!$F$2:$F$61,0))&amp;"","")</f>
        <v/>
      </c>
      <c r="B415" t="n">
        <v>20039288</v>
      </c>
      <c r="C415" t="inlineStr">
        <is>
          <t>Não</t>
        </is>
      </c>
      <c r="D415" t="inlineStr">
        <is>
          <t>SP</t>
        </is>
      </c>
      <c r="E415" t="inlineStr">
        <is>
          <t>SUDESTE SP</t>
        </is>
      </c>
      <c r="F415" t="inlineStr">
        <is>
          <t>Cliente A - Refrigerador</t>
        </is>
      </c>
      <c r="G415" t="inlineStr">
        <is>
          <t>Refrigeradores</t>
        </is>
      </c>
      <c r="H415" s="10" t="n">
        <v>40</v>
      </c>
      <c r="I415" s="10">
        <f>IFERROR(T415*H415,0)</f>
        <v/>
      </c>
      <c r="J415" s="11" t="n">
        <v>45975</v>
      </c>
      <c r="K415" s="11" t="n"/>
      <c r="L415" t="inlineStr">
        <is>
          <t>NF Vencida</t>
        </is>
      </c>
      <c r="M415">
        <f>IF(L415="","",IFERROR(VLOOKUP(L415,mapGrupoStatus,2,0),"Outros"))</f>
        <v/>
      </c>
      <c r="N415">
        <f>IF(O415="","",IF(O415&lt;=30,"0-30 dias",IF(O415&lt;=60,"31-60 dias",IF(O415&lt;=90,"61-90 dias","Mais de 90 dias"))))</f>
        <v/>
      </c>
      <c r="O415">
        <f>IF(OR(M415="Pendente",M415="Em andamento"),IF(J415="","",TODAY()-J415),"")</f>
        <v/>
      </c>
      <c r="P415" t="n">
        <v>11365</v>
      </c>
      <c r="Q415" t="inlineStr">
        <is>
          <t>Ártico Express (11365)</t>
        </is>
      </c>
      <c r="R415" t="inlineStr">
        <is>
          <t>PC-0004</t>
        </is>
      </c>
      <c r="S415" t="inlineStr">
        <is>
          <t>Termostato modelo 01</t>
        </is>
      </c>
      <c r="T415" t="n">
        <v>1</v>
      </c>
      <c r="U415" t="inlineStr"/>
      <c r="V415">
        <f>IF(J415="","",MONTH(J415))</f>
        <v/>
      </c>
      <c r="W415">
        <f>IF(J415="","",YEAR(J415))</f>
        <v/>
      </c>
      <c r="X415" t="inlineStr"/>
      <c r="Y415">
        <f>IFERROR(INDEX(Rastreio!$H$2:$H$200,MATCH(X415&amp;"|"&amp;U415,Rastreio!$A$2:$A$200,0)),"")</f>
        <v/>
      </c>
    </row>
    <row r="416">
      <c r="A416">
        <f>IFERROR(INDEX(STAs!$G$2:$G$61,MATCH(P416,STAs!$F$2:$F$61,0))&amp;"","")</f>
        <v/>
      </c>
      <c r="B416" t="n">
        <v>20019647</v>
      </c>
      <c r="C416" t="inlineStr">
        <is>
          <t>Não</t>
        </is>
      </c>
      <c r="D416" t="inlineStr">
        <is>
          <t>RJ</t>
        </is>
      </c>
      <c r="E416" t="inlineStr">
        <is>
          <t>SUDESTE RJ e ES</t>
        </is>
      </c>
      <c r="F416" t="inlineStr">
        <is>
          <t>Cliente C - Misturador</t>
        </is>
      </c>
      <c r="G416" t="inlineStr">
        <is>
          <t>Chopeiras</t>
        </is>
      </c>
      <c r="H416" s="10" t="n">
        <v>115</v>
      </c>
      <c r="I416" s="10">
        <f>IFERROR(T416*H416,0)</f>
        <v/>
      </c>
      <c r="J416" s="11" t="n">
        <v>45976</v>
      </c>
      <c r="K416" s="11" t="n"/>
      <c r="L416" t="inlineStr">
        <is>
          <t>Aguardando Transporte</t>
        </is>
      </c>
      <c r="M416">
        <f>IF(L416="","",IFERROR(VLOOKUP(L416,mapGrupoStatus,2,0),"Outros"))</f>
        <v/>
      </c>
      <c r="N416">
        <f>IF(O416="","",IF(O416&lt;=30,"0-30 dias",IF(O416&lt;=60,"31-60 dias",IF(O416&lt;=90,"61-90 dias","Mais de 90 dias"))))</f>
        <v/>
      </c>
      <c r="O416">
        <f>IF(OR(M416="Pendente",M416="Em andamento"),IF(J416="","",TODAY()-J416),"")</f>
        <v/>
      </c>
      <c r="P416" t="n">
        <v>12811</v>
      </c>
      <c r="Q416" t="inlineStr">
        <is>
          <t>Norte Frio Técnica (12811)</t>
        </is>
      </c>
      <c r="R416" t="inlineStr">
        <is>
          <t>PC-0034</t>
        </is>
      </c>
      <c r="S416" t="inlineStr">
        <is>
          <t>Regulador de pressão modelo 03</t>
        </is>
      </c>
      <c r="T416" t="n">
        <v>1</v>
      </c>
      <c r="U416" t="n">
        <v>127</v>
      </c>
      <c r="V416">
        <f>IF(J416="","",MONTH(J416))</f>
        <v/>
      </c>
      <c r="W416">
        <f>IF(J416="","",YEAR(J416))</f>
        <v/>
      </c>
      <c r="X416" t="inlineStr">
        <is>
          <t>RotaSul</t>
        </is>
      </c>
      <c r="Y416">
        <f>IFERROR(INDEX(Rastreio!$H$2:$H$200,MATCH(X416&amp;"|"&amp;U416,Rastreio!$A$2:$A$200,0)),"")</f>
        <v/>
      </c>
    </row>
    <row r="417">
      <c r="A417">
        <f>IFERROR(INDEX(STAs!$G$2:$G$61,MATCH(P417,STAs!$F$2:$F$61,0))&amp;"","")</f>
        <v/>
      </c>
      <c r="B417" t="n">
        <v>20023147</v>
      </c>
      <c r="C417" t="inlineStr">
        <is>
          <t>Não</t>
        </is>
      </c>
      <c r="D417" t="inlineStr">
        <is>
          <t>BA</t>
        </is>
      </c>
      <c r="E417" t="inlineStr">
        <is>
          <t>NORDESTE</t>
        </is>
      </c>
      <c r="F417" t="inlineStr">
        <is>
          <t>Cliente C - Misturador</t>
        </is>
      </c>
      <c r="G417" t="inlineStr">
        <is>
          <t>Misturadores</t>
        </is>
      </c>
      <c r="H417" s="10" t="n">
        <v>50</v>
      </c>
      <c r="I417" s="10">
        <f>IFERROR(T417*H417,0)</f>
        <v/>
      </c>
      <c r="J417" s="11" t="n">
        <v>45976</v>
      </c>
      <c r="K417" s="11" t="n"/>
      <c r="L417" t="inlineStr">
        <is>
          <t>Em transporte</t>
        </is>
      </c>
      <c r="M417">
        <f>IF(L417="","",IFERROR(VLOOKUP(L417,mapGrupoStatus,2,0),"Outros"))</f>
        <v/>
      </c>
      <c r="N417">
        <f>IF(O417="","",IF(O417&lt;=30,"0-30 dias",IF(O417&lt;=60,"31-60 dias",IF(O417&lt;=90,"61-90 dias","Mais de 90 dias"))))</f>
        <v/>
      </c>
      <c r="O417">
        <f>IF(OR(M417="Pendente",M417="Em andamento"),IF(J417="","",TODAY()-J417),"")</f>
        <v/>
      </c>
      <c r="P417" t="n">
        <v>11538</v>
      </c>
      <c r="Q417" t="inlineStr">
        <is>
          <t>Clima Manutenção (11538)</t>
        </is>
      </c>
      <c r="R417" t="inlineStr">
        <is>
          <t>PC-0044</t>
        </is>
      </c>
      <c r="S417" t="inlineStr">
        <is>
          <t>Bico dosador modelo 03</t>
        </is>
      </c>
      <c r="T417" t="n">
        <v>1</v>
      </c>
      <c r="U417" t="n">
        <v>138</v>
      </c>
      <c r="V417">
        <f>IF(J417="","",MONTH(J417))</f>
        <v/>
      </c>
      <c r="W417">
        <f>IF(J417="","",YEAR(J417))</f>
        <v/>
      </c>
      <c r="X417" t="inlineStr">
        <is>
          <t>TransNorte</t>
        </is>
      </c>
      <c r="Y417">
        <f>IFERROR(INDEX(Rastreio!$H$2:$H$200,MATCH(X417&amp;"|"&amp;U417,Rastreio!$A$2:$A$200,0)),"")</f>
        <v/>
      </c>
    </row>
    <row r="418">
      <c r="A418">
        <f>IFERROR(INDEX(STAs!$G$2:$G$61,MATCH(P418,STAs!$F$2:$F$61,0))&amp;"","")</f>
        <v/>
      </c>
      <c r="B418" t="n">
        <v>20025780</v>
      </c>
      <c r="C418" t="inlineStr">
        <is>
          <t>Sim</t>
        </is>
      </c>
      <c r="D418" t="inlineStr">
        <is>
          <t>SP</t>
        </is>
      </c>
      <c r="E418" t="inlineStr">
        <is>
          <t>SUDESTE SP</t>
        </is>
      </c>
      <c r="F418" t="inlineStr">
        <is>
          <t>Cliente C - Misturador</t>
        </is>
      </c>
      <c r="G418" t="inlineStr">
        <is>
          <t>Refrigeradores</t>
        </is>
      </c>
      <c r="H418" s="10" t="n">
        <v>65</v>
      </c>
      <c r="I418" s="10">
        <f>IFERROR(T418*H418,0)</f>
        <v/>
      </c>
      <c r="J418" s="11" t="n">
        <v>45976</v>
      </c>
      <c r="K418" s="11" t="n">
        <v>46001</v>
      </c>
      <c r="L418" t="inlineStr">
        <is>
          <t>Ok. Devolvida</t>
        </is>
      </c>
      <c r="M418">
        <f>IF(L418="","",IFERROR(VLOOKUP(L418,mapGrupoStatus,2,0),"Outros"))</f>
        <v/>
      </c>
      <c r="N418">
        <f>IF(O418="","",IF(O418&lt;=30,"0-30 dias",IF(O418&lt;=60,"31-60 dias",IF(O418&lt;=90,"61-90 dias","Mais de 90 dias"))))</f>
        <v/>
      </c>
      <c r="O418">
        <f>IF(OR(M418="Pendente",M418="Em andamento"),IF(J418="","",TODAY()-J418),"")</f>
        <v/>
      </c>
      <c r="P418" t="n">
        <v>10010</v>
      </c>
      <c r="Q418" t="inlineStr">
        <is>
          <t>Cool Service ME (10010)</t>
        </is>
      </c>
      <c r="R418" t="inlineStr">
        <is>
          <t>PC-0010</t>
        </is>
      </c>
      <c r="S418" t="inlineStr">
        <is>
          <t>Ventilador modelo 04</t>
        </is>
      </c>
      <c r="T418" t="n">
        <v>1</v>
      </c>
      <c r="U418" t="n">
        <v>147</v>
      </c>
      <c r="V418">
        <f>IF(J418="","",MONTH(J418))</f>
        <v/>
      </c>
      <c r="W418">
        <f>IF(J418="","",YEAR(J418))</f>
        <v/>
      </c>
      <c r="X418" t="inlineStr">
        <is>
          <t>LogExpress</t>
        </is>
      </c>
      <c r="Y418">
        <f>IFERROR(INDEX(Rastreio!$H$2:$H$200,MATCH(X418&amp;"|"&amp;U418,Rastreio!$A$2:$A$200,0)),"")</f>
        <v/>
      </c>
    </row>
    <row r="419">
      <c r="A419">
        <f>IFERROR(INDEX(STAs!$G$2:$G$61,MATCH(P419,STAs!$F$2:$F$61,0))&amp;"","")</f>
        <v/>
      </c>
      <c r="B419" t="n">
        <v>20027138</v>
      </c>
      <c r="C419" t="inlineStr">
        <is>
          <t>Sim</t>
        </is>
      </c>
      <c r="D419" t="inlineStr">
        <is>
          <t>GO</t>
        </is>
      </c>
      <c r="E419" t="inlineStr">
        <is>
          <t>CENTRO OESTE</t>
        </is>
      </c>
      <c r="F419" t="inlineStr">
        <is>
          <t>Cliente A - Refrigerador</t>
        </is>
      </c>
      <c r="G419" t="inlineStr">
        <is>
          <t>Chopeiras</t>
        </is>
      </c>
      <c r="H419" s="10" t="n">
        <v>115</v>
      </c>
      <c r="I419" s="10">
        <f>IFERROR(T419*H419,0)</f>
        <v/>
      </c>
      <c r="J419" s="11" t="n">
        <v>45976</v>
      </c>
      <c r="K419" s="11" t="n"/>
      <c r="L419" t="inlineStr">
        <is>
          <t>Aguardando devolução</t>
        </is>
      </c>
      <c r="M419">
        <f>IF(L419="","",IFERROR(VLOOKUP(L419,mapGrupoStatus,2,0),"Outros"))</f>
        <v/>
      </c>
      <c r="N419">
        <f>IF(O419="","",IF(O419&lt;=30,"0-30 dias",IF(O419&lt;=60,"31-60 dias",IF(O419&lt;=90,"61-90 dias","Mais de 90 dias"))))</f>
        <v/>
      </c>
      <c r="O419">
        <f>IF(OR(M419="Pendente",M419="Em andamento"),IF(J419="","",TODAY()-J419),"")</f>
        <v/>
      </c>
      <c r="P419" t="n">
        <v>11677</v>
      </c>
      <c r="Q419" t="inlineStr">
        <is>
          <t>Cool Service Manutenção (11677)</t>
        </is>
      </c>
      <c r="R419" t="inlineStr">
        <is>
          <t>PC-0033</t>
        </is>
      </c>
      <c r="S419" t="inlineStr">
        <is>
          <t>Regulador de pressão modelo 02</t>
        </is>
      </c>
      <c r="T419" t="n">
        <v>1</v>
      </c>
      <c r="U419" t="inlineStr"/>
      <c r="V419">
        <f>IF(J419="","",MONTH(J419))</f>
        <v/>
      </c>
      <c r="W419">
        <f>IF(J419="","",YEAR(J419))</f>
        <v/>
      </c>
      <c r="X419" t="inlineStr"/>
      <c r="Y419">
        <f>IFERROR(INDEX(Rastreio!$H$2:$H$200,MATCH(X419&amp;"|"&amp;U419,Rastreio!$A$2:$A$200,0)),"")</f>
        <v/>
      </c>
    </row>
    <row r="420">
      <c r="A420">
        <f>IFERROR(INDEX(STAs!$G$2:$G$61,MATCH(P420,STAs!$F$2:$F$61,0))&amp;"","")</f>
        <v/>
      </c>
      <c r="B420" t="n">
        <v>20006792</v>
      </c>
      <c r="C420" t="inlineStr">
        <is>
          <t>Não</t>
        </is>
      </c>
      <c r="D420" t="inlineStr">
        <is>
          <t>MG</t>
        </is>
      </c>
      <c r="E420" t="inlineStr">
        <is>
          <t>SUDESTE MG</t>
        </is>
      </c>
      <c r="F420" t="inlineStr">
        <is>
          <t>Cliente C - Misturador</t>
        </is>
      </c>
      <c r="G420" t="inlineStr">
        <is>
          <t>Refrigeradores</t>
        </is>
      </c>
      <c r="H420" s="10" t="n">
        <v>35</v>
      </c>
      <c r="I420" s="10">
        <f>IFERROR(T420*H420,0)</f>
        <v/>
      </c>
      <c r="J420" s="11" t="n">
        <v>45977</v>
      </c>
      <c r="K420" s="11" t="n">
        <v>46036</v>
      </c>
      <c r="L420" t="inlineStr">
        <is>
          <t>Ok. Devolvida</t>
        </is>
      </c>
      <c r="M420">
        <f>IF(L420="","",IFERROR(VLOOKUP(L420,mapGrupoStatus,2,0),"Outros"))</f>
        <v/>
      </c>
      <c r="N420">
        <f>IF(O420="","",IF(O420&lt;=30,"0-30 dias",IF(O420&lt;=60,"31-60 dias",IF(O420&lt;=90,"61-90 dias","Mais de 90 dias"))))</f>
        <v/>
      </c>
      <c r="O420">
        <f>IF(OR(M420="Pendente",M420="Em andamento"),IF(J420="","",TODAY()-J420),"")</f>
        <v/>
      </c>
      <c r="P420" t="n">
        <v>11494</v>
      </c>
      <c r="Q420" t="inlineStr">
        <is>
          <t>Clima Técnica (11494)</t>
        </is>
      </c>
      <c r="R420" t="inlineStr">
        <is>
          <t>PC-0024</t>
        </is>
      </c>
      <c r="S420" t="inlineStr">
        <is>
          <t>Relé de partida modelo 02</t>
        </is>
      </c>
      <c r="T420" t="n">
        <v>1</v>
      </c>
      <c r="U420" t="n">
        <v>111</v>
      </c>
      <c r="V420">
        <f>IF(J420="","",MONTH(J420))</f>
        <v/>
      </c>
      <c r="W420">
        <f>IF(J420="","",YEAR(J420))</f>
        <v/>
      </c>
      <c r="X420" t="inlineStr">
        <is>
          <t>LogExpress</t>
        </is>
      </c>
      <c r="Y420">
        <f>IFERROR(INDEX(Rastreio!$H$2:$H$200,MATCH(X420&amp;"|"&amp;U420,Rastreio!$A$2:$A$200,0)),"")</f>
        <v/>
      </c>
    </row>
    <row r="421">
      <c r="A421">
        <f>IFERROR(INDEX(STAs!$G$2:$G$61,MATCH(P421,STAs!$F$2:$F$61,0))&amp;"","")</f>
        <v/>
      </c>
      <c r="B421" t="n">
        <v>20012648</v>
      </c>
      <c r="C421" t="inlineStr">
        <is>
          <t>Não</t>
        </is>
      </c>
      <c r="D421" t="inlineStr">
        <is>
          <t>RJ</t>
        </is>
      </c>
      <c r="E421" t="inlineStr">
        <is>
          <t>SUDESTE RJ e ES</t>
        </is>
      </c>
      <c r="F421" t="inlineStr">
        <is>
          <t>Cliente C - Misturador</t>
        </is>
      </c>
      <c r="G421" t="inlineStr">
        <is>
          <t>Chopeiras</t>
        </is>
      </c>
      <c r="H421" s="10" t="n">
        <v>85</v>
      </c>
      <c r="I421" s="10">
        <f>IFERROR(T421*H421,0)</f>
        <v/>
      </c>
      <c r="J421" s="11" t="n">
        <v>45977</v>
      </c>
      <c r="K421" s="11" t="n">
        <v>46026</v>
      </c>
      <c r="L421" t="inlineStr">
        <is>
          <t>Ok. Devolvida</t>
        </is>
      </c>
      <c r="M421">
        <f>IF(L421="","",IFERROR(VLOOKUP(L421,mapGrupoStatus,2,0),"Outros"))</f>
        <v/>
      </c>
      <c r="N421">
        <f>IF(O421="","",IF(O421&lt;=30,"0-30 dias",IF(O421&lt;=60,"31-60 dias",IF(O421&lt;=90,"61-90 dias","Mais de 90 dias"))))</f>
        <v/>
      </c>
      <c r="O421">
        <f>IF(OR(M421="Pendente",M421="Em andamento"),IF(J421="","",TODAY()-J421),"")</f>
        <v/>
      </c>
      <c r="P421" t="n">
        <v>11059</v>
      </c>
      <c r="Q421" t="inlineStr">
        <is>
          <t>Frio Ltda (11059)</t>
        </is>
      </c>
      <c r="R421" t="inlineStr">
        <is>
          <t>PC-0035</t>
        </is>
      </c>
      <c r="S421" t="inlineStr">
        <is>
          <t>Válvula extratora modelo 01</t>
        </is>
      </c>
      <c r="T421" t="n">
        <v>1</v>
      </c>
      <c r="U421" t="n">
        <v>122</v>
      </c>
      <c r="V421">
        <f>IF(J421="","",MONTH(J421))</f>
        <v/>
      </c>
      <c r="W421">
        <f>IF(J421="","",YEAR(J421))</f>
        <v/>
      </c>
      <c r="X421" t="inlineStr">
        <is>
          <t>TransNorte</t>
        </is>
      </c>
      <c r="Y421">
        <f>IFERROR(INDEX(Rastreio!$H$2:$H$200,MATCH(X421&amp;"|"&amp;U421,Rastreio!$A$2:$A$200,0)),"")</f>
        <v/>
      </c>
    </row>
    <row r="422">
      <c r="A422">
        <f>IFERROR(INDEX(STAs!$G$2:$G$61,MATCH(P422,STAs!$F$2:$F$61,0))&amp;"","")</f>
        <v/>
      </c>
      <c r="B422" t="n">
        <v>20018832</v>
      </c>
      <c r="C422" t="inlineStr">
        <is>
          <t>Não</t>
        </is>
      </c>
      <c r="D422" t="inlineStr">
        <is>
          <t>SP</t>
        </is>
      </c>
      <c r="E422" t="inlineStr">
        <is>
          <t>SUDESTE SP</t>
        </is>
      </c>
      <c r="F422" t="inlineStr">
        <is>
          <t>Cliente C - Misturador</t>
        </is>
      </c>
      <c r="G422" t="inlineStr">
        <is>
          <t>Chopeiras</t>
        </is>
      </c>
      <c r="H422" s="10" t="n">
        <v>205</v>
      </c>
      <c r="I422" s="10">
        <f>IFERROR(T422*H422,0)</f>
        <v/>
      </c>
      <c r="J422" s="11" t="n">
        <v>45977</v>
      </c>
      <c r="K422" s="11" t="n"/>
      <c r="L422" t="inlineStr">
        <is>
          <t>NPD</t>
        </is>
      </c>
      <c r="M422">
        <f>IF(L422="","",IFERROR(VLOOKUP(L422,mapGrupoStatus,2,0),"Outros"))</f>
        <v/>
      </c>
      <c r="N422">
        <f>IF(O422="","",IF(O422&lt;=30,"0-30 dias",IF(O422&lt;=60,"31-60 dias",IF(O422&lt;=90,"61-90 dias","Mais de 90 dias"))))</f>
        <v/>
      </c>
      <c r="O422">
        <f>IF(OR(M422="Pendente",M422="Em andamento"),IF(J422="","",TODAY()-J422),"")</f>
        <v/>
      </c>
      <c r="P422" t="n">
        <v>12901</v>
      </c>
      <c r="Q422" t="inlineStr">
        <is>
          <t>Frio Serviços (12901)</t>
        </is>
      </c>
      <c r="R422" t="inlineStr">
        <is>
          <t>PC-0031</t>
        </is>
      </c>
      <c r="S422" t="inlineStr">
        <is>
          <t>Serpentina modelo 03</t>
        </is>
      </c>
      <c r="T422" t="n">
        <v>2</v>
      </c>
      <c r="U422" t="inlineStr"/>
      <c r="V422">
        <f>IF(J422="","",MONTH(J422))</f>
        <v/>
      </c>
      <c r="W422">
        <f>IF(J422="","",YEAR(J422))</f>
        <v/>
      </c>
      <c r="X422" t="inlineStr"/>
      <c r="Y422">
        <f>IFERROR(INDEX(Rastreio!$H$2:$H$200,MATCH(X422&amp;"|"&amp;U422,Rastreio!$A$2:$A$200,0)),"")</f>
        <v/>
      </c>
    </row>
    <row r="423">
      <c r="A423">
        <f>IFERROR(INDEX(STAs!$G$2:$G$61,MATCH(P423,STAs!$F$2:$F$61,0))&amp;"","")</f>
        <v/>
      </c>
      <c r="B423" t="n">
        <v>20020085</v>
      </c>
      <c r="C423" t="inlineStr">
        <is>
          <t>Não</t>
        </is>
      </c>
      <c r="D423" t="inlineStr">
        <is>
          <t>AM</t>
        </is>
      </c>
      <c r="E423" t="inlineStr">
        <is>
          <t>NORTE</t>
        </is>
      </c>
      <c r="F423" t="inlineStr">
        <is>
          <t>Cliente C - Misturador</t>
        </is>
      </c>
      <c r="G423" t="inlineStr">
        <is>
          <t>Chopeiras</t>
        </is>
      </c>
      <c r="H423" s="10" t="n">
        <v>210</v>
      </c>
      <c r="I423" s="10">
        <f>IFERROR(T423*H423,0)</f>
        <v/>
      </c>
      <c r="J423" s="11" t="n">
        <v>45977</v>
      </c>
      <c r="K423" s="11" t="n"/>
      <c r="L423" t="inlineStr">
        <is>
          <t>Não Devolve-Norte</t>
        </is>
      </c>
      <c r="M423">
        <f>IF(L423="","",IFERROR(VLOOKUP(L423,mapGrupoStatus,2,0),"Outros"))</f>
        <v/>
      </c>
      <c r="N423">
        <f>IF(O423="","",IF(O423&lt;=30,"0-30 dias",IF(O423&lt;=60,"31-60 dias",IF(O423&lt;=90,"61-90 dias","Mais de 90 dias"))))</f>
        <v/>
      </c>
      <c r="O423">
        <f>IF(OR(M423="Pendente",M423="Em andamento"),IF(J423="","",TODAY()-J423),"")</f>
        <v/>
      </c>
      <c r="P423" t="n">
        <v>12269</v>
      </c>
      <c r="Q423" t="inlineStr">
        <is>
          <t>Polar Técnica (12269)</t>
        </is>
      </c>
      <c r="R423" t="inlineStr">
        <is>
          <t>PC-0029</t>
        </is>
      </c>
      <c r="S423" t="inlineStr">
        <is>
          <t>Serpentina modelo 01</t>
        </is>
      </c>
      <c r="T423" t="n">
        <v>1</v>
      </c>
      <c r="U423" t="inlineStr"/>
      <c r="V423">
        <f>IF(J423="","",MONTH(J423))</f>
        <v/>
      </c>
      <c r="W423">
        <f>IF(J423="","",YEAR(J423))</f>
        <v/>
      </c>
      <c r="X423" t="inlineStr"/>
      <c r="Y423">
        <f>IFERROR(INDEX(Rastreio!$H$2:$H$200,MATCH(X423&amp;"|"&amp;U423,Rastreio!$A$2:$A$200,0)),"")</f>
        <v/>
      </c>
    </row>
    <row r="424">
      <c r="A424">
        <f>IFERROR(INDEX(STAs!$G$2:$G$61,MATCH(P424,STAs!$F$2:$F$61,0))&amp;"","")</f>
        <v/>
      </c>
      <c r="B424" t="n">
        <v>20024811</v>
      </c>
      <c r="C424" t="inlineStr">
        <is>
          <t>Não</t>
        </is>
      </c>
      <c r="D424" t="inlineStr">
        <is>
          <t>SC</t>
        </is>
      </c>
      <c r="E424" t="inlineStr">
        <is>
          <t>SUL</t>
        </is>
      </c>
      <c r="F424" t="inlineStr">
        <is>
          <t>Cliente A - Refrigerador</t>
        </is>
      </c>
      <c r="G424" t="inlineStr">
        <is>
          <t>Refrigeradores</t>
        </is>
      </c>
      <c r="H424" s="10" t="n">
        <v>40</v>
      </c>
      <c r="I424" s="10">
        <f>IFERROR(T424*H424,0)</f>
        <v/>
      </c>
      <c r="J424" s="11" t="n">
        <v>45977</v>
      </c>
      <c r="K424" s="11" t="n"/>
      <c r="L424" t="inlineStr">
        <is>
          <t>Aguardando devolução</t>
        </is>
      </c>
      <c r="M424">
        <f>IF(L424="","",IFERROR(VLOOKUP(L424,mapGrupoStatus,2,0),"Outros"))</f>
        <v/>
      </c>
      <c r="N424">
        <f>IF(O424="","",IF(O424&lt;=30,"0-30 dias",IF(O424&lt;=60,"31-60 dias",IF(O424&lt;=90,"61-90 dias","Mais de 90 dias"))))</f>
        <v/>
      </c>
      <c r="O424">
        <f>IF(OR(M424="Pendente",M424="Em andamento"),IF(J424="","",TODAY()-J424),"")</f>
        <v/>
      </c>
      <c r="P424" t="n">
        <v>12138</v>
      </c>
      <c r="Q424" t="inlineStr">
        <is>
          <t>Refrigeração Serviços (12138)</t>
        </is>
      </c>
      <c r="R424" t="inlineStr">
        <is>
          <t>PC-0005</t>
        </is>
      </c>
      <c r="S424" t="inlineStr">
        <is>
          <t>Termostato modelo 02</t>
        </is>
      </c>
      <c r="T424" t="n">
        <v>1</v>
      </c>
      <c r="U424" t="inlineStr"/>
      <c r="V424">
        <f>IF(J424="","",MONTH(J424))</f>
        <v/>
      </c>
      <c r="W424">
        <f>IF(J424="","",YEAR(J424))</f>
        <v/>
      </c>
      <c r="X424" t="inlineStr"/>
      <c r="Y424">
        <f>IFERROR(INDEX(Rastreio!$H$2:$H$200,MATCH(X424&amp;"|"&amp;U424,Rastreio!$A$2:$A$200,0)),"")</f>
        <v/>
      </c>
    </row>
    <row r="425">
      <c r="A425">
        <f>IFERROR(INDEX(STAs!$G$2:$G$61,MATCH(P425,STAs!$F$2:$F$61,0))&amp;"","")</f>
        <v/>
      </c>
      <c r="B425" t="n">
        <v>20032250</v>
      </c>
      <c r="C425" t="inlineStr">
        <is>
          <t>Não</t>
        </is>
      </c>
      <c r="D425" t="inlineStr">
        <is>
          <t>AC</t>
        </is>
      </c>
      <c r="E425" t="inlineStr">
        <is>
          <t>NORTE</t>
        </is>
      </c>
      <c r="F425" t="inlineStr">
        <is>
          <t>Cliente B - Chopeira</t>
        </is>
      </c>
      <c r="G425" t="inlineStr">
        <is>
          <t>Refrigeradores</t>
        </is>
      </c>
      <c r="H425" s="10" t="n">
        <v>190</v>
      </c>
      <c r="I425" s="10">
        <f>IFERROR(T425*H425,0)</f>
        <v/>
      </c>
      <c r="J425" s="11" t="n">
        <v>45977</v>
      </c>
      <c r="K425" s="11" t="n">
        <v>46032</v>
      </c>
      <c r="L425" t="inlineStr">
        <is>
          <t>Ok. Devolvida</t>
        </is>
      </c>
      <c r="M425">
        <f>IF(L425="","",IFERROR(VLOOKUP(L425,mapGrupoStatus,2,0),"Outros"))</f>
        <v/>
      </c>
      <c r="N425">
        <f>IF(O425="","",IF(O425&lt;=30,"0-30 dias",IF(O425&lt;=60,"31-60 dias",IF(O425&lt;=90,"61-90 dias","Mais de 90 dias"))))</f>
        <v/>
      </c>
      <c r="O425">
        <f>IF(OR(M425="Pendente",M425="Em andamento"),IF(J425="","",TODAY()-J425),"")</f>
        <v/>
      </c>
      <c r="P425" t="n">
        <v>11022</v>
      </c>
      <c r="Q425" t="inlineStr">
        <is>
          <t>Brisa Ltda (11022)</t>
        </is>
      </c>
      <c r="R425" t="inlineStr">
        <is>
          <t>PC-0014</t>
        </is>
      </c>
      <c r="S425" t="inlineStr">
        <is>
          <t>Placa eletrônica modelo 04</t>
        </is>
      </c>
      <c r="T425" t="n">
        <v>1</v>
      </c>
      <c r="U425" t="n">
        <v>158</v>
      </c>
      <c r="V425">
        <f>IF(J425="","",MONTH(J425))</f>
        <v/>
      </c>
      <c r="W425">
        <f>IF(J425="","",YEAR(J425))</f>
        <v/>
      </c>
      <c r="X425" t="inlineStr">
        <is>
          <t>LogExpress</t>
        </is>
      </c>
      <c r="Y425">
        <f>IFERROR(INDEX(Rastreio!$H$2:$H$200,MATCH(X425&amp;"|"&amp;U425,Rastreio!$A$2:$A$200,0)),"")</f>
        <v/>
      </c>
    </row>
    <row r="426">
      <c r="A426">
        <f>IFERROR(INDEX(STAs!$G$2:$G$61,MATCH(P426,STAs!$F$2:$F$61,0))&amp;"","")</f>
        <v/>
      </c>
      <c r="B426" t="n">
        <v>20013175</v>
      </c>
      <c r="C426" t="inlineStr">
        <is>
          <t>Não</t>
        </is>
      </c>
      <c r="D426" t="inlineStr">
        <is>
          <t>AC</t>
        </is>
      </c>
      <c r="E426" t="inlineStr">
        <is>
          <t>NORTE</t>
        </is>
      </c>
      <c r="F426" t="inlineStr">
        <is>
          <t>Cliente A - Refrigerador</t>
        </is>
      </c>
      <c r="G426" t="inlineStr">
        <is>
          <t>Chopeiras</t>
        </is>
      </c>
      <c r="H426" s="10" t="n">
        <v>210</v>
      </c>
      <c r="I426" s="10">
        <f>IFERROR(T426*H426,0)</f>
        <v/>
      </c>
      <c r="J426" s="11" t="n">
        <v>45978</v>
      </c>
      <c r="K426" s="11" t="n"/>
      <c r="L426" t="inlineStr">
        <is>
          <t>Não Devolve-Norte</t>
        </is>
      </c>
      <c r="M426">
        <f>IF(L426="","",IFERROR(VLOOKUP(L426,mapGrupoStatus,2,0),"Outros"))</f>
        <v/>
      </c>
      <c r="N426">
        <f>IF(O426="","",IF(O426&lt;=30,"0-30 dias",IF(O426&lt;=60,"31-60 dias",IF(O426&lt;=90,"61-90 dias","Mais de 90 dias"))))</f>
        <v/>
      </c>
      <c r="O426">
        <f>IF(OR(M426="Pendente",M426="Em andamento"),IF(J426="","",TODAY()-J426),"")</f>
        <v/>
      </c>
      <c r="P426" t="n">
        <v>11022</v>
      </c>
      <c r="Q426" t="inlineStr">
        <is>
          <t>Brisa Ltda (11022)</t>
        </is>
      </c>
      <c r="R426" t="inlineStr">
        <is>
          <t>PC-0029</t>
        </is>
      </c>
      <c r="S426" t="inlineStr">
        <is>
          <t>Serpentina modelo 01</t>
        </is>
      </c>
      <c r="T426" t="n">
        <v>1</v>
      </c>
      <c r="U426" t="inlineStr"/>
      <c r="V426">
        <f>IF(J426="","",MONTH(J426))</f>
        <v/>
      </c>
      <c r="W426">
        <f>IF(J426="","",YEAR(J426))</f>
        <v/>
      </c>
      <c r="X426" t="inlineStr"/>
      <c r="Y426">
        <f>IFERROR(INDEX(Rastreio!$H$2:$H$200,MATCH(X426&amp;"|"&amp;U426,Rastreio!$A$2:$A$200,0)),"")</f>
        <v/>
      </c>
    </row>
    <row r="427">
      <c r="A427">
        <f>IFERROR(INDEX(STAs!$G$2:$G$61,MATCH(P427,STAs!$F$2:$F$61,0))&amp;"","")</f>
        <v/>
      </c>
      <c r="B427" t="n">
        <v>20014740</v>
      </c>
      <c r="C427" t="inlineStr">
        <is>
          <t>Não</t>
        </is>
      </c>
      <c r="D427" t="inlineStr">
        <is>
          <t>AP</t>
        </is>
      </c>
      <c r="E427" t="inlineStr">
        <is>
          <t>NORTE</t>
        </is>
      </c>
      <c r="F427" t="inlineStr">
        <is>
          <t>Cliente A - Refrigerador</t>
        </is>
      </c>
      <c r="G427" t="inlineStr">
        <is>
          <t>Refrigeradores</t>
        </is>
      </c>
      <c r="H427" s="10" t="n">
        <v>175</v>
      </c>
      <c r="I427" s="10">
        <f>IFERROR(T427*H427,0)</f>
        <v/>
      </c>
      <c r="J427" s="11" t="n">
        <v>45978</v>
      </c>
      <c r="K427" s="11" t="n"/>
      <c r="L427" t="inlineStr">
        <is>
          <t>Não Devolve-Norte</t>
        </is>
      </c>
      <c r="M427">
        <f>IF(L427="","",IFERROR(VLOOKUP(L427,mapGrupoStatus,2,0),"Outros"))</f>
        <v/>
      </c>
      <c r="N427">
        <f>IF(O427="","",IF(O427&lt;=30,"0-30 dias",IF(O427&lt;=60,"31-60 dias",IF(O427&lt;=90,"61-90 dias","Mais de 90 dias"))))</f>
        <v/>
      </c>
      <c r="O427">
        <f>IF(OR(M427="Pendente",M427="Em andamento"),IF(J427="","",TODAY()-J427),"")</f>
        <v/>
      </c>
      <c r="P427" t="n">
        <v>11859</v>
      </c>
      <c r="Q427" t="inlineStr">
        <is>
          <t>Ice Tech Serviços (11859)</t>
        </is>
      </c>
      <c r="R427" t="inlineStr">
        <is>
          <t>PC-0012</t>
        </is>
      </c>
      <c r="S427" t="inlineStr">
        <is>
          <t>Placa eletrônica modelo 02</t>
        </is>
      </c>
      <c r="T427" t="n">
        <v>1</v>
      </c>
      <c r="U427" t="inlineStr"/>
      <c r="V427">
        <f>IF(J427="","",MONTH(J427))</f>
        <v/>
      </c>
      <c r="W427">
        <f>IF(J427="","",YEAR(J427))</f>
        <v/>
      </c>
      <c r="X427" t="inlineStr"/>
      <c r="Y427">
        <f>IFERROR(INDEX(Rastreio!$H$2:$H$200,MATCH(X427&amp;"|"&amp;U427,Rastreio!$A$2:$A$200,0)),"")</f>
        <v/>
      </c>
    </row>
    <row r="428">
      <c r="A428">
        <f>IFERROR(INDEX(STAs!$G$2:$G$61,MATCH(P428,STAs!$F$2:$F$61,0))&amp;"","")</f>
        <v/>
      </c>
      <c r="B428" t="n">
        <v>20019488</v>
      </c>
      <c r="C428" t="inlineStr">
        <is>
          <t>Não</t>
        </is>
      </c>
      <c r="D428" t="inlineStr">
        <is>
          <t>SP</t>
        </is>
      </c>
      <c r="E428" t="inlineStr">
        <is>
          <t>SUDESTE SP</t>
        </is>
      </c>
      <c r="F428" t="inlineStr">
        <is>
          <t>Cliente C - Misturador</t>
        </is>
      </c>
      <c r="G428" t="inlineStr">
        <is>
          <t>Refrigeradores</t>
        </is>
      </c>
      <c r="H428" s="10" t="n">
        <v>35</v>
      </c>
      <c r="I428" s="10">
        <f>IFERROR(T428*H428,0)</f>
        <v/>
      </c>
      <c r="J428" s="11" t="n">
        <v>45978</v>
      </c>
      <c r="K428" s="11" t="n"/>
      <c r="L428" t="inlineStr">
        <is>
          <t>Aguardando devolução</t>
        </is>
      </c>
      <c r="M428">
        <f>IF(L428="","",IFERROR(VLOOKUP(L428,mapGrupoStatus,2,0),"Outros"))</f>
        <v/>
      </c>
      <c r="N428">
        <f>IF(O428="","",IF(O428&lt;=30,"0-30 dias",IF(O428&lt;=60,"31-60 dias",IF(O428&lt;=90,"61-90 dias","Mais de 90 dias"))))</f>
        <v/>
      </c>
      <c r="O428">
        <f>IF(OR(M428="Pendente",M428="Em andamento"),IF(J428="","",TODAY()-J428),"")</f>
        <v/>
      </c>
      <c r="P428" t="n">
        <v>11365</v>
      </c>
      <c r="Q428" t="inlineStr">
        <is>
          <t>Ártico Express (11365)</t>
        </is>
      </c>
      <c r="R428" t="inlineStr">
        <is>
          <t>PC-0024</t>
        </is>
      </c>
      <c r="S428" t="inlineStr">
        <is>
          <t>Relé de partida modelo 02</t>
        </is>
      </c>
      <c r="T428" t="n">
        <v>1</v>
      </c>
      <c r="U428" t="inlineStr"/>
      <c r="V428">
        <f>IF(J428="","",MONTH(J428))</f>
        <v/>
      </c>
      <c r="W428">
        <f>IF(J428="","",YEAR(J428))</f>
        <v/>
      </c>
      <c r="X428" t="inlineStr"/>
      <c r="Y428">
        <f>IFERROR(INDEX(Rastreio!$H$2:$H$200,MATCH(X428&amp;"|"&amp;U428,Rastreio!$A$2:$A$200,0)),"")</f>
        <v/>
      </c>
    </row>
    <row r="429">
      <c r="A429">
        <f>IFERROR(INDEX(STAs!$G$2:$G$61,MATCH(P429,STAs!$F$2:$F$61,0))&amp;"","")</f>
        <v/>
      </c>
      <c r="B429" t="n">
        <v>20029280</v>
      </c>
      <c r="C429" t="inlineStr">
        <is>
          <t>Não</t>
        </is>
      </c>
      <c r="D429" t="inlineStr">
        <is>
          <t>RR</t>
        </is>
      </c>
      <c r="E429" t="inlineStr">
        <is>
          <t>NORTE</t>
        </is>
      </c>
      <c r="F429" t="inlineStr">
        <is>
          <t>Cliente B - Chopeira</t>
        </is>
      </c>
      <c r="G429" t="inlineStr">
        <is>
          <t>Chopeiras</t>
        </is>
      </c>
      <c r="H429" s="10" t="n">
        <v>115</v>
      </c>
      <c r="I429" s="10">
        <f>IFERROR(T429*H429,0)</f>
        <v/>
      </c>
      <c r="J429" s="11" t="n">
        <v>45978</v>
      </c>
      <c r="K429" s="11" t="n"/>
      <c r="L429" t="inlineStr">
        <is>
          <t>NF Vencida</t>
        </is>
      </c>
      <c r="M429">
        <f>IF(L429="","",IFERROR(VLOOKUP(L429,mapGrupoStatus,2,0),"Outros"))</f>
        <v/>
      </c>
      <c r="N429">
        <f>IF(O429="","",IF(O429&lt;=30,"0-30 dias",IF(O429&lt;=60,"31-60 dias",IF(O429&lt;=90,"61-90 dias","Mais de 90 dias"))))</f>
        <v/>
      </c>
      <c r="O429">
        <f>IF(OR(M429="Pendente",M429="Em andamento"),IF(J429="","",TODAY()-J429),"")</f>
        <v/>
      </c>
      <c r="P429" t="n">
        <v>11818</v>
      </c>
      <c r="Q429" t="inlineStr">
        <is>
          <t>Termotec Ltda (11818)</t>
        </is>
      </c>
      <c r="R429" t="inlineStr">
        <is>
          <t>PC-0033</t>
        </is>
      </c>
      <c r="S429" t="inlineStr">
        <is>
          <t>Regulador de pressão modelo 02</t>
        </is>
      </c>
      <c r="T429" t="n">
        <v>1</v>
      </c>
      <c r="U429" t="inlineStr"/>
      <c r="V429">
        <f>IF(J429="","",MONTH(J429))</f>
        <v/>
      </c>
      <c r="W429">
        <f>IF(J429="","",YEAR(J429))</f>
        <v/>
      </c>
      <c r="X429" t="inlineStr"/>
      <c r="Y429">
        <f>IFERROR(INDEX(Rastreio!$H$2:$H$200,MATCH(X429&amp;"|"&amp;U429,Rastreio!$A$2:$A$200,0)),"")</f>
        <v/>
      </c>
    </row>
    <row r="430">
      <c r="A430">
        <f>IFERROR(INDEX(STAs!$G$2:$G$61,MATCH(P430,STAs!$F$2:$F$61,0))&amp;"","")</f>
        <v/>
      </c>
      <c r="B430" t="n">
        <v>20029905</v>
      </c>
      <c r="C430" t="inlineStr">
        <is>
          <t>Não</t>
        </is>
      </c>
      <c r="D430" t="inlineStr">
        <is>
          <t>BA</t>
        </is>
      </c>
      <c r="E430" t="inlineStr">
        <is>
          <t>NORDESTE</t>
        </is>
      </c>
      <c r="F430" t="inlineStr">
        <is>
          <t>Cliente C - Misturador</t>
        </is>
      </c>
      <c r="G430" t="inlineStr">
        <is>
          <t>Chopeiras</t>
        </is>
      </c>
      <c r="H430" s="10" t="n">
        <v>85</v>
      </c>
      <c r="I430" s="10">
        <f>IFERROR(T430*H430,0)</f>
        <v/>
      </c>
      <c r="J430" s="11" t="n">
        <v>45978</v>
      </c>
      <c r="K430" s="11" t="n">
        <v>46020</v>
      </c>
      <c r="L430" t="inlineStr">
        <is>
          <t>Ok. Devolvida</t>
        </is>
      </c>
      <c r="M430">
        <f>IF(L430="","",IFERROR(VLOOKUP(L430,mapGrupoStatus,2,0),"Outros"))</f>
        <v/>
      </c>
      <c r="N430">
        <f>IF(O430="","",IF(O430&lt;=30,"0-30 dias",IF(O430&lt;=60,"31-60 dias",IF(O430&lt;=90,"61-90 dias","Mais de 90 dias"))))</f>
        <v/>
      </c>
      <c r="O430">
        <f>IF(OR(M430="Pendente",M430="Em andamento"),IF(J430="","",TODAY()-J430),"")</f>
        <v/>
      </c>
      <c r="P430" t="n">
        <v>12194</v>
      </c>
      <c r="Q430" t="inlineStr">
        <is>
          <t>Polar &amp; Cia (12194)</t>
        </is>
      </c>
      <c r="R430" t="inlineStr">
        <is>
          <t>PC-0035</t>
        </is>
      </c>
      <c r="S430" t="inlineStr">
        <is>
          <t>Válvula extratora modelo 01</t>
        </is>
      </c>
      <c r="T430" t="n">
        <v>2</v>
      </c>
      <c r="U430" t="n">
        <v>151</v>
      </c>
      <c r="V430">
        <f>IF(J430="","",MONTH(J430))</f>
        <v/>
      </c>
      <c r="W430">
        <f>IF(J430="","",YEAR(J430))</f>
        <v/>
      </c>
      <c r="X430" t="inlineStr">
        <is>
          <t>RotaSul</t>
        </is>
      </c>
      <c r="Y430">
        <f>IFERROR(INDEX(Rastreio!$H$2:$H$200,MATCH(X430&amp;"|"&amp;U430,Rastreio!$A$2:$A$200,0)),"")</f>
        <v/>
      </c>
    </row>
    <row r="431">
      <c r="A431">
        <f>IFERROR(INDEX(STAs!$G$2:$G$61,MATCH(P431,STAs!$F$2:$F$61,0))&amp;"","")</f>
        <v/>
      </c>
      <c r="B431" t="n">
        <v>20000104</v>
      </c>
      <c r="C431" t="inlineStr">
        <is>
          <t>Não</t>
        </is>
      </c>
      <c r="D431" t="inlineStr">
        <is>
          <t>PI</t>
        </is>
      </c>
      <c r="E431" t="inlineStr">
        <is>
          <t>NORDESTE</t>
        </is>
      </c>
      <c r="F431" t="inlineStr">
        <is>
          <t>Cliente A - Refrigerador</t>
        </is>
      </c>
      <c r="G431" t="inlineStr">
        <is>
          <t>Refrigeradores</t>
        </is>
      </c>
      <c r="H431" s="10" t="n">
        <v>315</v>
      </c>
      <c r="I431" s="10">
        <f>IFERROR(T431*H431,0)</f>
        <v/>
      </c>
      <c r="J431" s="11" t="n">
        <v>45979</v>
      </c>
      <c r="K431" s="11" t="n">
        <v>46014</v>
      </c>
      <c r="L431" t="inlineStr">
        <is>
          <t>Ok. Devolvida</t>
        </is>
      </c>
      <c r="M431">
        <f>IF(L431="","",IFERROR(VLOOKUP(L431,mapGrupoStatus,2,0),"Outros"))</f>
        <v/>
      </c>
      <c r="N431">
        <f>IF(O431="","",IF(O431&lt;=30,"0-30 dias",IF(O431&lt;=60,"31-60 dias",IF(O431&lt;=90,"61-90 dias","Mais de 90 dias"))))</f>
        <v/>
      </c>
      <c r="O431">
        <f>IF(OR(M431="Pendente",M431="Em andamento"),IF(J431="","",TODAY()-J431),"")</f>
        <v/>
      </c>
      <c r="P431" t="n">
        <v>10562</v>
      </c>
      <c r="Q431" t="inlineStr">
        <is>
          <t>Clima &amp; Cia (10562)</t>
        </is>
      </c>
      <c r="R431" t="inlineStr">
        <is>
          <t>PC-0002</t>
        </is>
      </c>
      <c r="S431" t="inlineStr">
        <is>
          <t>Compressor modelo 02</t>
        </is>
      </c>
      <c r="T431" t="n">
        <v>1</v>
      </c>
      <c r="U431" t="n">
        <v>103</v>
      </c>
      <c r="V431">
        <f>IF(J431="","",MONTH(J431))</f>
        <v/>
      </c>
      <c r="W431">
        <f>IF(J431="","",YEAR(J431))</f>
        <v/>
      </c>
      <c r="X431" t="inlineStr">
        <is>
          <t>EntregaJá</t>
        </is>
      </c>
      <c r="Y431">
        <f>IFERROR(INDEX(Rastreio!$H$2:$H$200,MATCH(X431&amp;"|"&amp;U431,Rastreio!$A$2:$A$200,0)),"")</f>
        <v/>
      </c>
    </row>
    <row r="432">
      <c r="A432">
        <f>IFERROR(INDEX(STAs!$G$2:$G$61,MATCH(P432,STAs!$F$2:$F$61,0))&amp;"","")</f>
        <v/>
      </c>
      <c r="B432" t="n">
        <v>20012187</v>
      </c>
      <c r="C432" t="inlineStr">
        <is>
          <t>Não</t>
        </is>
      </c>
      <c r="D432" t="inlineStr">
        <is>
          <t>SP</t>
        </is>
      </c>
      <c r="E432" t="inlineStr">
        <is>
          <t>SUDESTE SP</t>
        </is>
      </c>
      <c r="F432" t="inlineStr">
        <is>
          <t>Cliente B - Chopeira</t>
        </is>
      </c>
      <c r="G432" t="inlineStr">
        <is>
          <t>Chopeiras</t>
        </is>
      </c>
      <c r="H432" s="10" t="n">
        <v>120</v>
      </c>
      <c r="I432" s="10">
        <f>IFERROR(T432*H432,0)</f>
        <v/>
      </c>
      <c r="J432" s="11" t="n">
        <v>45979</v>
      </c>
      <c r="K432" s="11" t="n"/>
      <c r="L432" t="inlineStr">
        <is>
          <t>Em transporte</t>
        </is>
      </c>
      <c r="M432">
        <f>IF(L432="","",IFERROR(VLOOKUP(L432,mapGrupoStatus,2,0),"Outros"))</f>
        <v/>
      </c>
      <c r="N432">
        <f>IF(O432="","",IF(O432&lt;=30,"0-30 dias",IF(O432&lt;=60,"31-60 dias",IF(O432&lt;=90,"61-90 dias","Mais de 90 dias"))))</f>
        <v/>
      </c>
      <c r="O432">
        <f>IF(OR(M432="Pendente",M432="Em andamento"),IF(J432="","",TODAY()-J432),"")</f>
        <v/>
      </c>
      <c r="P432" t="n">
        <v>12052</v>
      </c>
      <c r="Q432" t="inlineStr">
        <is>
          <t>Brisa Refrigeração (12052)</t>
        </is>
      </c>
      <c r="R432" t="inlineStr">
        <is>
          <t>PC-0032</t>
        </is>
      </c>
      <c r="S432" t="inlineStr">
        <is>
          <t>Regulador de pressão modelo 01</t>
        </is>
      </c>
      <c r="T432" t="n">
        <v>1</v>
      </c>
      <c r="U432" t="n">
        <v>125</v>
      </c>
      <c r="V432">
        <f>IF(J432="","",MONTH(J432))</f>
        <v/>
      </c>
      <c r="W432">
        <f>IF(J432="","",YEAR(J432))</f>
        <v/>
      </c>
      <c r="X432" t="inlineStr">
        <is>
          <t>ViaCargo</t>
        </is>
      </c>
      <c r="Y432">
        <f>IFERROR(INDEX(Rastreio!$H$2:$H$200,MATCH(X432&amp;"|"&amp;U432,Rastreio!$A$2:$A$200,0)),"")</f>
        <v/>
      </c>
    </row>
    <row r="433">
      <c r="A433">
        <f>IFERROR(INDEX(STAs!$G$2:$G$61,MATCH(P433,STAs!$F$2:$F$61,0))&amp;"","")</f>
        <v/>
      </c>
      <c r="B433" t="n">
        <v>20014811</v>
      </c>
      <c r="C433" t="inlineStr">
        <is>
          <t>Não</t>
        </is>
      </c>
      <c r="D433" t="inlineStr">
        <is>
          <t>MS</t>
        </is>
      </c>
      <c r="E433" t="inlineStr">
        <is>
          <t>CENTRO OESTE</t>
        </is>
      </c>
      <c r="F433" t="inlineStr">
        <is>
          <t>Cliente B - Chopeira</t>
        </is>
      </c>
      <c r="G433" t="inlineStr">
        <is>
          <t>Refrigeradores</t>
        </is>
      </c>
      <c r="H433" s="10" t="n">
        <v>65</v>
      </c>
      <c r="I433" s="10">
        <f>IFERROR(T433*H433,0)</f>
        <v/>
      </c>
      <c r="J433" s="11" t="n">
        <v>45979</v>
      </c>
      <c r="K433" s="11" t="n"/>
      <c r="L433" t="inlineStr">
        <is>
          <t>Aguardando devolução</t>
        </is>
      </c>
      <c r="M433">
        <f>IF(L433="","",IFERROR(VLOOKUP(L433,mapGrupoStatus,2,0),"Outros"))</f>
        <v/>
      </c>
      <c r="N433">
        <f>IF(O433="","",IF(O433&lt;=30,"0-30 dias",IF(O433&lt;=60,"31-60 dias",IF(O433&lt;=90,"61-90 dias","Mais de 90 dias"))))</f>
        <v/>
      </c>
      <c r="O433">
        <f>IF(OR(M433="Pendente",M433="Em andamento"),IF(J433="","",TODAY()-J433),"")</f>
        <v/>
      </c>
      <c r="P433" t="n">
        <v>10302</v>
      </c>
      <c r="Q433" t="inlineStr">
        <is>
          <t>Ice Tech Express (10302)</t>
        </is>
      </c>
      <c r="R433" t="inlineStr">
        <is>
          <t>PC-0010</t>
        </is>
      </c>
      <c r="S433" t="inlineStr">
        <is>
          <t>Ventilador modelo 04</t>
        </is>
      </c>
      <c r="T433" t="n">
        <v>1</v>
      </c>
      <c r="U433" t="inlineStr"/>
      <c r="V433">
        <f>IF(J433="","",MONTH(J433))</f>
        <v/>
      </c>
      <c r="W433">
        <f>IF(J433="","",YEAR(J433))</f>
        <v/>
      </c>
      <c r="X433" t="inlineStr"/>
      <c r="Y433">
        <f>IFERROR(INDEX(Rastreio!$H$2:$H$200,MATCH(X433&amp;"|"&amp;U433,Rastreio!$A$2:$A$200,0)),"")</f>
        <v/>
      </c>
    </row>
    <row r="434">
      <c r="A434">
        <f>IFERROR(INDEX(STAs!$G$2:$G$61,MATCH(P434,STAs!$F$2:$F$61,0))&amp;"","")</f>
        <v/>
      </c>
      <c r="B434" t="n">
        <v>20019062</v>
      </c>
      <c r="C434" t="inlineStr">
        <is>
          <t>Não</t>
        </is>
      </c>
      <c r="D434" t="inlineStr">
        <is>
          <t>DF</t>
        </is>
      </c>
      <c r="E434" t="inlineStr">
        <is>
          <t>CENTRO OESTE</t>
        </is>
      </c>
      <c r="F434" t="inlineStr">
        <is>
          <t>Cliente B - Chopeira</t>
        </is>
      </c>
      <c r="G434" t="inlineStr">
        <is>
          <t>Refrigeradores</t>
        </is>
      </c>
      <c r="H434" s="10" t="n">
        <v>55</v>
      </c>
      <c r="I434" s="10">
        <f>IFERROR(T434*H434,0)</f>
        <v/>
      </c>
      <c r="J434" s="11" t="n">
        <v>45979</v>
      </c>
      <c r="K434" s="11" t="n"/>
      <c r="L434" t="inlineStr">
        <is>
          <t>Aguardando Transporte</t>
        </is>
      </c>
      <c r="M434">
        <f>IF(L434="","",IFERROR(VLOOKUP(L434,mapGrupoStatus,2,0),"Outros"))</f>
        <v/>
      </c>
      <c r="N434">
        <f>IF(O434="","",IF(O434&lt;=30,"0-30 dias",IF(O434&lt;=60,"31-60 dias",IF(O434&lt;=90,"61-90 dias","Mais de 90 dias"))))</f>
        <v/>
      </c>
      <c r="O434">
        <f>IF(OR(M434="Pendente",M434="Em andamento"),IF(J434="","",TODAY()-J434),"")</f>
        <v/>
      </c>
      <c r="P434" t="n">
        <v>10021</v>
      </c>
      <c r="Q434" t="inlineStr">
        <is>
          <t>Termotec Técnica (10021)</t>
        </is>
      </c>
      <c r="R434" t="inlineStr">
        <is>
          <t>PC-0008</t>
        </is>
      </c>
      <c r="S434" t="inlineStr">
        <is>
          <t>Ventilador modelo 02</t>
        </is>
      </c>
      <c r="T434" t="n">
        <v>1</v>
      </c>
      <c r="U434" t="n">
        <v>126</v>
      </c>
      <c r="V434">
        <f>IF(J434="","",MONTH(J434))</f>
        <v/>
      </c>
      <c r="W434">
        <f>IF(J434="","",YEAR(J434))</f>
        <v/>
      </c>
      <c r="X434" t="inlineStr">
        <is>
          <t>RotaSul</t>
        </is>
      </c>
      <c r="Y434">
        <f>IFERROR(INDEX(Rastreio!$H$2:$H$200,MATCH(X434&amp;"|"&amp;U434,Rastreio!$A$2:$A$200,0)),"")</f>
        <v/>
      </c>
    </row>
    <row r="435">
      <c r="A435">
        <f>IFERROR(INDEX(STAs!$G$2:$G$61,MATCH(P435,STAs!$F$2:$F$61,0))&amp;"","")</f>
        <v/>
      </c>
      <c r="B435" t="n">
        <v>20024463</v>
      </c>
      <c r="C435" t="inlineStr">
        <is>
          <t>Não</t>
        </is>
      </c>
      <c r="D435" t="inlineStr">
        <is>
          <t>AM</t>
        </is>
      </c>
      <c r="E435" t="inlineStr">
        <is>
          <t>NORTE</t>
        </is>
      </c>
      <c r="F435" t="inlineStr">
        <is>
          <t>Cliente C - Misturador</t>
        </is>
      </c>
      <c r="G435" t="inlineStr">
        <is>
          <t>Refrigeradores</t>
        </is>
      </c>
      <c r="H435" s="10" t="n">
        <v>185</v>
      </c>
      <c r="I435" s="10">
        <f>IFERROR(T435*H435,0)</f>
        <v/>
      </c>
      <c r="J435" s="11" t="n">
        <v>45979</v>
      </c>
      <c r="K435" s="11" t="n"/>
      <c r="L435" t="inlineStr">
        <is>
          <t>Não Devolve-Norte</t>
        </is>
      </c>
      <c r="M435">
        <f>IF(L435="","",IFERROR(VLOOKUP(L435,mapGrupoStatus,2,0),"Outros"))</f>
        <v/>
      </c>
      <c r="N435">
        <f>IF(O435="","",IF(O435&lt;=30,"0-30 dias",IF(O435&lt;=60,"31-60 dias",IF(O435&lt;=90,"61-90 dias","Mais de 90 dias"))))</f>
        <v/>
      </c>
      <c r="O435">
        <f>IF(OR(M435="Pendente",M435="Em andamento"),IF(J435="","",TODAY()-J435),"")</f>
        <v/>
      </c>
      <c r="P435" t="n">
        <v>12269</v>
      </c>
      <c r="Q435" t="inlineStr">
        <is>
          <t>Polar Técnica (12269)</t>
        </is>
      </c>
      <c r="R435" t="inlineStr">
        <is>
          <t>PC-0013</t>
        </is>
      </c>
      <c r="S435" t="inlineStr">
        <is>
          <t>Placa eletrônica modelo 03</t>
        </is>
      </c>
      <c r="T435" t="n">
        <v>1</v>
      </c>
      <c r="U435" t="inlineStr"/>
      <c r="V435">
        <f>IF(J435="","",MONTH(J435))</f>
        <v/>
      </c>
      <c r="W435">
        <f>IF(J435="","",YEAR(J435))</f>
        <v/>
      </c>
      <c r="X435" t="inlineStr"/>
      <c r="Y435">
        <f>IFERROR(INDEX(Rastreio!$H$2:$H$200,MATCH(X435&amp;"|"&amp;U435,Rastreio!$A$2:$A$200,0)),"")</f>
        <v/>
      </c>
    </row>
    <row r="436">
      <c r="A436">
        <f>IFERROR(INDEX(STAs!$G$2:$G$61,MATCH(P436,STAs!$F$2:$F$61,0))&amp;"","")</f>
        <v/>
      </c>
      <c r="B436" t="n">
        <v>20037037</v>
      </c>
      <c r="C436" t="inlineStr">
        <is>
          <t>Não</t>
        </is>
      </c>
      <c r="D436" t="inlineStr">
        <is>
          <t>SP</t>
        </is>
      </c>
      <c r="E436" t="inlineStr">
        <is>
          <t>SUDESTE SP</t>
        </is>
      </c>
      <c r="F436" t="inlineStr">
        <is>
          <t>Cliente A - Refrigerador</t>
        </is>
      </c>
      <c r="G436" t="inlineStr">
        <is>
          <t>Refrigeradores</t>
        </is>
      </c>
      <c r="H436" s="10" t="n">
        <v>25</v>
      </c>
      <c r="I436" s="10">
        <f>IFERROR(T436*H436,0)</f>
        <v/>
      </c>
      <c r="J436" s="11" t="n">
        <v>45979</v>
      </c>
      <c r="K436" s="11" t="n"/>
      <c r="L436" t="inlineStr">
        <is>
          <t>Debitar do STA</t>
        </is>
      </c>
      <c r="M436">
        <f>IF(L436="","",IFERROR(VLOOKUP(L436,mapGrupoStatus,2,0),"Outros"))</f>
        <v/>
      </c>
      <c r="N436">
        <f>IF(O436="","",IF(O436&lt;=30,"0-30 dias",IF(O436&lt;=60,"31-60 dias",IF(O436&lt;=90,"61-90 dias","Mais de 90 dias"))))</f>
        <v/>
      </c>
      <c r="O436">
        <f>IF(OR(M436="Pendente",M436="Em andamento"),IF(J436="","",TODAY()-J436),"")</f>
        <v/>
      </c>
      <c r="P436" t="n">
        <v>10111</v>
      </c>
      <c r="Q436" t="inlineStr">
        <is>
          <t>Refrigel Manutenção (10111)</t>
        </is>
      </c>
      <c r="R436" t="inlineStr">
        <is>
          <t>PC-0015</t>
        </is>
      </c>
      <c r="S436" t="inlineStr">
        <is>
          <t>Filtro secador modelo 01</t>
        </is>
      </c>
      <c r="T436" t="n">
        <v>1</v>
      </c>
      <c r="U436" t="inlineStr"/>
      <c r="V436">
        <f>IF(J436="","",MONTH(J436))</f>
        <v/>
      </c>
      <c r="W436">
        <f>IF(J436="","",YEAR(J436))</f>
        <v/>
      </c>
      <c r="X436" t="inlineStr"/>
      <c r="Y436">
        <f>IFERROR(INDEX(Rastreio!$H$2:$H$200,MATCH(X436&amp;"|"&amp;U436,Rastreio!$A$2:$A$200,0)),"")</f>
        <v/>
      </c>
    </row>
    <row r="437">
      <c r="A437">
        <f>IFERROR(INDEX(STAs!$G$2:$G$61,MATCH(P437,STAs!$F$2:$F$61,0))&amp;"","")</f>
        <v/>
      </c>
      <c r="B437" t="n">
        <v>20022393</v>
      </c>
      <c r="C437" t="inlineStr">
        <is>
          <t>Não</t>
        </is>
      </c>
      <c r="D437" t="inlineStr">
        <is>
          <t>PR</t>
        </is>
      </c>
      <c r="E437" t="inlineStr">
        <is>
          <t>SUL</t>
        </is>
      </c>
      <c r="F437" t="inlineStr">
        <is>
          <t>Cliente B - Chopeira</t>
        </is>
      </c>
      <c r="G437" t="inlineStr">
        <is>
          <t>Misturadores</t>
        </is>
      </c>
      <c r="H437" s="10" t="n">
        <v>60</v>
      </c>
      <c r="I437" s="10">
        <f>IFERROR(T437*H437,0)</f>
        <v/>
      </c>
      <c r="J437" s="11" t="n">
        <v>45980</v>
      </c>
      <c r="K437" s="11" t="n"/>
      <c r="L437" t="inlineStr">
        <is>
          <t>Aguardando devolução</t>
        </is>
      </c>
      <c r="M437">
        <f>IF(L437="","",IFERROR(VLOOKUP(L437,mapGrupoStatus,2,0),"Outros"))</f>
        <v/>
      </c>
      <c r="N437">
        <f>IF(O437="","",IF(O437&lt;=30,"0-30 dias",IF(O437&lt;=60,"31-60 dias",IF(O437&lt;=90,"61-90 dias","Mais de 90 dias"))))</f>
        <v/>
      </c>
      <c r="O437">
        <f>IF(OR(M437="Pendente",M437="Em andamento"),IF(J437="","",TODAY()-J437),"")</f>
        <v/>
      </c>
      <c r="P437" t="n">
        <v>11898</v>
      </c>
      <c r="Q437" t="inlineStr">
        <is>
          <t>Refrigel Express (11898)</t>
        </is>
      </c>
      <c r="R437" t="inlineStr">
        <is>
          <t>PC-0048</t>
        </is>
      </c>
      <c r="S437" t="inlineStr">
        <is>
          <t>Sensor de nível modelo 04</t>
        </is>
      </c>
      <c r="T437" t="n">
        <v>1</v>
      </c>
      <c r="U437" t="inlineStr"/>
      <c r="V437">
        <f>IF(J437="","",MONTH(J437))</f>
        <v/>
      </c>
      <c r="W437">
        <f>IF(J437="","",YEAR(J437))</f>
        <v/>
      </c>
      <c r="X437" t="inlineStr"/>
      <c r="Y437">
        <f>IFERROR(INDEX(Rastreio!$H$2:$H$200,MATCH(X437&amp;"|"&amp;U437,Rastreio!$A$2:$A$200,0)),"")</f>
        <v/>
      </c>
    </row>
    <row r="438">
      <c r="A438">
        <f>IFERROR(INDEX(STAs!$G$2:$G$61,MATCH(P438,STAs!$F$2:$F$61,0))&amp;"","")</f>
        <v/>
      </c>
      <c r="B438" t="n">
        <v>20024048</v>
      </c>
      <c r="C438" t="inlineStr">
        <is>
          <t>Não</t>
        </is>
      </c>
      <c r="D438" t="inlineStr">
        <is>
          <t>SP</t>
        </is>
      </c>
      <c r="E438" t="inlineStr">
        <is>
          <t>SUDESTE SP</t>
        </is>
      </c>
      <c r="F438" t="inlineStr">
        <is>
          <t>Cliente B - Chopeira</t>
        </is>
      </c>
      <c r="G438" t="inlineStr">
        <is>
          <t>Chopeiras</t>
        </is>
      </c>
      <c r="H438" s="10" t="n">
        <v>120</v>
      </c>
      <c r="I438" s="10">
        <f>IFERROR(T438*H438,0)</f>
        <v/>
      </c>
      <c r="J438" s="11" t="n">
        <v>45980</v>
      </c>
      <c r="K438" s="11" t="n"/>
      <c r="L438" t="inlineStr">
        <is>
          <t>Aguardando devolução</t>
        </is>
      </c>
      <c r="M438">
        <f>IF(L438="","",IFERROR(VLOOKUP(L438,mapGrupoStatus,2,0),"Outros"))</f>
        <v/>
      </c>
      <c r="N438">
        <f>IF(O438="","",IF(O438&lt;=30,"0-30 dias",IF(O438&lt;=60,"31-60 dias",IF(O438&lt;=90,"61-90 dias","Mais de 90 dias"))))</f>
        <v/>
      </c>
      <c r="O438">
        <f>IF(OR(M438="Pendente",M438="Em andamento"),IF(J438="","",TODAY()-J438),"")</f>
        <v/>
      </c>
      <c r="P438" t="n">
        <v>12901</v>
      </c>
      <c r="Q438" t="inlineStr">
        <is>
          <t>Frio Serviços (12901)</t>
        </is>
      </c>
      <c r="R438" t="inlineStr">
        <is>
          <t>PC-0032</t>
        </is>
      </c>
      <c r="S438" t="inlineStr">
        <is>
          <t>Regulador de pressão modelo 01</t>
        </is>
      </c>
      <c r="T438" t="n">
        <v>1</v>
      </c>
      <c r="U438" t="inlineStr"/>
      <c r="V438">
        <f>IF(J438="","",MONTH(J438))</f>
        <v/>
      </c>
      <c r="W438">
        <f>IF(J438="","",YEAR(J438))</f>
        <v/>
      </c>
      <c r="X438" t="inlineStr"/>
      <c r="Y438">
        <f>IFERROR(INDEX(Rastreio!$H$2:$H$200,MATCH(X438&amp;"|"&amp;U438,Rastreio!$A$2:$A$200,0)),"")</f>
        <v/>
      </c>
    </row>
    <row r="439">
      <c r="A439">
        <f>IFERROR(INDEX(STAs!$G$2:$G$61,MATCH(P439,STAs!$F$2:$F$61,0))&amp;"","")</f>
        <v/>
      </c>
      <c r="B439" t="n">
        <v>20034382</v>
      </c>
      <c r="C439" t="inlineStr">
        <is>
          <t>Não</t>
        </is>
      </c>
      <c r="D439" t="inlineStr">
        <is>
          <t>SP</t>
        </is>
      </c>
      <c r="E439" t="inlineStr">
        <is>
          <t>SUDESTE SP</t>
        </is>
      </c>
      <c r="F439" t="inlineStr">
        <is>
          <t>Cliente A - Refrigerador</t>
        </is>
      </c>
      <c r="G439" t="inlineStr">
        <is>
          <t>Refrigeradores</t>
        </is>
      </c>
      <c r="H439" s="10" t="n">
        <v>35</v>
      </c>
      <c r="I439" s="10">
        <f>IFERROR(T439*H439,0)</f>
        <v/>
      </c>
      <c r="J439" s="11" t="n">
        <v>45980</v>
      </c>
      <c r="K439" s="11" t="n"/>
      <c r="L439" t="inlineStr">
        <is>
          <t>Em andamento</t>
        </is>
      </c>
      <c r="M439">
        <f>IF(L439="","",IFERROR(VLOOKUP(L439,mapGrupoStatus,2,0),"Outros"))</f>
        <v/>
      </c>
      <c r="N439">
        <f>IF(O439="","",IF(O439&lt;=30,"0-30 dias",IF(O439&lt;=60,"31-60 dias",IF(O439&lt;=90,"61-90 dias","Mais de 90 dias"))))</f>
        <v/>
      </c>
      <c r="O439">
        <f>IF(OR(M439="Pendente",M439="Em andamento"),IF(J439="","",TODAY()-J439),"")</f>
        <v/>
      </c>
      <c r="P439" t="n">
        <v>10111</v>
      </c>
      <c r="Q439" t="inlineStr">
        <is>
          <t>Refrigel Manutenção (10111)</t>
        </is>
      </c>
      <c r="R439" t="inlineStr">
        <is>
          <t>PC-0016</t>
        </is>
      </c>
      <c r="S439" t="inlineStr">
        <is>
          <t>Filtro secador modelo 02</t>
        </is>
      </c>
      <c r="T439" t="n">
        <v>2</v>
      </c>
      <c r="U439" t="n">
        <v>154</v>
      </c>
      <c r="V439">
        <f>IF(J439="","",MONTH(J439))</f>
        <v/>
      </c>
      <c r="W439">
        <f>IF(J439="","",YEAR(J439))</f>
        <v/>
      </c>
      <c r="X439" t="inlineStr">
        <is>
          <t>ViaCargo</t>
        </is>
      </c>
      <c r="Y439">
        <f>IFERROR(INDEX(Rastreio!$H$2:$H$200,MATCH(X439&amp;"|"&amp;U439,Rastreio!$A$2:$A$200,0)),"")</f>
        <v/>
      </c>
    </row>
    <row r="440">
      <c r="A440">
        <f>IFERROR(INDEX(STAs!$G$2:$G$61,MATCH(P440,STAs!$F$2:$F$61,0))&amp;"","")</f>
        <v/>
      </c>
      <c r="B440" t="n">
        <v>20035821</v>
      </c>
      <c r="C440" t="inlineStr">
        <is>
          <t>Não</t>
        </is>
      </c>
      <c r="D440" t="inlineStr">
        <is>
          <t>BA</t>
        </is>
      </c>
      <c r="E440" t="inlineStr">
        <is>
          <t>NORDESTE</t>
        </is>
      </c>
      <c r="F440" t="inlineStr">
        <is>
          <t>Cliente A - Refrigerador</t>
        </is>
      </c>
      <c r="G440" t="inlineStr">
        <is>
          <t>Misturadores</t>
        </is>
      </c>
      <c r="H440" s="10" t="n">
        <v>50</v>
      </c>
      <c r="I440" s="10">
        <f>IFERROR(T440*H440,0)</f>
        <v/>
      </c>
      <c r="J440" s="11" t="n">
        <v>45980</v>
      </c>
      <c r="K440" s="11" t="n"/>
      <c r="L440" t="inlineStr">
        <is>
          <t>Em andamento</t>
        </is>
      </c>
      <c r="M440">
        <f>IF(L440="","",IFERROR(VLOOKUP(L440,mapGrupoStatus,2,0),"Outros"))</f>
        <v/>
      </c>
      <c r="N440">
        <f>IF(O440="","",IF(O440&lt;=30,"0-30 dias",IF(O440&lt;=60,"31-60 dias",IF(O440&lt;=90,"61-90 dias","Mais de 90 dias"))))</f>
        <v/>
      </c>
      <c r="O440">
        <f>IF(OR(M440="Pendente",M440="Em andamento"),IF(J440="","",TODAY()-J440),"")</f>
        <v/>
      </c>
      <c r="P440" t="n">
        <v>12194</v>
      </c>
      <c r="Q440" t="inlineStr">
        <is>
          <t>Polar &amp; Cia (12194)</t>
        </is>
      </c>
      <c r="R440" t="inlineStr">
        <is>
          <t>PC-0044</t>
        </is>
      </c>
      <c r="S440" t="inlineStr">
        <is>
          <t>Bico dosador modelo 03</t>
        </is>
      </c>
      <c r="T440" t="n">
        <v>1</v>
      </c>
      <c r="U440" t="n">
        <v>162</v>
      </c>
      <c r="V440">
        <f>IF(J440="","",MONTH(J440))</f>
        <v/>
      </c>
      <c r="W440">
        <f>IF(J440="","",YEAR(J440))</f>
        <v/>
      </c>
      <c r="X440" t="inlineStr">
        <is>
          <t>CargoMax</t>
        </is>
      </c>
      <c r="Y440">
        <f>IFERROR(INDEX(Rastreio!$H$2:$H$200,MATCH(X440&amp;"|"&amp;U440,Rastreio!$A$2:$A$200,0)),"")</f>
        <v/>
      </c>
    </row>
    <row r="441">
      <c r="A441">
        <f>IFERROR(INDEX(STAs!$G$2:$G$61,MATCH(P441,STAs!$F$2:$F$61,0))&amp;"","")</f>
        <v/>
      </c>
      <c r="B441" t="n">
        <v>20037706</v>
      </c>
      <c r="C441" t="inlineStr">
        <is>
          <t>Não</t>
        </is>
      </c>
      <c r="D441" t="inlineStr">
        <is>
          <t>GO</t>
        </is>
      </c>
      <c r="E441" t="inlineStr">
        <is>
          <t>CENTRO OESTE</t>
        </is>
      </c>
      <c r="F441" t="inlineStr">
        <is>
          <t>Cliente A - Refrigerador</t>
        </is>
      </c>
      <c r="G441" t="inlineStr">
        <is>
          <t>Refrigeradores</t>
        </is>
      </c>
      <c r="H441" s="10" t="n">
        <v>25</v>
      </c>
      <c r="I441" s="10">
        <f>IFERROR(T441*H441,0)</f>
        <v/>
      </c>
      <c r="J441" s="11" t="n">
        <v>45980</v>
      </c>
      <c r="K441" s="11" t="n"/>
      <c r="L441" t="inlineStr">
        <is>
          <t>Aguardando devolução</t>
        </is>
      </c>
      <c r="M441">
        <f>IF(L441="","",IFERROR(VLOOKUP(L441,mapGrupoStatus,2,0),"Outros"))</f>
        <v/>
      </c>
      <c r="N441">
        <f>IF(O441="","",IF(O441&lt;=30,"0-30 dias",IF(O441&lt;=60,"31-60 dias",IF(O441&lt;=90,"61-90 dias","Mais de 90 dias"))))</f>
        <v/>
      </c>
      <c r="O441">
        <f>IF(OR(M441="Pendente",M441="Em andamento"),IF(J441="","",TODAY()-J441),"")</f>
        <v/>
      </c>
      <c r="P441" t="n">
        <v>10317</v>
      </c>
      <c r="Q441" t="inlineStr">
        <is>
          <t>Termotec Manutenção (10317)</t>
        </is>
      </c>
      <c r="R441" t="inlineStr">
        <is>
          <t>PC-0015</t>
        </is>
      </c>
      <c r="S441" t="inlineStr">
        <is>
          <t>Filtro secador modelo 01</t>
        </is>
      </c>
      <c r="T441" t="n">
        <v>1</v>
      </c>
      <c r="U441" t="inlineStr"/>
      <c r="V441">
        <f>IF(J441="","",MONTH(J441))</f>
        <v/>
      </c>
      <c r="W441">
        <f>IF(J441="","",YEAR(J441))</f>
        <v/>
      </c>
      <c r="X441" t="inlineStr"/>
      <c r="Y441">
        <f>IFERROR(INDEX(Rastreio!$H$2:$H$200,MATCH(X441&amp;"|"&amp;U441,Rastreio!$A$2:$A$200,0)),"")</f>
        <v/>
      </c>
    </row>
    <row r="442">
      <c r="A442">
        <f>IFERROR(INDEX(STAs!$G$2:$G$61,MATCH(P442,STAs!$F$2:$F$61,0))&amp;"","")</f>
        <v/>
      </c>
      <c r="B442" t="n">
        <v>20039071</v>
      </c>
      <c r="C442" t="inlineStr">
        <is>
          <t>Não</t>
        </is>
      </c>
      <c r="D442" t="inlineStr">
        <is>
          <t>PR</t>
        </is>
      </c>
      <c r="E442" t="inlineStr">
        <is>
          <t>SUL</t>
        </is>
      </c>
      <c r="F442" t="inlineStr">
        <is>
          <t>Cliente A - Refrigerador</t>
        </is>
      </c>
      <c r="G442" t="inlineStr">
        <is>
          <t>Refrigeradores</t>
        </is>
      </c>
      <c r="H442" s="10" t="n">
        <v>40</v>
      </c>
      <c r="I442" s="10">
        <f>IFERROR(T442*H442,0)</f>
        <v/>
      </c>
      <c r="J442" s="11" t="n">
        <v>45980</v>
      </c>
      <c r="K442" s="11" t="n"/>
      <c r="L442" t="inlineStr">
        <is>
          <t>Aguardando devolução</t>
        </is>
      </c>
      <c r="M442">
        <f>IF(L442="","",IFERROR(VLOOKUP(L442,mapGrupoStatus,2,0),"Outros"))</f>
        <v/>
      </c>
      <c r="N442">
        <f>IF(O442="","",IF(O442&lt;=30,"0-30 dias",IF(O442&lt;=60,"31-60 dias",IF(O442&lt;=90,"61-90 dias","Mais de 90 dias"))))</f>
        <v/>
      </c>
      <c r="O442">
        <f>IF(OR(M442="Pendente",M442="Em andamento"),IF(J442="","",TODAY()-J442),"")</f>
        <v/>
      </c>
      <c r="P442" t="n">
        <v>10504</v>
      </c>
      <c r="Q442" t="inlineStr">
        <is>
          <t>Zero Grau Ltda (10504)</t>
        </is>
      </c>
      <c r="R442" t="inlineStr">
        <is>
          <t>PC-0004</t>
        </is>
      </c>
      <c r="S442" t="inlineStr">
        <is>
          <t>Termostato modelo 01</t>
        </is>
      </c>
      <c r="T442" t="n">
        <v>2</v>
      </c>
      <c r="U442" t="inlineStr"/>
      <c r="V442">
        <f>IF(J442="","",MONTH(J442))</f>
        <v/>
      </c>
      <c r="W442">
        <f>IF(J442="","",YEAR(J442))</f>
        <v/>
      </c>
      <c r="X442" t="inlineStr"/>
      <c r="Y442">
        <f>IFERROR(INDEX(Rastreio!$H$2:$H$200,MATCH(X442&amp;"|"&amp;U442,Rastreio!$A$2:$A$200,0)),"")</f>
        <v/>
      </c>
    </row>
    <row r="443">
      <c r="A443">
        <f>IFERROR(INDEX(STAs!$G$2:$G$61,MATCH(P443,STAs!$F$2:$F$61,0))&amp;"","")</f>
        <v/>
      </c>
      <c r="B443" t="n">
        <v>20013155</v>
      </c>
      <c r="C443" t="inlineStr">
        <is>
          <t>Não</t>
        </is>
      </c>
      <c r="D443" t="inlineStr">
        <is>
          <t>MS</t>
        </is>
      </c>
      <c r="E443" t="inlineStr">
        <is>
          <t>CENTRO OESTE</t>
        </is>
      </c>
      <c r="F443" t="inlineStr">
        <is>
          <t>Cliente A - Refrigerador</t>
        </is>
      </c>
      <c r="G443" t="inlineStr">
        <is>
          <t>Refrigeradores</t>
        </is>
      </c>
      <c r="H443" s="10" t="n">
        <v>65</v>
      </c>
      <c r="I443" s="10">
        <f>IFERROR(T443*H443,0)</f>
        <v/>
      </c>
      <c r="J443" s="11" t="n">
        <v>45981</v>
      </c>
      <c r="K443" s="11" t="n">
        <v>46021</v>
      </c>
      <c r="L443" t="inlineStr">
        <is>
          <t>Ok. Devolvida</t>
        </is>
      </c>
      <c r="M443">
        <f>IF(L443="","",IFERROR(VLOOKUP(L443,mapGrupoStatus,2,0),"Outros"))</f>
        <v/>
      </c>
      <c r="N443">
        <f>IF(O443="","",IF(O443&lt;=30,"0-30 dias",IF(O443&lt;=60,"31-60 dias",IF(O443&lt;=90,"61-90 dias","Mais de 90 dias"))))</f>
        <v/>
      </c>
      <c r="O443">
        <f>IF(OR(M443="Pendente",M443="Em andamento"),IF(J443="","",TODAY()-J443),"")</f>
        <v/>
      </c>
      <c r="P443" t="n">
        <v>12280</v>
      </c>
      <c r="Q443" t="inlineStr">
        <is>
          <t>Termotec &amp; Cia (12280)</t>
        </is>
      </c>
      <c r="R443" t="inlineStr">
        <is>
          <t>PC-0010</t>
        </is>
      </c>
      <c r="S443" t="inlineStr">
        <is>
          <t>Ventilador modelo 04</t>
        </is>
      </c>
      <c r="T443" t="n">
        <v>1</v>
      </c>
      <c r="U443" t="n">
        <v>125</v>
      </c>
      <c r="V443">
        <f>IF(J443="","",MONTH(J443))</f>
        <v/>
      </c>
      <c r="W443">
        <f>IF(J443="","",YEAR(J443))</f>
        <v/>
      </c>
      <c r="X443" t="inlineStr">
        <is>
          <t>CargoMax</t>
        </is>
      </c>
      <c r="Y443">
        <f>IFERROR(INDEX(Rastreio!$H$2:$H$200,MATCH(X443&amp;"|"&amp;U443,Rastreio!$A$2:$A$200,0)),"")</f>
        <v/>
      </c>
    </row>
    <row r="444">
      <c r="A444">
        <f>IFERROR(INDEX(STAs!$G$2:$G$61,MATCH(P444,STAs!$F$2:$F$61,0))&amp;"","")</f>
        <v/>
      </c>
      <c r="B444" t="n">
        <v>20015844</v>
      </c>
      <c r="C444" t="inlineStr">
        <is>
          <t>Não</t>
        </is>
      </c>
      <c r="D444" t="inlineStr">
        <is>
          <t>RJ</t>
        </is>
      </c>
      <c r="E444" t="inlineStr">
        <is>
          <t>SUDESTE RJ e ES</t>
        </is>
      </c>
      <c r="F444" t="inlineStr">
        <is>
          <t>Cliente C - Misturador</t>
        </is>
      </c>
      <c r="G444" t="inlineStr">
        <is>
          <t>Refrigeradores</t>
        </is>
      </c>
      <c r="H444" s="10" t="n">
        <v>45</v>
      </c>
      <c r="I444" s="10">
        <f>IFERROR(T444*H444,0)</f>
        <v/>
      </c>
      <c r="J444" s="11" t="n">
        <v>45981</v>
      </c>
      <c r="K444" s="11" t="n"/>
      <c r="L444" t="inlineStr">
        <is>
          <t>Aguardando devolução</t>
        </is>
      </c>
      <c r="M444">
        <f>IF(L444="","",IFERROR(VLOOKUP(L444,mapGrupoStatus,2,0),"Outros"))</f>
        <v/>
      </c>
      <c r="N444">
        <f>IF(O444="","",IF(O444&lt;=30,"0-30 dias",IF(O444&lt;=60,"31-60 dias",IF(O444&lt;=90,"61-90 dias","Mais de 90 dias"))))</f>
        <v/>
      </c>
      <c r="O444">
        <f>IF(OR(M444="Pendente",M444="Em andamento"),IF(J444="","",TODAY()-J444),"")</f>
        <v/>
      </c>
      <c r="P444" t="n">
        <v>10676</v>
      </c>
      <c r="Q444" t="inlineStr">
        <is>
          <t>Clima Serviços (10676)</t>
        </is>
      </c>
      <c r="R444" t="inlineStr">
        <is>
          <t>PC-0019</t>
        </is>
      </c>
      <c r="S444" t="inlineStr">
        <is>
          <t>Gaxeta da porta modelo 02</t>
        </is>
      </c>
      <c r="T444" t="n">
        <v>3</v>
      </c>
      <c r="U444" t="inlineStr"/>
      <c r="V444">
        <f>IF(J444="","",MONTH(J444))</f>
        <v/>
      </c>
      <c r="W444">
        <f>IF(J444="","",YEAR(J444))</f>
        <v/>
      </c>
      <c r="X444" t="inlineStr"/>
      <c r="Y444">
        <f>IFERROR(INDEX(Rastreio!$H$2:$H$200,MATCH(X444&amp;"|"&amp;U444,Rastreio!$A$2:$A$200,0)),"")</f>
        <v/>
      </c>
    </row>
    <row r="445">
      <c r="A445">
        <f>IFERROR(INDEX(STAs!$G$2:$G$61,MATCH(P445,STAs!$F$2:$F$61,0))&amp;"","")</f>
        <v/>
      </c>
      <c r="B445" t="n">
        <v>20021390</v>
      </c>
      <c r="C445" t="inlineStr">
        <is>
          <t>Não</t>
        </is>
      </c>
      <c r="D445" t="inlineStr">
        <is>
          <t>ES</t>
        </is>
      </c>
      <c r="E445" t="inlineStr">
        <is>
          <t>SUDESTE RJ e ES</t>
        </is>
      </c>
      <c r="F445" t="inlineStr">
        <is>
          <t>Cliente B - Chopeira</t>
        </is>
      </c>
      <c r="G445" t="inlineStr">
        <is>
          <t>Refrigeradores</t>
        </is>
      </c>
      <c r="H445" s="10" t="n">
        <v>30</v>
      </c>
      <c r="I445" s="10">
        <f>IFERROR(T445*H445,0)</f>
        <v/>
      </c>
      <c r="J445" s="11" t="n">
        <v>45981</v>
      </c>
      <c r="K445" s="11" t="n"/>
      <c r="L445" t="inlineStr">
        <is>
          <t>Debitar do STA</t>
        </is>
      </c>
      <c r="M445">
        <f>IF(L445="","",IFERROR(VLOOKUP(L445,mapGrupoStatus,2,0),"Outros"))</f>
        <v/>
      </c>
      <c r="N445">
        <f>IF(O445="","",IF(O445&lt;=30,"0-30 dias",IF(O445&lt;=60,"31-60 dias",IF(O445&lt;=90,"61-90 dias","Mais de 90 dias"))))</f>
        <v/>
      </c>
      <c r="O445">
        <f>IF(OR(M445="Pendente",M445="Em andamento"),IF(J445="","",TODAY()-J445),"")</f>
        <v/>
      </c>
      <c r="P445" t="n">
        <v>11396</v>
      </c>
      <c r="Q445" t="inlineStr">
        <is>
          <t>Frio Manutenção (11396)</t>
        </is>
      </c>
      <c r="R445" t="inlineStr">
        <is>
          <t>PC-0025</t>
        </is>
      </c>
      <c r="S445" t="inlineStr">
        <is>
          <t>Relé de partida modelo 03</t>
        </is>
      </c>
      <c r="T445" t="n">
        <v>1</v>
      </c>
      <c r="U445" t="inlineStr"/>
      <c r="V445">
        <f>IF(J445="","",MONTH(J445))</f>
        <v/>
      </c>
      <c r="W445">
        <f>IF(J445="","",YEAR(J445))</f>
        <v/>
      </c>
      <c r="X445" t="inlineStr"/>
      <c r="Y445">
        <f>IFERROR(INDEX(Rastreio!$H$2:$H$200,MATCH(X445&amp;"|"&amp;U445,Rastreio!$A$2:$A$200,0)),"")</f>
        <v/>
      </c>
    </row>
    <row r="446">
      <c r="A446">
        <f>IFERROR(INDEX(STAs!$G$2:$G$61,MATCH(P446,STAs!$F$2:$F$61,0))&amp;"","")</f>
        <v/>
      </c>
      <c r="B446" t="n">
        <v>20008152</v>
      </c>
      <c r="C446" t="inlineStr">
        <is>
          <t>Não</t>
        </is>
      </c>
      <c r="D446" t="inlineStr">
        <is>
          <t>MG</t>
        </is>
      </c>
      <c r="E446" t="inlineStr">
        <is>
          <t>SUDESTE MG</t>
        </is>
      </c>
      <c r="F446" t="inlineStr">
        <is>
          <t>Cliente C - Misturador</t>
        </is>
      </c>
      <c r="G446" t="inlineStr">
        <is>
          <t>Refrigeradores</t>
        </is>
      </c>
      <c r="H446" s="10" t="n">
        <v>40</v>
      </c>
      <c r="I446" s="10">
        <f>IFERROR(T446*H446,0)</f>
        <v/>
      </c>
      <c r="J446" s="11" t="n">
        <v>45982</v>
      </c>
      <c r="K446" s="11" t="n">
        <v>46032</v>
      </c>
      <c r="L446" t="inlineStr">
        <is>
          <t>Ok. Devolvida</t>
        </is>
      </c>
      <c r="M446">
        <f>IF(L446="","",IFERROR(VLOOKUP(L446,mapGrupoStatus,2,0),"Outros"))</f>
        <v/>
      </c>
      <c r="N446">
        <f>IF(O446="","",IF(O446&lt;=30,"0-30 dias",IF(O446&lt;=60,"31-60 dias",IF(O446&lt;=90,"61-90 dias","Mais de 90 dias"))))</f>
        <v/>
      </c>
      <c r="O446">
        <f>IF(OR(M446="Pendente",M446="Em andamento"),IF(J446="","",TODAY()-J446),"")</f>
        <v/>
      </c>
      <c r="P446" t="n">
        <v>12470</v>
      </c>
      <c r="Q446" t="inlineStr">
        <is>
          <t>Cool Service Técnica (12470)</t>
        </is>
      </c>
      <c r="R446" t="inlineStr">
        <is>
          <t>PC-0004</t>
        </is>
      </c>
      <c r="S446" t="inlineStr">
        <is>
          <t>Termostato modelo 01</t>
        </is>
      </c>
      <c r="T446" t="n">
        <v>2</v>
      </c>
      <c r="U446" t="n">
        <v>114</v>
      </c>
      <c r="V446">
        <f>IF(J446="","",MONTH(J446))</f>
        <v/>
      </c>
      <c r="W446">
        <f>IF(J446="","",YEAR(J446))</f>
        <v/>
      </c>
      <c r="X446" t="inlineStr">
        <is>
          <t>CargoMax</t>
        </is>
      </c>
      <c r="Y446">
        <f>IFERROR(INDEX(Rastreio!$H$2:$H$200,MATCH(X446&amp;"|"&amp;U446,Rastreio!$A$2:$A$200,0)),"")</f>
        <v/>
      </c>
    </row>
    <row r="447">
      <c r="A447">
        <f>IFERROR(INDEX(STAs!$G$2:$G$61,MATCH(P447,STAs!$F$2:$F$61,0))&amp;"","")</f>
        <v/>
      </c>
      <c r="B447" t="n">
        <v>20013458</v>
      </c>
      <c r="C447" t="inlineStr">
        <is>
          <t>Não</t>
        </is>
      </c>
      <c r="D447" t="inlineStr">
        <is>
          <t>MG</t>
        </is>
      </c>
      <c r="E447" t="inlineStr">
        <is>
          <t>SUDESTE MG</t>
        </is>
      </c>
      <c r="F447" t="inlineStr">
        <is>
          <t>Cliente B - Chopeira</t>
        </is>
      </c>
      <c r="G447" t="inlineStr">
        <is>
          <t>Chopeiras</t>
        </is>
      </c>
      <c r="H447" s="10" t="n">
        <v>115</v>
      </c>
      <c r="I447" s="10">
        <f>IFERROR(T447*H447,0)</f>
        <v/>
      </c>
      <c r="J447" s="11" t="n">
        <v>45982</v>
      </c>
      <c r="K447" s="11" t="n">
        <v>46011</v>
      </c>
      <c r="L447" t="inlineStr">
        <is>
          <t>Ok. Devolvida</t>
        </is>
      </c>
      <c r="M447">
        <f>IF(L447="","",IFERROR(VLOOKUP(L447,mapGrupoStatus,2,0),"Outros"))</f>
        <v/>
      </c>
      <c r="N447">
        <f>IF(O447="","",IF(O447&lt;=30,"0-30 dias",IF(O447&lt;=60,"31-60 dias",IF(O447&lt;=90,"61-90 dias","Mais de 90 dias"))))</f>
        <v/>
      </c>
      <c r="O447">
        <f>IF(OR(M447="Pendente",M447="Em andamento"),IF(J447="","",TODAY()-J447),"")</f>
        <v/>
      </c>
      <c r="P447" t="n">
        <v>12158</v>
      </c>
      <c r="Q447" t="inlineStr">
        <is>
          <t>Gelo Serviços (12158)</t>
        </is>
      </c>
      <c r="R447" t="inlineStr">
        <is>
          <t>PC-0033</t>
        </is>
      </c>
      <c r="S447" t="inlineStr">
        <is>
          <t>Regulador de pressão modelo 02</t>
        </is>
      </c>
      <c r="T447" t="n">
        <v>1</v>
      </c>
      <c r="U447" t="n">
        <v>125</v>
      </c>
      <c r="V447">
        <f>IF(J447="","",MONTH(J447))</f>
        <v/>
      </c>
      <c r="W447">
        <f>IF(J447="","",YEAR(J447))</f>
        <v/>
      </c>
      <c r="X447" t="inlineStr">
        <is>
          <t>LogExpress</t>
        </is>
      </c>
      <c r="Y447">
        <f>IFERROR(INDEX(Rastreio!$H$2:$H$200,MATCH(X447&amp;"|"&amp;U447,Rastreio!$A$2:$A$200,0)),"")</f>
        <v/>
      </c>
    </row>
    <row r="448">
      <c r="A448">
        <f>IFERROR(INDEX(STAs!$G$2:$G$61,MATCH(P448,STAs!$F$2:$F$61,0))&amp;"","")</f>
        <v/>
      </c>
      <c r="B448" t="n">
        <v>20026111</v>
      </c>
      <c r="C448" t="inlineStr">
        <is>
          <t>Não</t>
        </is>
      </c>
      <c r="D448" t="inlineStr">
        <is>
          <t>RJ</t>
        </is>
      </c>
      <c r="E448" t="inlineStr">
        <is>
          <t>SUDESTE RJ e ES</t>
        </is>
      </c>
      <c r="F448" t="inlineStr">
        <is>
          <t>Cliente C - Misturador</t>
        </is>
      </c>
      <c r="G448" t="inlineStr">
        <is>
          <t>Refrigeradores</t>
        </is>
      </c>
      <c r="H448" s="10" t="n">
        <v>155</v>
      </c>
      <c r="I448" s="10">
        <f>IFERROR(T448*H448,0)</f>
        <v/>
      </c>
      <c r="J448" s="11" t="n">
        <v>45982</v>
      </c>
      <c r="K448" s="11" t="n">
        <v>45993</v>
      </c>
      <c r="L448" t="inlineStr">
        <is>
          <t>Ok. Devolvida</t>
        </is>
      </c>
      <c r="M448">
        <f>IF(L448="","",IFERROR(VLOOKUP(L448,mapGrupoStatus,2,0),"Outros"))</f>
        <v/>
      </c>
      <c r="N448">
        <f>IF(O448="","",IF(O448&lt;=30,"0-30 dias",IF(O448&lt;=60,"31-60 dias",IF(O448&lt;=90,"61-90 dias","Mais de 90 dias"))))</f>
        <v/>
      </c>
      <c r="O448">
        <f>IF(OR(M448="Pendente",M448="Em andamento"),IF(J448="","",TODAY()-J448),"")</f>
        <v/>
      </c>
      <c r="P448" t="n">
        <v>12811</v>
      </c>
      <c r="Q448" t="inlineStr">
        <is>
          <t>Norte Frio Técnica (12811)</t>
        </is>
      </c>
      <c r="R448" t="inlineStr">
        <is>
          <t>PC-0021</t>
        </is>
      </c>
      <c r="S448" t="inlineStr">
        <is>
          <t>Controlador digital modelo 01</t>
        </is>
      </c>
      <c r="T448" t="n">
        <v>1</v>
      </c>
      <c r="U448" t="n">
        <v>138</v>
      </c>
      <c r="V448">
        <f>IF(J448="","",MONTH(J448))</f>
        <v/>
      </c>
      <c r="W448">
        <f>IF(J448="","",YEAR(J448))</f>
        <v/>
      </c>
      <c r="X448" t="inlineStr">
        <is>
          <t>EntregaJá</t>
        </is>
      </c>
      <c r="Y448">
        <f>IFERROR(INDEX(Rastreio!$H$2:$H$200,MATCH(X448&amp;"|"&amp;U448,Rastreio!$A$2:$A$200,0)),"")</f>
        <v/>
      </c>
    </row>
    <row r="449">
      <c r="A449">
        <f>IFERROR(INDEX(STAs!$G$2:$G$61,MATCH(P449,STAs!$F$2:$F$61,0))&amp;"","")</f>
        <v/>
      </c>
      <c r="B449" t="n">
        <v>20026247</v>
      </c>
      <c r="C449" t="inlineStr">
        <is>
          <t>Não</t>
        </is>
      </c>
      <c r="D449" t="inlineStr">
        <is>
          <t>AP</t>
        </is>
      </c>
      <c r="E449" t="inlineStr">
        <is>
          <t>NORTE</t>
        </is>
      </c>
      <c r="F449" t="inlineStr">
        <is>
          <t>Cliente A - Refrigerador</t>
        </is>
      </c>
      <c r="G449" t="inlineStr">
        <is>
          <t>Chopeiras</t>
        </is>
      </c>
      <c r="H449" s="10" t="n">
        <v>85</v>
      </c>
      <c r="I449" s="10">
        <f>IFERROR(T449*H449,0)</f>
        <v/>
      </c>
      <c r="J449" s="11" t="n">
        <v>45982</v>
      </c>
      <c r="K449" s="11" t="n"/>
      <c r="L449" t="inlineStr">
        <is>
          <t>Não Devolve-Norte</t>
        </is>
      </c>
      <c r="M449">
        <f>IF(L449="","",IFERROR(VLOOKUP(L449,mapGrupoStatus,2,0),"Outros"))</f>
        <v/>
      </c>
      <c r="N449">
        <f>IF(O449="","",IF(O449&lt;=30,"0-30 dias",IF(O449&lt;=60,"31-60 dias",IF(O449&lt;=90,"61-90 dias","Mais de 90 dias"))))</f>
        <v/>
      </c>
      <c r="O449">
        <f>IF(OR(M449="Pendente",M449="Em andamento"),IF(J449="","",TODAY()-J449),"")</f>
        <v/>
      </c>
      <c r="P449" t="n">
        <v>11859</v>
      </c>
      <c r="Q449" t="inlineStr">
        <is>
          <t>Ice Tech Serviços (11859)</t>
        </is>
      </c>
      <c r="R449" t="inlineStr">
        <is>
          <t>PC-0035</t>
        </is>
      </c>
      <c r="S449" t="inlineStr">
        <is>
          <t>Válvula extratora modelo 01</t>
        </is>
      </c>
      <c r="T449" t="n">
        <v>1</v>
      </c>
      <c r="U449" t="inlineStr"/>
      <c r="V449">
        <f>IF(J449="","",MONTH(J449))</f>
        <v/>
      </c>
      <c r="W449">
        <f>IF(J449="","",YEAR(J449))</f>
        <v/>
      </c>
      <c r="X449" t="inlineStr"/>
      <c r="Y449">
        <f>IFERROR(INDEX(Rastreio!$H$2:$H$200,MATCH(X449&amp;"|"&amp;U449,Rastreio!$A$2:$A$200,0)),"")</f>
        <v/>
      </c>
    </row>
    <row r="450">
      <c r="A450">
        <f>IFERROR(INDEX(STAs!$G$2:$G$61,MATCH(P450,STAs!$F$2:$F$61,0))&amp;"","")</f>
        <v/>
      </c>
      <c r="B450" t="n">
        <v>20000762</v>
      </c>
      <c r="C450" t="inlineStr">
        <is>
          <t>Não</t>
        </is>
      </c>
      <c r="D450" t="inlineStr">
        <is>
          <t>ES</t>
        </is>
      </c>
      <c r="E450" t="inlineStr">
        <is>
          <t>SUDESTE RJ e ES</t>
        </is>
      </c>
      <c r="F450" t="inlineStr">
        <is>
          <t>Cliente B - Chopeira</t>
        </is>
      </c>
      <c r="G450" t="inlineStr">
        <is>
          <t>Refrigeradores</t>
        </is>
      </c>
      <c r="H450" s="10" t="n">
        <v>155</v>
      </c>
      <c r="I450" s="10">
        <f>IFERROR(T450*H450,0)</f>
        <v/>
      </c>
      <c r="J450" s="11" t="n">
        <v>45983</v>
      </c>
      <c r="K450" s="11" t="n">
        <v>46032</v>
      </c>
      <c r="L450" t="inlineStr">
        <is>
          <t>Ok. Devolvida</t>
        </is>
      </c>
      <c r="M450">
        <f>IF(L450="","",IFERROR(VLOOKUP(L450,mapGrupoStatus,2,0),"Outros"))</f>
        <v/>
      </c>
      <c r="N450">
        <f>IF(O450="","",IF(O450&lt;=30,"0-30 dias",IF(O450&lt;=60,"31-60 dias",IF(O450&lt;=90,"61-90 dias","Mais de 90 dias"))))</f>
        <v/>
      </c>
      <c r="O450">
        <f>IF(OR(M450="Pendente",M450="Em andamento"),IF(J450="","",TODAY()-J450),"")</f>
        <v/>
      </c>
      <c r="P450" t="n">
        <v>11099</v>
      </c>
      <c r="Q450" t="inlineStr">
        <is>
          <t>Refrigel Serviços (11099)</t>
        </is>
      </c>
      <c r="R450" t="inlineStr">
        <is>
          <t>PC-0021</t>
        </is>
      </c>
      <c r="S450" t="inlineStr">
        <is>
          <t>Controlador digital modelo 01</t>
        </is>
      </c>
      <c r="T450" t="n">
        <v>2</v>
      </c>
      <c r="U450" t="n">
        <v>103</v>
      </c>
      <c r="V450">
        <f>IF(J450="","",MONTH(J450))</f>
        <v/>
      </c>
      <c r="W450">
        <f>IF(J450="","",YEAR(J450))</f>
        <v/>
      </c>
      <c r="X450" t="inlineStr">
        <is>
          <t>RotaSul</t>
        </is>
      </c>
      <c r="Y450">
        <f>IFERROR(INDEX(Rastreio!$H$2:$H$200,MATCH(X450&amp;"|"&amp;U450,Rastreio!$A$2:$A$200,0)),"")</f>
        <v/>
      </c>
    </row>
    <row r="451">
      <c r="A451">
        <f>IFERROR(INDEX(STAs!$G$2:$G$61,MATCH(P451,STAs!$F$2:$F$61,0))&amp;"","")</f>
        <v/>
      </c>
      <c r="B451" t="n">
        <v>20010447</v>
      </c>
      <c r="C451" t="inlineStr">
        <is>
          <t>Não</t>
        </is>
      </c>
      <c r="D451" t="inlineStr">
        <is>
          <t>SP</t>
        </is>
      </c>
      <c r="E451" t="inlineStr">
        <is>
          <t>SUDESTE SP</t>
        </is>
      </c>
      <c r="F451" t="inlineStr">
        <is>
          <t>Cliente A - Refrigerador</t>
        </is>
      </c>
      <c r="G451" t="inlineStr">
        <is>
          <t>Misturadores</t>
        </is>
      </c>
      <c r="H451" s="10" t="n">
        <v>255</v>
      </c>
      <c r="I451" s="10">
        <f>IFERROR(T451*H451,0)</f>
        <v/>
      </c>
      <c r="J451" s="11" t="n">
        <v>45983</v>
      </c>
      <c r="K451" s="11" t="n">
        <v>46020</v>
      </c>
      <c r="L451" t="inlineStr">
        <is>
          <t>Ok. Devolvida</t>
        </is>
      </c>
      <c r="M451">
        <f>IF(L451="","",IFERROR(VLOOKUP(L451,mapGrupoStatus,2,0),"Outros"))</f>
        <v/>
      </c>
      <c r="N451">
        <f>IF(O451="","",IF(O451&lt;=30,"0-30 dias",IF(O451&lt;=60,"31-60 dias",IF(O451&lt;=90,"61-90 dias","Mais de 90 dias"))))</f>
        <v/>
      </c>
      <c r="O451">
        <f>IF(OR(M451="Pendente",M451="Em andamento"),IF(J451="","",TODAY()-J451),"")</f>
        <v/>
      </c>
      <c r="P451" t="n">
        <v>10413</v>
      </c>
      <c r="Q451" t="inlineStr">
        <is>
          <t>Polar Manutenção (10413)</t>
        </is>
      </c>
      <c r="R451" t="inlineStr">
        <is>
          <t>PC-0037</t>
        </is>
      </c>
      <c r="S451" t="inlineStr">
        <is>
          <t>Bomba de recirculação modelo 01</t>
        </is>
      </c>
      <c r="T451" t="n">
        <v>1</v>
      </c>
      <c r="U451" t="n">
        <v>120</v>
      </c>
      <c r="V451">
        <f>IF(J451="","",MONTH(J451))</f>
        <v/>
      </c>
      <c r="W451">
        <f>IF(J451="","",YEAR(J451))</f>
        <v/>
      </c>
      <c r="X451" t="inlineStr">
        <is>
          <t>LogExpress</t>
        </is>
      </c>
      <c r="Y451">
        <f>IFERROR(INDEX(Rastreio!$H$2:$H$200,MATCH(X451&amp;"|"&amp;U451,Rastreio!$A$2:$A$200,0)),"")</f>
        <v/>
      </c>
    </row>
    <row r="452">
      <c r="A452">
        <f>IFERROR(INDEX(STAs!$G$2:$G$61,MATCH(P452,STAs!$F$2:$F$61,0))&amp;"","")</f>
        <v/>
      </c>
      <c r="B452" t="n">
        <v>20011497</v>
      </c>
      <c r="C452" t="inlineStr">
        <is>
          <t>Não</t>
        </is>
      </c>
      <c r="D452" t="inlineStr">
        <is>
          <t>RS</t>
        </is>
      </c>
      <c r="E452" t="inlineStr">
        <is>
          <t>SUL</t>
        </is>
      </c>
      <c r="F452" t="inlineStr">
        <is>
          <t>Cliente C - Misturador</t>
        </is>
      </c>
      <c r="G452" t="inlineStr">
        <is>
          <t>Refrigeradores</t>
        </is>
      </c>
      <c r="H452" s="10" t="n">
        <v>40</v>
      </c>
      <c r="I452" s="10">
        <f>IFERROR(T452*H452,0)</f>
        <v/>
      </c>
      <c r="J452" s="11" t="n">
        <v>45983</v>
      </c>
      <c r="K452" s="11" t="n">
        <v>46008</v>
      </c>
      <c r="L452" t="inlineStr">
        <is>
          <t>Ok. Devolvida</t>
        </is>
      </c>
      <c r="M452">
        <f>IF(L452="","",IFERROR(VLOOKUP(L452,mapGrupoStatus,2,0),"Outros"))</f>
        <v/>
      </c>
      <c r="N452">
        <f>IF(O452="","",IF(O452&lt;=30,"0-30 dias",IF(O452&lt;=60,"31-60 dias",IF(O452&lt;=90,"61-90 dias","Mais de 90 dias"))))</f>
        <v/>
      </c>
      <c r="O452">
        <f>IF(OR(M452="Pendente",M452="Em andamento"),IF(J452="","",TODAY()-J452),"")</f>
        <v/>
      </c>
      <c r="P452" t="n">
        <v>12617</v>
      </c>
      <c r="Q452" t="inlineStr">
        <is>
          <t>Gelo Manutenção (12617)</t>
        </is>
      </c>
      <c r="R452" t="inlineStr">
        <is>
          <t>PC-0005</t>
        </is>
      </c>
      <c r="S452" t="inlineStr">
        <is>
          <t>Termostato modelo 02</t>
        </is>
      </c>
      <c r="T452" t="n">
        <v>1</v>
      </c>
      <c r="U452" t="n">
        <v>125</v>
      </c>
      <c r="V452">
        <f>IF(J452="","",MONTH(J452))</f>
        <v/>
      </c>
      <c r="W452">
        <f>IF(J452="","",YEAR(J452))</f>
        <v/>
      </c>
      <c r="X452" t="inlineStr">
        <is>
          <t>ViaCargo</t>
        </is>
      </c>
      <c r="Y452">
        <f>IFERROR(INDEX(Rastreio!$H$2:$H$200,MATCH(X452&amp;"|"&amp;U452,Rastreio!$A$2:$A$200,0)),"")</f>
        <v/>
      </c>
    </row>
    <row r="453">
      <c r="A453">
        <f>IFERROR(INDEX(STAs!$G$2:$G$61,MATCH(P453,STAs!$F$2:$F$61,0))&amp;"","")</f>
        <v/>
      </c>
      <c r="B453" t="n">
        <v>20022989</v>
      </c>
      <c r="C453" t="inlineStr">
        <is>
          <t>Não</t>
        </is>
      </c>
      <c r="D453" t="inlineStr">
        <is>
          <t>GO</t>
        </is>
      </c>
      <c r="E453" t="inlineStr">
        <is>
          <t>CENTRO OESTE</t>
        </is>
      </c>
      <c r="F453" t="inlineStr">
        <is>
          <t>Cliente B - Chopeira</t>
        </is>
      </c>
      <c r="G453" t="inlineStr">
        <is>
          <t>Chopeiras</t>
        </is>
      </c>
      <c r="H453" s="10" t="n">
        <v>85</v>
      </c>
      <c r="I453" s="10">
        <f>IFERROR(T453*H453,0)</f>
        <v/>
      </c>
      <c r="J453" s="11" t="n">
        <v>45983</v>
      </c>
      <c r="K453" s="11" t="n"/>
      <c r="L453" t="inlineStr">
        <is>
          <t>Debitar do STA</t>
        </is>
      </c>
      <c r="M453">
        <f>IF(L453="","",IFERROR(VLOOKUP(L453,mapGrupoStatus,2,0),"Outros"))</f>
        <v/>
      </c>
      <c r="N453">
        <f>IF(O453="","",IF(O453&lt;=30,"0-30 dias",IF(O453&lt;=60,"31-60 dias",IF(O453&lt;=90,"61-90 dias","Mais de 90 dias"))))</f>
        <v/>
      </c>
      <c r="O453">
        <f>IF(OR(M453="Pendente",M453="Em andamento"),IF(J453="","",TODAY()-J453),"")</f>
        <v/>
      </c>
      <c r="P453" t="n">
        <v>10317</v>
      </c>
      <c r="Q453" t="inlineStr">
        <is>
          <t>Termotec Manutenção (10317)</t>
        </is>
      </c>
      <c r="R453" t="inlineStr">
        <is>
          <t>PC-0028</t>
        </is>
      </c>
      <c r="S453" t="inlineStr">
        <is>
          <t>Torneira de chopp modelo 03</t>
        </is>
      </c>
      <c r="T453" t="n">
        <v>2</v>
      </c>
      <c r="U453" t="inlineStr"/>
      <c r="V453">
        <f>IF(J453="","",MONTH(J453))</f>
        <v/>
      </c>
      <c r="W453">
        <f>IF(J453="","",YEAR(J453))</f>
        <v/>
      </c>
      <c r="X453" t="inlineStr"/>
      <c r="Y453">
        <f>IFERROR(INDEX(Rastreio!$H$2:$H$200,MATCH(X453&amp;"|"&amp;U453,Rastreio!$A$2:$A$200,0)),"")</f>
        <v/>
      </c>
    </row>
    <row r="454">
      <c r="A454">
        <f>IFERROR(INDEX(STAs!$G$2:$G$61,MATCH(P454,STAs!$F$2:$F$61,0))&amp;"","")</f>
        <v/>
      </c>
      <c r="B454" t="n">
        <v>20025265</v>
      </c>
      <c r="C454" t="inlineStr">
        <is>
          <t>Não</t>
        </is>
      </c>
      <c r="D454" t="inlineStr">
        <is>
          <t>MG</t>
        </is>
      </c>
      <c r="E454" t="inlineStr">
        <is>
          <t>SUDESTE MG</t>
        </is>
      </c>
      <c r="F454" t="inlineStr">
        <is>
          <t>Cliente A - Refrigerador</t>
        </is>
      </c>
      <c r="G454" t="inlineStr">
        <is>
          <t>Refrigeradores</t>
        </is>
      </c>
      <c r="H454" s="10" t="n">
        <v>330</v>
      </c>
      <c r="I454" s="10">
        <f>IFERROR(T454*H454,0)</f>
        <v/>
      </c>
      <c r="J454" s="11" t="n">
        <v>45983</v>
      </c>
      <c r="K454" s="11" t="n">
        <v>46017</v>
      </c>
      <c r="L454" t="inlineStr">
        <is>
          <t>Ok. Devolvida</t>
        </is>
      </c>
      <c r="M454">
        <f>IF(L454="","",IFERROR(VLOOKUP(L454,mapGrupoStatus,2,0),"Outros"))</f>
        <v/>
      </c>
      <c r="N454">
        <f>IF(O454="","",IF(O454&lt;=30,"0-30 dias",IF(O454&lt;=60,"31-60 dias",IF(O454&lt;=90,"61-90 dias","Mais de 90 dias"))))</f>
        <v/>
      </c>
      <c r="O454">
        <f>IF(OR(M454="Pendente",M454="Em andamento"),IF(J454="","",TODAY()-J454),"")</f>
        <v/>
      </c>
      <c r="P454" t="n">
        <v>12689</v>
      </c>
      <c r="Q454" t="inlineStr">
        <is>
          <t>Norte Frio Manutenção (12689)</t>
        </is>
      </c>
      <c r="R454" t="inlineStr">
        <is>
          <t>PC-0003</t>
        </is>
      </c>
      <c r="S454" t="inlineStr">
        <is>
          <t>Compressor modelo 03</t>
        </is>
      </c>
      <c r="T454" t="n">
        <v>3</v>
      </c>
      <c r="U454" t="n">
        <v>146</v>
      </c>
      <c r="V454">
        <f>IF(J454="","",MONTH(J454))</f>
        <v/>
      </c>
      <c r="W454">
        <f>IF(J454="","",YEAR(J454))</f>
        <v/>
      </c>
      <c r="X454" t="inlineStr">
        <is>
          <t>LogExpress</t>
        </is>
      </c>
      <c r="Y454">
        <f>IFERROR(INDEX(Rastreio!$H$2:$H$200,MATCH(X454&amp;"|"&amp;U454,Rastreio!$A$2:$A$200,0)),"")</f>
        <v/>
      </c>
    </row>
    <row r="455">
      <c r="A455">
        <f>IFERROR(INDEX(STAs!$G$2:$G$61,MATCH(P455,STAs!$F$2:$F$61,0))&amp;"","")</f>
        <v/>
      </c>
      <c r="B455" t="n">
        <v>20025275</v>
      </c>
      <c r="C455" t="inlineStr">
        <is>
          <t>Não</t>
        </is>
      </c>
      <c r="D455" t="inlineStr">
        <is>
          <t>RJ</t>
        </is>
      </c>
      <c r="E455" t="inlineStr">
        <is>
          <t>SUDESTE RJ e ES</t>
        </is>
      </c>
      <c r="F455" t="inlineStr">
        <is>
          <t>Cliente C - Misturador</t>
        </is>
      </c>
      <c r="G455" t="inlineStr">
        <is>
          <t>Refrigeradores</t>
        </is>
      </c>
      <c r="H455" s="10" t="n">
        <v>190</v>
      </c>
      <c r="I455" s="10">
        <f>IFERROR(T455*H455,0)</f>
        <v/>
      </c>
      <c r="J455" s="11" t="n">
        <v>45983</v>
      </c>
      <c r="K455" s="11" t="n"/>
      <c r="L455" t="inlineStr">
        <is>
          <t>NPD</t>
        </is>
      </c>
      <c r="M455">
        <f>IF(L455="","",IFERROR(VLOOKUP(L455,mapGrupoStatus,2,0),"Outros"))</f>
        <v/>
      </c>
      <c r="N455">
        <f>IF(O455="","",IF(O455&lt;=30,"0-30 dias",IF(O455&lt;=60,"31-60 dias",IF(O455&lt;=90,"61-90 dias","Mais de 90 dias"))))</f>
        <v/>
      </c>
      <c r="O455">
        <f>IF(OR(M455="Pendente",M455="Em andamento"),IF(J455="","",TODAY()-J455),"")</f>
        <v/>
      </c>
      <c r="P455" t="n">
        <v>10676</v>
      </c>
      <c r="Q455" t="inlineStr">
        <is>
          <t>Clima Serviços (10676)</t>
        </is>
      </c>
      <c r="R455" t="inlineStr">
        <is>
          <t>PC-0014</t>
        </is>
      </c>
      <c r="S455" t="inlineStr">
        <is>
          <t>Placa eletrônica modelo 04</t>
        </is>
      </c>
      <c r="T455" t="n">
        <v>1</v>
      </c>
      <c r="U455" t="inlineStr"/>
      <c r="V455">
        <f>IF(J455="","",MONTH(J455))</f>
        <v/>
      </c>
      <c r="W455">
        <f>IF(J455="","",YEAR(J455))</f>
        <v/>
      </c>
      <c r="X455" t="inlineStr"/>
      <c r="Y455">
        <f>IFERROR(INDEX(Rastreio!$H$2:$H$200,MATCH(X455&amp;"|"&amp;U455,Rastreio!$A$2:$A$200,0)),"")</f>
        <v/>
      </c>
    </row>
    <row r="456">
      <c r="A456">
        <f>IFERROR(INDEX(STAs!$G$2:$G$61,MATCH(P456,STAs!$F$2:$F$61,0))&amp;"","")</f>
        <v/>
      </c>
      <c r="B456" t="n">
        <v>20034226</v>
      </c>
      <c r="C456" t="inlineStr">
        <is>
          <t>Não</t>
        </is>
      </c>
      <c r="D456" t="inlineStr">
        <is>
          <t>PR</t>
        </is>
      </c>
      <c r="E456" t="inlineStr">
        <is>
          <t>SUL</t>
        </is>
      </c>
      <c r="F456" t="inlineStr">
        <is>
          <t>Cliente C - Misturador</t>
        </is>
      </c>
      <c r="G456" t="inlineStr">
        <is>
          <t>Misturadores</t>
        </is>
      </c>
      <c r="H456" s="10" t="n">
        <v>185</v>
      </c>
      <c r="I456" s="10">
        <f>IFERROR(T456*H456,0)</f>
        <v/>
      </c>
      <c r="J456" s="11" t="n">
        <v>45983</v>
      </c>
      <c r="K456" s="11" t="n">
        <v>46037</v>
      </c>
      <c r="L456" t="inlineStr">
        <is>
          <t>Ok. Devolvida</t>
        </is>
      </c>
      <c r="M456">
        <f>IF(L456="","",IFERROR(VLOOKUP(L456,mapGrupoStatus,2,0),"Outros"))</f>
        <v/>
      </c>
      <c r="N456">
        <f>IF(O456="","",IF(O456&lt;=30,"0-30 dias",IF(O456&lt;=60,"31-60 dias",IF(O456&lt;=90,"61-90 dias","Mais de 90 dias"))))</f>
        <v/>
      </c>
      <c r="O456">
        <f>IF(OR(M456="Pendente",M456="Em andamento"),IF(J456="","",TODAY()-J456),"")</f>
        <v/>
      </c>
      <c r="P456" t="n">
        <v>12089</v>
      </c>
      <c r="Q456" t="inlineStr">
        <is>
          <t>Termotec Serviços (12089)</t>
        </is>
      </c>
      <c r="R456" t="inlineStr">
        <is>
          <t>PC-0041</t>
        </is>
      </c>
      <c r="S456" t="inlineStr">
        <is>
          <t>Motor agitador modelo 02</t>
        </is>
      </c>
      <c r="T456" t="n">
        <v>1</v>
      </c>
      <c r="U456" t="n">
        <v>159</v>
      </c>
      <c r="V456">
        <f>IF(J456="","",MONTH(J456))</f>
        <v/>
      </c>
      <c r="W456">
        <f>IF(J456="","",YEAR(J456))</f>
        <v/>
      </c>
      <c r="X456" t="inlineStr">
        <is>
          <t>CargoMax</t>
        </is>
      </c>
      <c r="Y456">
        <f>IFERROR(INDEX(Rastreio!$H$2:$H$200,MATCH(X456&amp;"|"&amp;U456,Rastreio!$A$2:$A$200,0)),"")</f>
        <v/>
      </c>
    </row>
    <row r="457">
      <c r="A457">
        <f>IFERROR(INDEX(STAs!$G$2:$G$61,MATCH(P457,STAs!$F$2:$F$61,0))&amp;"","")</f>
        <v/>
      </c>
      <c r="B457" t="n">
        <v>20022503</v>
      </c>
      <c r="C457" t="inlineStr">
        <is>
          <t>Não</t>
        </is>
      </c>
      <c r="D457" t="inlineStr">
        <is>
          <t>AC</t>
        </is>
      </c>
      <c r="E457" t="inlineStr">
        <is>
          <t>NORTE</t>
        </is>
      </c>
      <c r="F457" t="inlineStr">
        <is>
          <t>Cliente B - Chopeira</t>
        </is>
      </c>
      <c r="G457" t="inlineStr">
        <is>
          <t>Refrigeradores</t>
        </is>
      </c>
      <c r="H457" s="10" t="n">
        <v>30</v>
      </c>
      <c r="I457" s="10">
        <f>IFERROR(T457*H457,0)</f>
        <v/>
      </c>
      <c r="J457" s="11" t="n">
        <v>45984</v>
      </c>
      <c r="K457" s="11" t="n"/>
      <c r="L457" t="inlineStr">
        <is>
          <t>Não Devolve-Norte</t>
        </is>
      </c>
      <c r="M457">
        <f>IF(L457="","",IFERROR(VLOOKUP(L457,mapGrupoStatus,2,0),"Outros"))</f>
        <v/>
      </c>
      <c r="N457">
        <f>IF(O457="","",IF(O457&lt;=30,"0-30 dias",IF(O457&lt;=60,"31-60 dias",IF(O457&lt;=90,"61-90 dias","Mais de 90 dias"))))</f>
        <v/>
      </c>
      <c r="O457">
        <f>IF(OR(M457="Pendente",M457="Em andamento"),IF(J457="","",TODAY()-J457),"")</f>
        <v/>
      </c>
      <c r="P457" t="n">
        <v>10372</v>
      </c>
      <c r="Q457" t="inlineStr">
        <is>
          <t>Zero Grau ME (10372)</t>
        </is>
      </c>
      <c r="R457" t="inlineStr">
        <is>
          <t>PC-0025</t>
        </is>
      </c>
      <c r="S457" t="inlineStr">
        <is>
          <t>Relé de partida modelo 03</t>
        </is>
      </c>
      <c r="T457" t="n">
        <v>1</v>
      </c>
      <c r="U457" t="inlineStr"/>
      <c r="V457">
        <f>IF(J457="","",MONTH(J457))</f>
        <v/>
      </c>
      <c r="W457">
        <f>IF(J457="","",YEAR(J457))</f>
        <v/>
      </c>
      <c r="X457" t="inlineStr"/>
      <c r="Y457">
        <f>IFERROR(INDEX(Rastreio!$H$2:$H$200,MATCH(X457&amp;"|"&amp;U457,Rastreio!$A$2:$A$200,0)),"")</f>
        <v/>
      </c>
    </row>
    <row r="458">
      <c r="A458">
        <f>IFERROR(INDEX(STAs!$G$2:$G$61,MATCH(P458,STAs!$F$2:$F$61,0))&amp;"","")</f>
        <v/>
      </c>
      <c r="B458" t="n">
        <v>20002521</v>
      </c>
      <c r="C458" t="inlineStr">
        <is>
          <t>Não</t>
        </is>
      </c>
      <c r="D458" t="inlineStr">
        <is>
          <t>SP</t>
        </is>
      </c>
      <c r="E458" t="inlineStr">
        <is>
          <t>SUDESTE SP</t>
        </is>
      </c>
      <c r="F458" t="inlineStr">
        <is>
          <t>Cliente C - Misturador</t>
        </is>
      </c>
      <c r="G458" t="inlineStr">
        <is>
          <t>Misturadores</t>
        </is>
      </c>
      <c r="H458" s="10" t="n">
        <v>50</v>
      </c>
      <c r="I458" s="10">
        <f>IFERROR(T458*H458,0)</f>
        <v/>
      </c>
      <c r="J458" s="11" t="n">
        <v>45985</v>
      </c>
      <c r="K458" s="11" t="n"/>
      <c r="L458" t="inlineStr">
        <is>
          <t>Aguardando Transporte</t>
        </is>
      </c>
      <c r="M458">
        <f>IF(L458="","",IFERROR(VLOOKUP(L458,mapGrupoStatus,2,0),"Outros"))</f>
        <v/>
      </c>
      <c r="N458">
        <f>IF(O458="","",IF(O458&lt;=30,"0-30 dias",IF(O458&lt;=60,"31-60 dias",IF(O458&lt;=90,"61-90 dias","Mais de 90 dias"))))</f>
        <v/>
      </c>
      <c r="O458">
        <f>IF(OR(M458="Pendente",M458="Em andamento"),IF(J458="","",TODAY()-J458),"")</f>
        <v/>
      </c>
      <c r="P458" t="n">
        <v>10538</v>
      </c>
      <c r="Q458" t="inlineStr">
        <is>
          <t>Frio Refrigeração (10538)</t>
        </is>
      </c>
      <c r="R458" t="inlineStr">
        <is>
          <t>PC-0045</t>
        </is>
      </c>
      <c r="S458" t="inlineStr">
        <is>
          <t>Sensor de nível modelo 01</t>
        </is>
      </c>
      <c r="T458" t="n">
        <v>1</v>
      </c>
      <c r="U458" t="n">
        <v>103</v>
      </c>
      <c r="V458">
        <f>IF(J458="","",MONTH(J458))</f>
        <v/>
      </c>
      <c r="W458">
        <f>IF(J458="","",YEAR(J458))</f>
        <v/>
      </c>
      <c r="X458" t="inlineStr">
        <is>
          <t>LogExpress</t>
        </is>
      </c>
      <c r="Y458">
        <f>IFERROR(INDEX(Rastreio!$H$2:$H$200,MATCH(X458&amp;"|"&amp;U458,Rastreio!$A$2:$A$200,0)),"")</f>
        <v/>
      </c>
    </row>
    <row r="459">
      <c r="A459">
        <f>IFERROR(INDEX(STAs!$G$2:$G$61,MATCH(P459,STAs!$F$2:$F$61,0))&amp;"","")</f>
        <v/>
      </c>
      <c r="B459" t="n">
        <v>20021891</v>
      </c>
      <c r="C459" t="inlineStr">
        <is>
          <t>Não</t>
        </is>
      </c>
      <c r="D459" t="inlineStr">
        <is>
          <t>RJ</t>
        </is>
      </c>
      <c r="E459" t="inlineStr">
        <is>
          <t>SUDESTE RJ e ES</t>
        </is>
      </c>
      <c r="F459" t="inlineStr">
        <is>
          <t>Cliente A - Refrigerador</t>
        </is>
      </c>
      <c r="G459" t="inlineStr">
        <is>
          <t>Chopeiras</t>
        </is>
      </c>
      <c r="H459" s="10" t="n">
        <v>100</v>
      </c>
      <c r="I459" s="10">
        <f>IFERROR(T459*H459,0)</f>
        <v/>
      </c>
      <c r="J459" s="11" t="n">
        <v>45985</v>
      </c>
      <c r="K459" s="11" t="n">
        <v>46022</v>
      </c>
      <c r="L459" t="inlineStr">
        <is>
          <t>Ok. Devolvida</t>
        </is>
      </c>
      <c r="M459">
        <f>IF(L459="","",IFERROR(VLOOKUP(L459,mapGrupoStatus,2,0),"Outros"))</f>
        <v/>
      </c>
      <c r="N459">
        <f>IF(O459="","",IF(O459&lt;=30,"0-30 dias",IF(O459&lt;=60,"31-60 dias",IF(O459&lt;=90,"61-90 dias","Mais de 90 dias"))))</f>
        <v/>
      </c>
      <c r="O459">
        <f>IF(OR(M459="Pendente",M459="Em andamento"),IF(J459="","",TODAY()-J459),"")</f>
        <v/>
      </c>
      <c r="P459" t="n">
        <v>11059</v>
      </c>
      <c r="Q459" t="inlineStr">
        <is>
          <t>Frio Ltda (11059)</t>
        </is>
      </c>
      <c r="R459" t="inlineStr">
        <is>
          <t>PC-0027</t>
        </is>
      </c>
      <c r="S459" t="inlineStr">
        <is>
          <t>Torneira de chopp modelo 02</t>
        </is>
      </c>
      <c r="T459" t="n">
        <v>1</v>
      </c>
      <c r="U459" t="n">
        <v>138</v>
      </c>
      <c r="V459">
        <f>IF(J459="","",MONTH(J459))</f>
        <v/>
      </c>
      <c r="W459">
        <f>IF(J459="","",YEAR(J459))</f>
        <v/>
      </c>
      <c r="X459" t="inlineStr">
        <is>
          <t>LogExpress</t>
        </is>
      </c>
      <c r="Y459">
        <f>IFERROR(INDEX(Rastreio!$H$2:$H$200,MATCH(X459&amp;"|"&amp;U459,Rastreio!$A$2:$A$200,0)),"")</f>
        <v/>
      </c>
    </row>
    <row r="460">
      <c r="A460">
        <f>IFERROR(INDEX(STAs!$G$2:$G$61,MATCH(P460,STAs!$F$2:$F$61,0))&amp;"","")</f>
        <v/>
      </c>
      <c r="B460" t="n">
        <v>20025689</v>
      </c>
      <c r="C460" t="inlineStr">
        <is>
          <t>Não</t>
        </is>
      </c>
      <c r="D460" t="inlineStr">
        <is>
          <t>ES</t>
        </is>
      </c>
      <c r="E460" t="inlineStr">
        <is>
          <t>SUDESTE RJ e ES</t>
        </is>
      </c>
      <c r="F460" t="inlineStr">
        <is>
          <t>Cliente C - Misturador</t>
        </is>
      </c>
      <c r="G460" t="inlineStr">
        <is>
          <t>Refrigeradores</t>
        </is>
      </c>
      <c r="H460" s="10" t="n">
        <v>155</v>
      </c>
      <c r="I460" s="10">
        <f>IFERROR(T460*H460,0)</f>
        <v/>
      </c>
      <c r="J460" s="11" t="n">
        <v>45985</v>
      </c>
      <c r="K460" s="11" t="n">
        <v>46016</v>
      </c>
      <c r="L460" t="inlineStr">
        <is>
          <t>Ok. Devolvida</t>
        </is>
      </c>
      <c r="M460">
        <f>IF(L460="","",IFERROR(VLOOKUP(L460,mapGrupoStatus,2,0),"Outros"))</f>
        <v/>
      </c>
      <c r="N460">
        <f>IF(O460="","",IF(O460&lt;=30,"0-30 dias",IF(O460&lt;=60,"31-60 dias",IF(O460&lt;=90,"61-90 dias","Mais de 90 dias"))))</f>
        <v/>
      </c>
      <c r="O460">
        <f>IF(OR(M460="Pendente",M460="Em andamento"),IF(J460="","",TODAY()-J460),"")</f>
        <v/>
      </c>
      <c r="P460" t="n">
        <v>11396</v>
      </c>
      <c r="Q460" t="inlineStr">
        <is>
          <t>Frio Manutenção (11396)</t>
        </is>
      </c>
      <c r="R460" t="inlineStr">
        <is>
          <t>PC-0022</t>
        </is>
      </c>
      <c r="S460" t="inlineStr">
        <is>
          <t>Controlador digital modelo 02</t>
        </is>
      </c>
      <c r="T460" t="n">
        <v>1</v>
      </c>
      <c r="U460" t="n">
        <v>145</v>
      </c>
      <c r="V460">
        <f>IF(J460="","",MONTH(J460))</f>
        <v/>
      </c>
      <c r="W460">
        <f>IF(J460="","",YEAR(J460))</f>
        <v/>
      </c>
      <c r="X460" t="inlineStr">
        <is>
          <t>RotaSul</t>
        </is>
      </c>
      <c r="Y460">
        <f>IFERROR(INDEX(Rastreio!$H$2:$H$200,MATCH(X460&amp;"|"&amp;U460,Rastreio!$A$2:$A$200,0)),"")</f>
        <v/>
      </c>
    </row>
    <row r="461">
      <c r="A461">
        <f>IFERROR(INDEX(STAs!$G$2:$G$61,MATCH(P461,STAs!$F$2:$F$61,0))&amp;"","")</f>
        <v/>
      </c>
      <c r="B461" t="n">
        <v>20026327</v>
      </c>
      <c r="C461" t="inlineStr">
        <is>
          <t>Não</t>
        </is>
      </c>
      <c r="D461" t="inlineStr">
        <is>
          <t>RJ</t>
        </is>
      </c>
      <c r="E461" t="inlineStr">
        <is>
          <t>SUDESTE RJ e ES</t>
        </is>
      </c>
      <c r="F461" t="inlineStr">
        <is>
          <t>Cliente C - Misturador</t>
        </is>
      </c>
      <c r="G461" t="inlineStr">
        <is>
          <t>Misturadores</t>
        </is>
      </c>
      <c r="H461" s="10" t="n">
        <v>265</v>
      </c>
      <c r="I461" s="10">
        <f>IFERROR(T461*H461,0)</f>
        <v/>
      </c>
      <c r="J461" s="11" t="n">
        <v>45985</v>
      </c>
      <c r="K461" s="11" t="n"/>
      <c r="L461" t="inlineStr">
        <is>
          <t>Aguardando devolução</t>
        </is>
      </c>
      <c r="M461">
        <f>IF(L461="","",IFERROR(VLOOKUP(L461,mapGrupoStatus,2,0),"Outros"))</f>
        <v/>
      </c>
      <c r="N461">
        <f>IF(O461="","",IF(O461&lt;=30,"0-30 dias",IF(O461&lt;=60,"31-60 dias",IF(O461&lt;=90,"61-90 dias","Mais de 90 dias"))))</f>
        <v/>
      </c>
      <c r="O461">
        <f>IF(OR(M461="Pendente",M461="Em andamento"),IF(J461="","",TODAY()-J461),"")</f>
        <v/>
      </c>
      <c r="P461" t="n">
        <v>12336</v>
      </c>
      <c r="Q461" t="inlineStr">
        <is>
          <t>Termotec ME (12336)</t>
        </is>
      </c>
      <c r="R461" t="inlineStr">
        <is>
          <t>PC-0038</t>
        </is>
      </c>
      <c r="S461" t="inlineStr">
        <is>
          <t>Bomba de recirculação modelo 02</t>
        </is>
      </c>
      <c r="T461" t="n">
        <v>1</v>
      </c>
      <c r="U461" t="inlineStr"/>
      <c r="V461">
        <f>IF(J461="","",MONTH(J461))</f>
        <v/>
      </c>
      <c r="W461">
        <f>IF(J461="","",YEAR(J461))</f>
        <v/>
      </c>
      <c r="X461" t="inlineStr"/>
      <c r="Y461">
        <f>IFERROR(INDEX(Rastreio!$H$2:$H$200,MATCH(X461&amp;"|"&amp;U461,Rastreio!$A$2:$A$200,0)),"")</f>
        <v/>
      </c>
    </row>
    <row r="462">
      <c r="A462">
        <f>IFERROR(INDEX(STAs!$G$2:$G$61,MATCH(P462,STAs!$F$2:$F$61,0))&amp;"","")</f>
        <v/>
      </c>
      <c r="B462" t="n">
        <v>20030351</v>
      </c>
      <c r="C462" t="inlineStr">
        <is>
          <t>Não</t>
        </is>
      </c>
      <c r="D462" t="inlineStr">
        <is>
          <t>PR</t>
        </is>
      </c>
      <c r="E462" t="inlineStr">
        <is>
          <t>SUL</t>
        </is>
      </c>
      <c r="F462" t="inlineStr">
        <is>
          <t>Cliente A - Refrigerador</t>
        </is>
      </c>
      <c r="G462" t="inlineStr">
        <is>
          <t>Refrigeradores</t>
        </is>
      </c>
      <c r="H462" s="10" t="n">
        <v>65</v>
      </c>
      <c r="I462" s="10">
        <f>IFERROR(T462*H462,0)</f>
        <v/>
      </c>
      <c r="J462" s="11" t="n">
        <v>45985</v>
      </c>
      <c r="K462" s="11" t="n">
        <v>45990</v>
      </c>
      <c r="L462" t="inlineStr">
        <is>
          <t>Ok. Devolvida</t>
        </is>
      </c>
      <c r="M462">
        <f>IF(L462="","",IFERROR(VLOOKUP(L462,mapGrupoStatus,2,0),"Outros"))</f>
        <v/>
      </c>
      <c r="N462">
        <f>IF(O462="","",IF(O462&lt;=30,"0-30 dias",IF(O462&lt;=60,"31-60 dias",IF(O462&lt;=90,"61-90 dias","Mais de 90 dias"))))</f>
        <v/>
      </c>
      <c r="O462">
        <f>IF(OR(M462="Pendente",M462="Em andamento"),IF(J462="","",TODAY()-J462),"")</f>
        <v/>
      </c>
      <c r="P462" t="n">
        <v>11898</v>
      </c>
      <c r="Q462" t="inlineStr">
        <is>
          <t>Refrigel Express (11898)</t>
        </is>
      </c>
      <c r="R462" t="inlineStr">
        <is>
          <t>PC-0010</t>
        </is>
      </c>
      <c r="S462" t="inlineStr">
        <is>
          <t>Ventilador modelo 04</t>
        </is>
      </c>
      <c r="T462" t="n">
        <v>1</v>
      </c>
      <c r="U462" t="n">
        <v>148</v>
      </c>
      <c r="V462">
        <f>IF(J462="","",MONTH(J462))</f>
        <v/>
      </c>
      <c r="W462">
        <f>IF(J462="","",YEAR(J462))</f>
        <v/>
      </c>
      <c r="X462" t="inlineStr">
        <is>
          <t>ViaCargo</t>
        </is>
      </c>
      <c r="Y462">
        <f>IFERROR(INDEX(Rastreio!$H$2:$H$200,MATCH(X462&amp;"|"&amp;U462,Rastreio!$A$2:$A$200,0)),"")</f>
        <v/>
      </c>
    </row>
    <row r="463">
      <c r="A463">
        <f>IFERROR(INDEX(STAs!$G$2:$G$61,MATCH(P463,STAs!$F$2:$F$61,0))&amp;"","")</f>
        <v/>
      </c>
      <c r="B463" t="n">
        <v>20006707</v>
      </c>
      <c r="C463" t="inlineStr">
        <is>
          <t>Não</t>
        </is>
      </c>
      <c r="D463" t="inlineStr">
        <is>
          <t>MG</t>
        </is>
      </c>
      <c r="E463" t="inlineStr">
        <is>
          <t>SUDESTE MG</t>
        </is>
      </c>
      <c r="F463" t="inlineStr">
        <is>
          <t>Cliente A - Refrigerador</t>
        </is>
      </c>
      <c r="G463" t="inlineStr">
        <is>
          <t>Misturadores</t>
        </is>
      </c>
      <c r="H463" s="10" t="n">
        <v>50</v>
      </c>
      <c r="I463" s="10">
        <f>IFERROR(T463*H463,0)</f>
        <v/>
      </c>
      <c r="J463" s="11" t="n">
        <v>45986</v>
      </c>
      <c r="K463" s="11" t="n">
        <v>46038</v>
      </c>
      <c r="L463" t="inlineStr">
        <is>
          <t>Ok. Devolvida</t>
        </is>
      </c>
      <c r="M463">
        <f>IF(L463="","",IFERROR(VLOOKUP(L463,mapGrupoStatus,2,0),"Outros"))</f>
        <v/>
      </c>
      <c r="N463">
        <f>IF(O463="","",IF(O463&lt;=30,"0-30 dias",IF(O463&lt;=60,"31-60 dias",IF(O463&lt;=90,"61-90 dias","Mais de 90 dias"))))</f>
        <v/>
      </c>
      <c r="O463">
        <f>IF(OR(M463="Pendente",M463="Em andamento"),IF(J463="","",TODAY()-J463),"")</f>
        <v/>
      </c>
      <c r="P463" t="n">
        <v>12470</v>
      </c>
      <c r="Q463" t="inlineStr">
        <is>
          <t>Cool Service Técnica (12470)</t>
        </is>
      </c>
      <c r="R463" t="inlineStr">
        <is>
          <t>PC-0047</t>
        </is>
      </c>
      <c r="S463" t="inlineStr">
        <is>
          <t>Sensor de nível modelo 03</t>
        </is>
      </c>
      <c r="T463" t="n">
        <v>1</v>
      </c>
      <c r="U463" t="n">
        <v>116</v>
      </c>
      <c r="V463">
        <f>IF(J463="","",MONTH(J463))</f>
        <v/>
      </c>
      <c r="W463">
        <f>IF(J463="","",YEAR(J463))</f>
        <v/>
      </c>
      <c r="X463" t="inlineStr">
        <is>
          <t>ViaCargo</t>
        </is>
      </c>
      <c r="Y463">
        <f>IFERROR(INDEX(Rastreio!$H$2:$H$200,MATCH(X463&amp;"|"&amp;U463,Rastreio!$A$2:$A$200,0)),"")</f>
        <v/>
      </c>
    </row>
    <row r="464">
      <c r="A464">
        <f>IFERROR(INDEX(STAs!$G$2:$G$61,MATCH(P464,STAs!$F$2:$F$61,0))&amp;"","")</f>
        <v/>
      </c>
      <c r="B464" t="n">
        <v>20011491</v>
      </c>
      <c r="C464" t="inlineStr">
        <is>
          <t>Não</t>
        </is>
      </c>
      <c r="D464" t="inlineStr">
        <is>
          <t>MG</t>
        </is>
      </c>
      <c r="E464" t="inlineStr">
        <is>
          <t>SUDESTE MG</t>
        </is>
      </c>
      <c r="F464" t="inlineStr">
        <is>
          <t>Cliente C - Misturador</t>
        </is>
      </c>
      <c r="G464" t="inlineStr">
        <is>
          <t>Misturadores</t>
        </is>
      </c>
      <c r="H464" s="10" t="n">
        <v>185</v>
      </c>
      <c r="I464" s="10">
        <f>IFERROR(T464*H464,0)</f>
        <v/>
      </c>
      <c r="J464" s="11" t="n">
        <v>45986</v>
      </c>
      <c r="K464" s="11" t="n"/>
      <c r="L464" t="inlineStr">
        <is>
          <t>Em andamento</t>
        </is>
      </c>
      <c r="M464">
        <f>IF(L464="","",IFERROR(VLOOKUP(L464,mapGrupoStatus,2,0),"Outros"))</f>
        <v/>
      </c>
      <c r="N464">
        <f>IF(O464="","",IF(O464&lt;=30,"0-30 dias",IF(O464&lt;=60,"31-60 dias",IF(O464&lt;=90,"61-90 dias","Mais de 90 dias"))))</f>
        <v/>
      </c>
      <c r="O464">
        <f>IF(OR(M464="Pendente",M464="Em andamento"),IF(J464="","",TODAY()-J464),"")</f>
        <v/>
      </c>
      <c r="P464" t="n">
        <v>11487</v>
      </c>
      <c r="Q464" t="inlineStr">
        <is>
          <t>Assistência Técnica Manutenção (11487)</t>
        </is>
      </c>
      <c r="R464" t="inlineStr">
        <is>
          <t>PC-0041</t>
        </is>
      </c>
      <c r="S464" t="inlineStr">
        <is>
          <t>Motor agitador modelo 02</t>
        </is>
      </c>
      <c r="T464" t="n">
        <v>1</v>
      </c>
      <c r="U464" t="n">
        <v>125</v>
      </c>
      <c r="V464">
        <f>IF(J464="","",MONTH(J464))</f>
        <v/>
      </c>
      <c r="W464">
        <f>IF(J464="","",YEAR(J464))</f>
        <v/>
      </c>
      <c r="X464" t="inlineStr">
        <is>
          <t>ViaCargo</t>
        </is>
      </c>
      <c r="Y464">
        <f>IFERROR(INDEX(Rastreio!$H$2:$H$200,MATCH(X464&amp;"|"&amp;U464,Rastreio!$A$2:$A$200,0)),"")</f>
        <v/>
      </c>
    </row>
    <row r="465">
      <c r="A465">
        <f>IFERROR(INDEX(STAs!$G$2:$G$61,MATCH(P465,STAs!$F$2:$F$61,0))&amp;"","")</f>
        <v/>
      </c>
      <c r="B465" t="n">
        <v>20011542</v>
      </c>
      <c r="C465" t="inlineStr">
        <is>
          <t>Sim</t>
        </is>
      </c>
      <c r="D465" t="inlineStr">
        <is>
          <t>GO</t>
        </is>
      </c>
      <c r="E465" t="inlineStr">
        <is>
          <t>CENTRO OESTE</t>
        </is>
      </c>
      <c r="F465" t="inlineStr">
        <is>
          <t>Cliente C - Misturador</t>
        </is>
      </c>
      <c r="G465" t="inlineStr">
        <is>
          <t>Chopeiras</t>
        </is>
      </c>
      <c r="H465" s="10" t="n">
        <v>210</v>
      </c>
      <c r="I465" s="10">
        <f>IFERROR(T465*H465,0)</f>
        <v/>
      </c>
      <c r="J465" s="11" t="n">
        <v>45986</v>
      </c>
      <c r="K465" s="11" t="n">
        <v>45992</v>
      </c>
      <c r="L465" t="inlineStr">
        <is>
          <t>Ok. Devolvida</t>
        </is>
      </c>
      <c r="M465">
        <f>IF(L465="","",IFERROR(VLOOKUP(L465,mapGrupoStatus,2,0),"Outros"))</f>
        <v/>
      </c>
      <c r="N465">
        <f>IF(O465="","",IF(O465&lt;=30,"0-30 dias",IF(O465&lt;=60,"31-60 dias",IF(O465&lt;=90,"61-90 dias","Mais de 90 dias"))))</f>
        <v/>
      </c>
      <c r="O465">
        <f>IF(OR(M465="Pendente",M465="Em andamento"),IF(J465="","",TODAY()-J465),"")</f>
        <v/>
      </c>
      <c r="P465" t="n">
        <v>11677</v>
      </c>
      <c r="Q465" t="inlineStr">
        <is>
          <t>Cool Service Manutenção (11677)</t>
        </is>
      </c>
      <c r="R465" t="inlineStr">
        <is>
          <t>PC-0029</t>
        </is>
      </c>
      <c r="S465" t="inlineStr">
        <is>
          <t>Serpentina modelo 01</t>
        </is>
      </c>
      <c r="T465" t="n">
        <v>1</v>
      </c>
      <c r="U465" t="n">
        <v>119</v>
      </c>
      <c r="V465">
        <f>IF(J465="","",MONTH(J465))</f>
        <v/>
      </c>
      <c r="W465">
        <f>IF(J465="","",YEAR(J465))</f>
        <v/>
      </c>
      <c r="X465" t="inlineStr">
        <is>
          <t>TransNorte</t>
        </is>
      </c>
      <c r="Y465">
        <f>IFERROR(INDEX(Rastreio!$H$2:$H$200,MATCH(X465&amp;"|"&amp;U465,Rastreio!$A$2:$A$200,0)),"")</f>
        <v/>
      </c>
    </row>
    <row r="466">
      <c r="A466">
        <f>IFERROR(INDEX(STAs!$G$2:$G$61,MATCH(P466,STAs!$F$2:$F$61,0))&amp;"","")</f>
        <v/>
      </c>
      <c r="B466" t="n">
        <v>20014844</v>
      </c>
      <c r="C466" t="inlineStr">
        <is>
          <t>Não</t>
        </is>
      </c>
      <c r="D466" t="inlineStr">
        <is>
          <t>AM</t>
        </is>
      </c>
      <c r="E466" t="inlineStr">
        <is>
          <t>NORTE</t>
        </is>
      </c>
      <c r="F466" t="inlineStr">
        <is>
          <t>Cliente B - Chopeira</t>
        </is>
      </c>
      <c r="G466" t="inlineStr">
        <is>
          <t>Refrigeradores</t>
        </is>
      </c>
      <c r="H466" s="10" t="n">
        <v>55</v>
      </c>
      <c r="I466" s="10">
        <f>IFERROR(T466*H466,0)</f>
        <v/>
      </c>
      <c r="J466" s="11" t="n">
        <v>45986</v>
      </c>
      <c r="K466" s="11" t="n"/>
      <c r="L466" t="inlineStr">
        <is>
          <t>Não Devolve-Norte</t>
        </is>
      </c>
      <c r="M466">
        <f>IF(L466="","",IFERROR(VLOOKUP(L466,mapGrupoStatus,2,0),"Outros"))</f>
        <v/>
      </c>
      <c r="N466">
        <f>IF(O466="","",IF(O466&lt;=30,"0-30 dias",IF(O466&lt;=60,"31-60 dias",IF(O466&lt;=90,"61-90 dias","Mais de 90 dias"))))</f>
        <v/>
      </c>
      <c r="O466">
        <f>IF(OR(M466="Pendente",M466="Em andamento"),IF(J466="","",TODAY()-J466),"")</f>
        <v/>
      </c>
      <c r="P466" t="n">
        <v>12269</v>
      </c>
      <c r="Q466" t="inlineStr">
        <is>
          <t>Polar Técnica (12269)</t>
        </is>
      </c>
      <c r="R466" t="inlineStr">
        <is>
          <t>PC-0008</t>
        </is>
      </c>
      <c r="S466" t="inlineStr">
        <is>
          <t>Ventilador modelo 02</t>
        </is>
      </c>
      <c r="T466" t="n">
        <v>1</v>
      </c>
      <c r="U466" t="inlineStr"/>
      <c r="V466">
        <f>IF(J466="","",MONTH(J466))</f>
        <v/>
      </c>
      <c r="W466">
        <f>IF(J466="","",YEAR(J466))</f>
        <v/>
      </c>
      <c r="X466" t="inlineStr"/>
      <c r="Y466">
        <f>IFERROR(INDEX(Rastreio!$H$2:$H$200,MATCH(X466&amp;"|"&amp;U466,Rastreio!$A$2:$A$200,0)),"")</f>
        <v/>
      </c>
    </row>
    <row r="467">
      <c r="A467">
        <f>IFERROR(INDEX(STAs!$G$2:$G$61,MATCH(P467,STAs!$F$2:$F$61,0))&amp;"","")</f>
        <v/>
      </c>
      <c r="B467" t="n">
        <v>20022059</v>
      </c>
      <c r="C467" t="inlineStr">
        <is>
          <t>Não</t>
        </is>
      </c>
      <c r="D467" t="inlineStr">
        <is>
          <t>RJ</t>
        </is>
      </c>
      <c r="E467" t="inlineStr">
        <is>
          <t>SUDESTE RJ e ES</t>
        </is>
      </c>
      <c r="F467" t="inlineStr">
        <is>
          <t>Cliente B - Chopeira</t>
        </is>
      </c>
      <c r="G467" t="inlineStr">
        <is>
          <t>Refrigeradores</t>
        </is>
      </c>
      <c r="H467" s="10" t="n">
        <v>55</v>
      </c>
      <c r="I467" s="10">
        <f>IFERROR(T467*H467,0)</f>
        <v/>
      </c>
      <c r="J467" s="11" t="n">
        <v>45986</v>
      </c>
      <c r="K467" s="11" t="n">
        <v>46023</v>
      </c>
      <c r="L467" t="inlineStr">
        <is>
          <t>Ok. Devolvida</t>
        </is>
      </c>
      <c r="M467">
        <f>IF(L467="","",IFERROR(VLOOKUP(L467,mapGrupoStatus,2,0),"Outros"))</f>
        <v/>
      </c>
      <c r="N467">
        <f>IF(O467="","",IF(O467&lt;=30,"0-30 dias",IF(O467&lt;=60,"31-60 dias",IF(O467&lt;=90,"61-90 dias","Mais de 90 dias"))))</f>
        <v/>
      </c>
      <c r="O467">
        <f>IF(OR(M467="Pendente",M467="Em andamento"),IF(J467="","",TODAY()-J467),"")</f>
        <v/>
      </c>
      <c r="P467" t="n">
        <v>10676</v>
      </c>
      <c r="Q467" t="inlineStr">
        <is>
          <t>Clima Serviços (10676)</t>
        </is>
      </c>
      <c r="R467" t="inlineStr">
        <is>
          <t>PC-0007</t>
        </is>
      </c>
      <c r="S467" t="inlineStr">
        <is>
          <t>Ventilador modelo 01</t>
        </is>
      </c>
      <c r="T467" t="n">
        <v>1</v>
      </c>
      <c r="U467" t="n">
        <v>138</v>
      </c>
      <c r="V467">
        <f>IF(J467="","",MONTH(J467))</f>
        <v/>
      </c>
      <c r="W467">
        <f>IF(J467="","",YEAR(J467))</f>
        <v/>
      </c>
      <c r="X467" t="inlineStr">
        <is>
          <t>LogExpress</t>
        </is>
      </c>
      <c r="Y467">
        <f>IFERROR(INDEX(Rastreio!$H$2:$H$200,MATCH(X467&amp;"|"&amp;U467,Rastreio!$A$2:$A$200,0)),"")</f>
        <v/>
      </c>
    </row>
    <row r="468">
      <c r="A468">
        <f>IFERROR(INDEX(STAs!$G$2:$G$61,MATCH(P468,STAs!$F$2:$F$61,0))&amp;"","")</f>
        <v/>
      </c>
      <c r="B468" t="n">
        <v>20024488</v>
      </c>
      <c r="C468" t="inlineStr">
        <is>
          <t>Sim</t>
        </is>
      </c>
      <c r="D468" t="inlineStr">
        <is>
          <t>GO</t>
        </is>
      </c>
      <c r="E468" t="inlineStr">
        <is>
          <t>CENTRO OESTE</t>
        </is>
      </c>
      <c r="F468" t="inlineStr">
        <is>
          <t>Cliente B - Chopeira</t>
        </is>
      </c>
      <c r="G468" t="inlineStr">
        <is>
          <t>Chopeiras</t>
        </is>
      </c>
      <c r="H468" s="10" t="n">
        <v>115</v>
      </c>
      <c r="I468" s="10">
        <f>IFERROR(T468*H468,0)</f>
        <v/>
      </c>
      <c r="J468" s="11" t="n">
        <v>45986</v>
      </c>
      <c r="K468" s="11" t="n"/>
      <c r="L468" t="inlineStr">
        <is>
          <t>Em transporte</t>
        </is>
      </c>
      <c r="M468">
        <f>IF(L468="","",IFERROR(VLOOKUP(L468,mapGrupoStatus,2,0),"Outros"))</f>
        <v/>
      </c>
      <c r="N468">
        <f>IF(O468="","",IF(O468&lt;=30,"0-30 dias",IF(O468&lt;=60,"31-60 dias",IF(O468&lt;=90,"61-90 dias","Mais de 90 dias"))))</f>
        <v/>
      </c>
      <c r="O468">
        <f>IF(OR(M468="Pendente",M468="Em andamento"),IF(J468="","",TODAY()-J468),"")</f>
        <v/>
      </c>
      <c r="P468" t="n">
        <v>11677</v>
      </c>
      <c r="Q468" t="inlineStr">
        <is>
          <t>Cool Service Manutenção (11677)</t>
        </is>
      </c>
      <c r="R468" t="inlineStr">
        <is>
          <t>PC-0033</t>
        </is>
      </c>
      <c r="S468" t="inlineStr">
        <is>
          <t>Regulador de pressão modelo 02</t>
        </is>
      </c>
      <c r="T468" t="n">
        <v>1</v>
      </c>
      <c r="U468" t="n">
        <v>136</v>
      </c>
      <c r="V468">
        <f>IF(J468="","",MONTH(J468))</f>
        <v/>
      </c>
      <c r="W468">
        <f>IF(J468="","",YEAR(J468))</f>
        <v/>
      </c>
      <c r="X468" t="inlineStr">
        <is>
          <t>EntregaJá</t>
        </is>
      </c>
      <c r="Y468">
        <f>IFERROR(INDEX(Rastreio!$H$2:$H$200,MATCH(X468&amp;"|"&amp;U468,Rastreio!$A$2:$A$200,0)),"")</f>
        <v/>
      </c>
    </row>
    <row r="469">
      <c r="A469">
        <f>IFERROR(INDEX(STAs!$G$2:$G$61,MATCH(P469,STAs!$F$2:$F$61,0))&amp;"","")</f>
        <v/>
      </c>
      <c r="B469" t="n">
        <v>20027045</v>
      </c>
      <c r="C469" t="inlineStr">
        <is>
          <t>Não</t>
        </is>
      </c>
      <c r="D469" t="inlineStr">
        <is>
          <t>RJ</t>
        </is>
      </c>
      <c r="E469" t="inlineStr">
        <is>
          <t>SUDESTE RJ e ES</t>
        </is>
      </c>
      <c r="F469" t="inlineStr">
        <is>
          <t>Cliente C - Misturador</t>
        </is>
      </c>
      <c r="G469" t="inlineStr">
        <is>
          <t>Misturadores</t>
        </is>
      </c>
      <c r="H469" s="10" t="n">
        <v>50</v>
      </c>
      <c r="I469" s="10">
        <f>IFERROR(T469*H469,0)</f>
        <v/>
      </c>
      <c r="J469" s="11" t="n">
        <v>45986</v>
      </c>
      <c r="K469" s="11" t="n">
        <v>46020</v>
      </c>
      <c r="L469" t="inlineStr">
        <is>
          <t>Ok. Devolvida</t>
        </is>
      </c>
      <c r="M469">
        <f>IF(L469="","",IFERROR(VLOOKUP(L469,mapGrupoStatus,2,0),"Outros"))</f>
        <v/>
      </c>
      <c r="N469">
        <f>IF(O469="","",IF(O469&lt;=30,"0-30 dias",IF(O469&lt;=60,"31-60 dias",IF(O469&lt;=90,"61-90 dias","Mais de 90 dias"))))</f>
        <v/>
      </c>
      <c r="O469">
        <f>IF(OR(M469="Pendente",M469="Em andamento"),IF(J469="","",TODAY()-J469),"")</f>
        <v/>
      </c>
      <c r="P469" t="n">
        <v>11059</v>
      </c>
      <c r="Q469" t="inlineStr">
        <is>
          <t>Frio Ltda (11059)</t>
        </is>
      </c>
      <c r="R469" t="inlineStr">
        <is>
          <t>PC-0044</t>
        </is>
      </c>
      <c r="S469" t="inlineStr">
        <is>
          <t>Bico dosador modelo 03</t>
        </is>
      </c>
      <c r="T469" t="n">
        <v>1</v>
      </c>
      <c r="U469" t="n">
        <v>148</v>
      </c>
      <c r="V469">
        <f>IF(J469="","",MONTH(J469))</f>
        <v/>
      </c>
      <c r="W469">
        <f>IF(J469="","",YEAR(J469))</f>
        <v/>
      </c>
      <c r="X469" t="inlineStr">
        <is>
          <t>TransNorte</t>
        </is>
      </c>
      <c r="Y469">
        <f>IFERROR(INDEX(Rastreio!$H$2:$H$200,MATCH(X469&amp;"|"&amp;U469,Rastreio!$A$2:$A$200,0)),"")</f>
        <v/>
      </c>
    </row>
    <row r="470">
      <c r="A470">
        <f>IFERROR(INDEX(STAs!$G$2:$G$61,MATCH(P470,STAs!$F$2:$F$61,0))&amp;"","")</f>
        <v/>
      </c>
      <c r="B470" t="n">
        <v>20031881</v>
      </c>
      <c r="C470" t="inlineStr">
        <is>
          <t>Não</t>
        </is>
      </c>
      <c r="D470" t="inlineStr">
        <is>
          <t>RJ</t>
        </is>
      </c>
      <c r="E470" t="inlineStr">
        <is>
          <t>SUDESTE RJ e ES</t>
        </is>
      </c>
      <c r="F470" t="inlineStr">
        <is>
          <t>Cliente B - Chopeira</t>
        </is>
      </c>
      <c r="G470" t="inlineStr">
        <is>
          <t>Misturadores</t>
        </is>
      </c>
      <c r="H470" s="10" t="n">
        <v>200</v>
      </c>
      <c r="I470" s="10">
        <f>IFERROR(T470*H470,0)</f>
        <v/>
      </c>
      <c r="J470" s="11" t="n">
        <v>45986</v>
      </c>
      <c r="K470" s="11" t="n"/>
      <c r="L470" t="inlineStr">
        <is>
          <t>Em transporte</t>
        </is>
      </c>
      <c r="M470">
        <f>IF(L470="","",IFERROR(VLOOKUP(L470,mapGrupoStatus,2,0),"Outros"))</f>
        <v/>
      </c>
      <c r="N470">
        <f>IF(O470="","",IF(O470&lt;=30,"0-30 dias",IF(O470&lt;=60,"31-60 dias",IF(O470&lt;=90,"61-90 dias","Mais de 90 dias"))))</f>
        <v/>
      </c>
      <c r="O470">
        <f>IF(OR(M470="Pendente",M470="Em andamento"),IF(J470="","",TODAY()-J470),"")</f>
        <v/>
      </c>
      <c r="P470" t="n">
        <v>11059</v>
      </c>
      <c r="Q470" t="inlineStr">
        <is>
          <t>Frio Ltda (11059)</t>
        </is>
      </c>
      <c r="R470" t="inlineStr">
        <is>
          <t>PC-0040</t>
        </is>
      </c>
      <c r="S470" t="inlineStr">
        <is>
          <t>Motor agitador modelo 01</t>
        </is>
      </c>
      <c r="T470" t="n">
        <v>1</v>
      </c>
      <c r="U470" t="n">
        <v>155</v>
      </c>
      <c r="V470">
        <f>IF(J470="","",MONTH(J470))</f>
        <v/>
      </c>
      <c r="W470">
        <f>IF(J470="","",YEAR(J470))</f>
        <v/>
      </c>
      <c r="X470" t="inlineStr">
        <is>
          <t>RotaSul</t>
        </is>
      </c>
      <c r="Y470">
        <f>IFERROR(INDEX(Rastreio!$H$2:$H$200,MATCH(X470&amp;"|"&amp;U470,Rastreio!$A$2:$A$200,0)),"")</f>
        <v/>
      </c>
    </row>
    <row r="471">
      <c r="A471">
        <f>IFERROR(INDEX(STAs!$G$2:$G$61,MATCH(P471,STAs!$F$2:$F$61,0))&amp;"","")</f>
        <v/>
      </c>
      <c r="B471" t="n">
        <v>20036071</v>
      </c>
      <c r="C471" t="inlineStr">
        <is>
          <t>Não</t>
        </is>
      </c>
      <c r="D471" t="inlineStr">
        <is>
          <t>DF</t>
        </is>
      </c>
      <c r="E471" t="inlineStr">
        <is>
          <t>CENTRO OESTE</t>
        </is>
      </c>
      <c r="F471" t="inlineStr">
        <is>
          <t>Cliente B - Chopeira</t>
        </is>
      </c>
      <c r="G471" t="inlineStr">
        <is>
          <t>Chopeiras</t>
        </is>
      </c>
      <c r="H471" s="10" t="n">
        <v>120</v>
      </c>
      <c r="I471" s="10">
        <f>IFERROR(T471*H471,0)</f>
        <v/>
      </c>
      <c r="J471" s="11" t="n">
        <v>45986</v>
      </c>
      <c r="K471" s="11" t="n">
        <v>46006</v>
      </c>
      <c r="L471" t="inlineStr">
        <is>
          <t>Ok. Devolvida</t>
        </is>
      </c>
      <c r="M471">
        <f>IF(L471="","",IFERROR(VLOOKUP(L471,mapGrupoStatus,2,0),"Outros"))</f>
        <v/>
      </c>
      <c r="N471">
        <f>IF(O471="","",IF(O471&lt;=30,"0-30 dias",IF(O471&lt;=60,"31-60 dias",IF(O471&lt;=90,"61-90 dias","Mais de 90 dias"))))</f>
        <v/>
      </c>
      <c r="O471">
        <f>IF(OR(M471="Pendente",M471="Em andamento"),IF(J471="","",TODAY()-J471),"")</f>
        <v/>
      </c>
      <c r="P471" t="n">
        <v>10021</v>
      </c>
      <c r="Q471" t="inlineStr">
        <is>
          <t>Termotec Técnica (10021)</t>
        </is>
      </c>
      <c r="R471" t="inlineStr">
        <is>
          <t>PC-0032</t>
        </is>
      </c>
      <c r="S471" t="inlineStr">
        <is>
          <t>Regulador de pressão modelo 01</t>
        </is>
      </c>
      <c r="T471" t="n">
        <v>3</v>
      </c>
      <c r="U471" t="n">
        <v>149</v>
      </c>
      <c r="V471">
        <f>IF(J471="","",MONTH(J471))</f>
        <v/>
      </c>
      <c r="W471">
        <f>IF(J471="","",YEAR(J471))</f>
        <v/>
      </c>
      <c r="X471" t="inlineStr">
        <is>
          <t>EntregaJá</t>
        </is>
      </c>
      <c r="Y471">
        <f>IFERROR(INDEX(Rastreio!$H$2:$H$200,MATCH(X471&amp;"|"&amp;U471,Rastreio!$A$2:$A$200,0)),"")</f>
        <v/>
      </c>
    </row>
    <row r="472">
      <c r="A472">
        <f>IFERROR(INDEX(STAs!$G$2:$G$61,MATCH(P472,STAs!$F$2:$F$61,0))&amp;"","")</f>
        <v/>
      </c>
      <c r="B472" t="n">
        <v>20005395</v>
      </c>
      <c r="C472" t="inlineStr">
        <is>
          <t>Sim</t>
        </is>
      </c>
      <c r="D472" t="inlineStr">
        <is>
          <t>PR</t>
        </is>
      </c>
      <c r="E472" t="inlineStr">
        <is>
          <t>SUL</t>
        </is>
      </c>
      <c r="F472" t="inlineStr">
        <is>
          <t>Cliente B - Chopeira</t>
        </is>
      </c>
      <c r="G472" t="inlineStr">
        <is>
          <t>Misturadores</t>
        </is>
      </c>
      <c r="H472" s="10" t="n">
        <v>255</v>
      </c>
      <c r="I472" s="10">
        <f>IFERROR(T472*H472,0)</f>
        <v/>
      </c>
      <c r="J472" s="11" t="n">
        <v>45987</v>
      </c>
      <c r="K472" s="11" t="n"/>
      <c r="L472" t="inlineStr">
        <is>
          <t>Em andamento</t>
        </is>
      </c>
      <c r="M472">
        <f>IF(L472="","",IFERROR(VLOOKUP(L472,mapGrupoStatus,2,0),"Outros"))</f>
        <v/>
      </c>
      <c r="N472">
        <f>IF(O472="","",IF(O472&lt;=30,"0-30 dias",IF(O472&lt;=60,"31-60 dias",IF(O472&lt;=90,"61-90 dias","Mais de 90 dias"))))</f>
        <v/>
      </c>
      <c r="O472">
        <f>IF(OR(M472="Pendente",M472="Em andamento"),IF(J472="","",TODAY()-J472),"")</f>
        <v/>
      </c>
      <c r="P472" t="n">
        <v>10753</v>
      </c>
      <c r="Q472" t="inlineStr">
        <is>
          <t>Refrigel &amp; Cia (10753)</t>
        </is>
      </c>
      <c r="R472" t="inlineStr">
        <is>
          <t>PC-0037</t>
        </is>
      </c>
      <c r="S472" t="inlineStr">
        <is>
          <t>Bomba de recirculação modelo 01</t>
        </is>
      </c>
      <c r="T472" t="n">
        <v>1</v>
      </c>
      <c r="U472" t="n">
        <v>109</v>
      </c>
      <c r="V472">
        <f>IF(J472="","",MONTH(J472))</f>
        <v/>
      </c>
      <c r="W472">
        <f>IF(J472="","",YEAR(J472))</f>
        <v/>
      </c>
      <c r="X472" t="inlineStr">
        <is>
          <t>TransNorte</t>
        </is>
      </c>
      <c r="Y472">
        <f>IFERROR(INDEX(Rastreio!$H$2:$H$200,MATCH(X472&amp;"|"&amp;U472,Rastreio!$A$2:$A$200,0)),"")</f>
        <v/>
      </c>
    </row>
    <row r="473">
      <c r="A473">
        <f>IFERROR(INDEX(STAs!$G$2:$G$61,MATCH(P473,STAs!$F$2:$F$61,0))&amp;"","")</f>
        <v/>
      </c>
      <c r="B473" t="n">
        <v>20018563</v>
      </c>
      <c r="C473" t="inlineStr">
        <is>
          <t>Sim</t>
        </is>
      </c>
      <c r="D473" t="inlineStr">
        <is>
          <t>CE</t>
        </is>
      </c>
      <c r="E473" t="inlineStr">
        <is>
          <t>NORDESTE</t>
        </is>
      </c>
      <c r="F473" t="inlineStr">
        <is>
          <t>Cliente C - Misturador</t>
        </is>
      </c>
      <c r="G473" t="inlineStr">
        <is>
          <t>Refrigeradores</t>
        </is>
      </c>
      <c r="H473" s="10" t="n">
        <v>45</v>
      </c>
      <c r="I473" s="10">
        <f>IFERROR(T473*H473,0)</f>
        <v/>
      </c>
      <c r="J473" s="11" t="n">
        <v>45987</v>
      </c>
      <c r="K473" s="11" t="n"/>
      <c r="L473" t="inlineStr">
        <is>
          <t>Aguardando Transporte</t>
        </is>
      </c>
      <c r="M473">
        <f>IF(L473="","",IFERROR(VLOOKUP(L473,mapGrupoStatus,2,0),"Outros"))</f>
        <v/>
      </c>
      <c r="N473">
        <f>IF(O473="","",IF(O473&lt;=30,"0-30 dias",IF(O473&lt;=60,"31-60 dias",IF(O473&lt;=90,"61-90 dias","Mais de 90 dias"))))</f>
        <v/>
      </c>
      <c r="O473">
        <f>IF(OR(M473="Pendente",M473="Em andamento"),IF(J473="","",TODAY()-J473),"")</f>
        <v/>
      </c>
      <c r="P473" t="n">
        <v>10615</v>
      </c>
      <c r="Q473" t="inlineStr">
        <is>
          <t>Brisa Técnica (10615)</t>
        </is>
      </c>
      <c r="R473" t="inlineStr">
        <is>
          <t>PC-0019</t>
        </is>
      </c>
      <c r="S473" t="inlineStr">
        <is>
          <t>Gaxeta da porta modelo 02</t>
        </is>
      </c>
      <c r="T473" t="n">
        <v>1</v>
      </c>
      <c r="U473" t="n">
        <v>135</v>
      </c>
      <c r="V473">
        <f>IF(J473="","",MONTH(J473))</f>
        <v/>
      </c>
      <c r="W473">
        <f>IF(J473="","",YEAR(J473))</f>
        <v/>
      </c>
      <c r="X473" t="inlineStr">
        <is>
          <t>ViaCargo</t>
        </is>
      </c>
      <c r="Y473">
        <f>IFERROR(INDEX(Rastreio!$H$2:$H$200,MATCH(X473&amp;"|"&amp;U473,Rastreio!$A$2:$A$200,0)),"")</f>
        <v/>
      </c>
    </row>
    <row r="474">
      <c r="A474">
        <f>IFERROR(INDEX(STAs!$G$2:$G$61,MATCH(P474,STAs!$F$2:$F$61,0))&amp;"","")</f>
        <v/>
      </c>
      <c r="B474" t="n">
        <v>20032013</v>
      </c>
      <c r="C474" t="inlineStr">
        <is>
          <t>Não</t>
        </is>
      </c>
      <c r="D474" t="inlineStr">
        <is>
          <t>AM</t>
        </is>
      </c>
      <c r="E474" t="inlineStr">
        <is>
          <t>NORTE</t>
        </is>
      </c>
      <c r="F474" t="inlineStr">
        <is>
          <t>Cliente A - Refrigerador</t>
        </is>
      </c>
      <c r="G474" t="inlineStr">
        <is>
          <t>Misturadores</t>
        </is>
      </c>
      <c r="H474" s="10" t="n">
        <v>265</v>
      </c>
      <c r="I474" s="10">
        <f>IFERROR(T474*H474,0)</f>
        <v/>
      </c>
      <c r="J474" s="11" t="n">
        <v>45987</v>
      </c>
      <c r="K474" s="11" t="n">
        <v>46001</v>
      </c>
      <c r="L474" t="inlineStr">
        <is>
          <t>Ok. Devolvida</t>
        </is>
      </c>
      <c r="M474">
        <f>IF(L474="","",IFERROR(VLOOKUP(L474,mapGrupoStatus,2,0),"Outros"))</f>
        <v/>
      </c>
      <c r="N474">
        <f>IF(O474="","",IF(O474&lt;=30,"0-30 dias",IF(O474&lt;=60,"31-60 dias",IF(O474&lt;=90,"61-90 dias","Mais de 90 dias"))))</f>
        <v/>
      </c>
      <c r="O474">
        <f>IF(OR(M474="Pendente",M474="Em andamento"),IF(J474="","",TODAY()-J474),"")</f>
        <v/>
      </c>
      <c r="P474" t="n">
        <v>10842</v>
      </c>
      <c r="Q474" t="inlineStr">
        <is>
          <t>Frigo &amp; Cia (10842)</t>
        </is>
      </c>
      <c r="R474" t="inlineStr">
        <is>
          <t>PC-0038</t>
        </is>
      </c>
      <c r="S474" t="inlineStr">
        <is>
          <t>Bomba de recirculação modelo 02</t>
        </is>
      </c>
      <c r="T474" t="n">
        <v>1</v>
      </c>
      <c r="U474" t="n">
        <v>156</v>
      </c>
      <c r="V474">
        <f>IF(J474="","",MONTH(J474))</f>
        <v/>
      </c>
      <c r="W474">
        <f>IF(J474="","",YEAR(J474))</f>
        <v/>
      </c>
      <c r="X474" t="inlineStr">
        <is>
          <t>TransNorte</t>
        </is>
      </c>
      <c r="Y474">
        <f>IFERROR(INDEX(Rastreio!$H$2:$H$200,MATCH(X474&amp;"|"&amp;U474,Rastreio!$A$2:$A$200,0)),"")</f>
        <v/>
      </c>
    </row>
    <row r="475">
      <c r="A475">
        <f>IFERROR(INDEX(STAs!$G$2:$G$61,MATCH(P475,STAs!$F$2:$F$61,0))&amp;"","")</f>
        <v/>
      </c>
      <c r="B475" t="n">
        <v>20033429</v>
      </c>
      <c r="C475" t="inlineStr">
        <is>
          <t>Não</t>
        </is>
      </c>
      <c r="D475" t="inlineStr">
        <is>
          <t>AM</t>
        </is>
      </c>
      <c r="E475" t="inlineStr">
        <is>
          <t>NORTE</t>
        </is>
      </c>
      <c r="F475" t="inlineStr">
        <is>
          <t>Cliente A - Refrigerador</t>
        </is>
      </c>
      <c r="G475" t="inlineStr">
        <is>
          <t>Misturadores</t>
        </is>
      </c>
      <c r="H475" s="10" t="n">
        <v>255</v>
      </c>
      <c r="I475" s="10">
        <f>IFERROR(T475*H475,0)</f>
        <v/>
      </c>
      <c r="J475" s="11" t="n">
        <v>45987</v>
      </c>
      <c r="K475" s="11" t="n"/>
      <c r="L475" t="inlineStr">
        <is>
          <t>Não Devolve-Norte</t>
        </is>
      </c>
      <c r="M475">
        <f>IF(L475="","",IFERROR(VLOOKUP(L475,mapGrupoStatus,2,0),"Outros"))</f>
        <v/>
      </c>
      <c r="N475">
        <f>IF(O475="","",IF(O475&lt;=30,"0-30 dias",IF(O475&lt;=60,"31-60 dias",IF(O475&lt;=90,"61-90 dias","Mais de 90 dias"))))</f>
        <v/>
      </c>
      <c r="O475">
        <f>IF(OR(M475="Pendente",M475="Em andamento"),IF(J475="","",TODAY()-J475),"")</f>
        <v/>
      </c>
      <c r="P475" t="n">
        <v>12269</v>
      </c>
      <c r="Q475" t="inlineStr">
        <is>
          <t>Polar Técnica (12269)</t>
        </is>
      </c>
      <c r="R475" t="inlineStr">
        <is>
          <t>PC-0039</t>
        </is>
      </c>
      <c r="S475" t="inlineStr">
        <is>
          <t>Bomba de recirculação modelo 03</t>
        </is>
      </c>
      <c r="T475" t="n">
        <v>1</v>
      </c>
      <c r="U475" t="inlineStr"/>
      <c r="V475">
        <f>IF(J475="","",MONTH(J475))</f>
        <v/>
      </c>
      <c r="W475">
        <f>IF(J475="","",YEAR(J475))</f>
        <v/>
      </c>
      <c r="X475" t="inlineStr"/>
      <c r="Y475">
        <f>IFERROR(INDEX(Rastreio!$H$2:$H$200,MATCH(X475&amp;"|"&amp;U475,Rastreio!$A$2:$A$200,0)),"")</f>
        <v/>
      </c>
    </row>
    <row r="476">
      <c r="A476">
        <f>IFERROR(INDEX(STAs!$G$2:$G$61,MATCH(P476,STAs!$F$2:$F$61,0))&amp;"","")</f>
        <v/>
      </c>
      <c r="B476" t="n">
        <v>20036050</v>
      </c>
      <c r="C476" t="inlineStr">
        <is>
          <t>Não</t>
        </is>
      </c>
      <c r="D476" t="inlineStr">
        <is>
          <t>RJ</t>
        </is>
      </c>
      <c r="E476" t="inlineStr">
        <is>
          <t>SUDESTE RJ e ES</t>
        </is>
      </c>
      <c r="F476" t="inlineStr">
        <is>
          <t>Cliente C - Misturador</t>
        </is>
      </c>
      <c r="G476" t="inlineStr">
        <is>
          <t>Misturadores</t>
        </is>
      </c>
      <c r="H476" s="10" t="n">
        <v>265</v>
      </c>
      <c r="I476" s="10">
        <f>IFERROR(T476*H476,0)</f>
        <v/>
      </c>
      <c r="J476" s="11" t="n">
        <v>45987</v>
      </c>
      <c r="K476" s="11" t="n">
        <v>46008</v>
      </c>
      <c r="L476" t="inlineStr">
        <is>
          <t>Ok. Devolvida</t>
        </is>
      </c>
      <c r="M476">
        <f>IF(L476="","",IFERROR(VLOOKUP(L476,mapGrupoStatus,2,0),"Outros"))</f>
        <v/>
      </c>
      <c r="N476">
        <f>IF(O476="","",IF(O476&lt;=30,"0-30 dias",IF(O476&lt;=60,"31-60 dias",IF(O476&lt;=90,"61-90 dias","Mais de 90 dias"))))</f>
        <v/>
      </c>
      <c r="O476">
        <f>IF(OR(M476="Pendente",M476="Em andamento"),IF(J476="","",TODAY()-J476),"")</f>
        <v/>
      </c>
      <c r="P476" t="n">
        <v>12811</v>
      </c>
      <c r="Q476" t="inlineStr">
        <is>
          <t>Norte Frio Técnica (12811)</t>
        </is>
      </c>
      <c r="R476" t="inlineStr">
        <is>
          <t>PC-0038</t>
        </is>
      </c>
      <c r="S476" t="inlineStr">
        <is>
          <t>Bomba de recirculação modelo 02</t>
        </is>
      </c>
      <c r="T476" t="n">
        <v>2</v>
      </c>
      <c r="U476" t="n">
        <v>164</v>
      </c>
      <c r="V476">
        <f>IF(J476="","",MONTH(J476))</f>
        <v/>
      </c>
      <c r="W476">
        <f>IF(J476="","",YEAR(J476))</f>
        <v/>
      </c>
      <c r="X476" t="inlineStr">
        <is>
          <t>TransNorte</t>
        </is>
      </c>
      <c r="Y476">
        <f>IFERROR(INDEX(Rastreio!$H$2:$H$200,MATCH(X476&amp;"|"&amp;U476,Rastreio!$A$2:$A$200,0)),"")</f>
        <v/>
      </c>
    </row>
    <row r="477">
      <c r="A477">
        <f>IFERROR(INDEX(STAs!$G$2:$G$61,MATCH(P477,STAs!$F$2:$F$61,0))&amp;"","")</f>
        <v/>
      </c>
      <c r="B477" t="n">
        <v>20038827</v>
      </c>
      <c r="C477" t="inlineStr">
        <is>
          <t>Não</t>
        </is>
      </c>
      <c r="D477" t="inlineStr">
        <is>
          <t>AP</t>
        </is>
      </c>
      <c r="E477" t="inlineStr">
        <is>
          <t>NORTE</t>
        </is>
      </c>
      <c r="F477" t="inlineStr">
        <is>
          <t>Cliente B - Chopeira</t>
        </is>
      </c>
      <c r="G477" t="inlineStr">
        <is>
          <t>Misturadores</t>
        </is>
      </c>
      <c r="H477" s="10" t="n">
        <v>50</v>
      </c>
      <c r="I477" s="10">
        <f>IFERROR(T477*H477,0)</f>
        <v/>
      </c>
      <c r="J477" s="11" t="n">
        <v>45987</v>
      </c>
      <c r="K477" s="11" t="n"/>
      <c r="L477" t="inlineStr">
        <is>
          <t>Não Devolve-Norte</t>
        </is>
      </c>
      <c r="M477">
        <f>IF(L477="","",IFERROR(VLOOKUP(L477,mapGrupoStatus,2,0),"Outros"))</f>
        <v/>
      </c>
      <c r="N477">
        <f>IF(O477="","",IF(O477&lt;=30,"0-30 dias",IF(O477&lt;=60,"31-60 dias",IF(O477&lt;=90,"61-90 dias","Mais de 90 dias"))))</f>
        <v/>
      </c>
      <c r="O477">
        <f>IF(OR(M477="Pendente",M477="Em andamento"),IF(J477="","",TODAY()-J477),"")</f>
        <v/>
      </c>
      <c r="P477" t="n">
        <v>11859</v>
      </c>
      <c r="Q477" t="inlineStr">
        <is>
          <t>Ice Tech Serviços (11859)</t>
        </is>
      </c>
      <c r="R477" t="inlineStr">
        <is>
          <t>PC-0045</t>
        </is>
      </c>
      <c r="S477" t="inlineStr">
        <is>
          <t>Sensor de nível modelo 01</t>
        </is>
      </c>
      <c r="T477" t="n">
        <v>1</v>
      </c>
      <c r="U477" t="inlineStr"/>
      <c r="V477">
        <f>IF(J477="","",MONTH(J477))</f>
        <v/>
      </c>
      <c r="W477">
        <f>IF(J477="","",YEAR(J477))</f>
        <v/>
      </c>
      <c r="X477" t="inlineStr"/>
      <c r="Y477">
        <f>IFERROR(INDEX(Rastreio!$H$2:$H$200,MATCH(X477&amp;"|"&amp;U477,Rastreio!$A$2:$A$200,0)),"")</f>
        <v/>
      </c>
    </row>
    <row r="478">
      <c r="A478">
        <f>IFERROR(INDEX(STAs!$G$2:$G$61,MATCH(P478,STAs!$F$2:$F$61,0))&amp;"","")</f>
        <v/>
      </c>
      <c r="B478" t="n">
        <v>20040774</v>
      </c>
      <c r="C478" t="inlineStr">
        <is>
          <t>Sim</t>
        </is>
      </c>
      <c r="D478" t="inlineStr">
        <is>
          <t>PR</t>
        </is>
      </c>
      <c r="E478" t="inlineStr">
        <is>
          <t>SUL</t>
        </is>
      </c>
      <c r="F478" t="inlineStr">
        <is>
          <t>Cliente C - Misturador</t>
        </is>
      </c>
      <c r="G478" t="inlineStr">
        <is>
          <t>Refrigeradores</t>
        </is>
      </c>
      <c r="H478" s="10" t="n">
        <v>50</v>
      </c>
      <c r="I478" s="10">
        <f>IFERROR(T478*H478,0)</f>
        <v/>
      </c>
      <c r="J478" s="11" t="n">
        <v>45987</v>
      </c>
      <c r="K478" s="11" t="n">
        <v>46028</v>
      </c>
      <c r="L478" t="inlineStr">
        <is>
          <t>Ok. Devolvida</t>
        </is>
      </c>
      <c r="M478">
        <f>IF(L478="","",IFERROR(VLOOKUP(L478,mapGrupoStatus,2,0),"Outros"))</f>
        <v/>
      </c>
      <c r="N478">
        <f>IF(O478="","",IF(O478&lt;=30,"0-30 dias",IF(O478&lt;=60,"31-60 dias",IF(O478&lt;=90,"61-90 dias","Mais de 90 dias"))))</f>
        <v/>
      </c>
      <c r="O478">
        <f>IF(OR(M478="Pendente",M478="Em andamento"),IF(J478="","",TODAY()-J478),"")</f>
        <v/>
      </c>
      <c r="P478" t="n">
        <v>10753</v>
      </c>
      <c r="Q478" t="inlineStr">
        <is>
          <t>Refrigel &amp; Cia (10753)</t>
        </is>
      </c>
      <c r="R478" t="inlineStr">
        <is>
          <t>PC-0006</t>
        </is>
      </c>
      <c r="S478" t="inlineStr">
        <is>
          <t>Termostato modelo 03</t>
        </is>
      </c>
      <c r="T478" t="n">
        <v>2</v>
      </c>
      <c r="U478" t="n">
        <v>160</v>
      </c>
      <c r="V478">
        <f>IF(J478="","",MONTH(J478))</f>
        <v/>
      </c>
      <c r="W478">
        <f>IF(J478="","",YEAR(J478))</f>
        <v/>
      </c>
      <c r="X478" t="inlineStr">
        <is>
          <t>EntregaJá</t>
        </is>
      </c>
      <c r="Y478">
        <f>IFERROR(INDEX(Rastreio!$H$2:$H$200,MATCH(X478&amp;"|"&amp;U478,Rastreio!$A$2:$A$200,0)),"")</f>
        <v/>
      </c>
    </row>
    <row r="479">
      <c r="A479">
        <f>IFERROR(INDEX(STAs!$G$2:$G$61,MATCH(P479,STAs!$F$2:$F$61,0))&amp;"","")</f>
        <v/>
      </c>
      <c r="B479" t="n">
        <v>20040783</v>
      </c>
      <c r="C479" t="inlineStr">
        <is>
          <t>Não</t>
        </is>
      </c>
      <c r="D479" t="inlineStr">
        <is>
          <t>MG</t>
        </is>
      </c>
      <c r="E479" t="inlineStr">
        <is>
          <t>SUDESTE MG</t>
        </is>
      </c>
      <c r="F479" t="inlineStr">
        <is>
          <t>Cliente B - Chopeira</t>
        </is>
      </c>
      <c r="G479" t="inlineStr">
        <is>
          <t>Refrigeradores</t>
        </is>
      </c>
      <c r="H479" s="10" t="n">
        <v>190</v>
      </c>
      <c r="I479" s="10">
        <f>IFERROR(T479*H479,0)</f>
        <v/>
      </c>
      <c r="J479" s="11" t="n">
        <v>45987</v>
      </c>
      <c r="K479" s="11" t="n"/>
      <c r="L479" t="inlineStr">
        <is>
          <t>Aguardando Transporte</t>
        </is>
      </c>
      <c r="M479">
        <f>IF(L479="","",IFERROR(VLOOKUP(L479,mapGrupoStatus,2,0),"Outros"))</f>
        <v/>
      </c>
      <c r="N479">
        <f>IF(O479="","",IF(O479&lt;=30,"0-30 dias",IF(O479&lt;=60,"31-60 dias",IF(O479&lt;=90,"61-90 dias","Mais de 90 dias"))))</f>
        <v/>
      </c>
      <c r="O479">
        <f>IF(OR(M479="Pendente",M479="Em andamento"),IF(J479="","",TODAY()-J479),"")</f>
        <v/>
      </c>
      <c r="P479" t="n">
        <v>11494</v>
      </c>
      <c r="Q479" t="inlineStr">
        <is>
          <t>Clima Técnica (11494)</t>
        </is>
      </c>
      <c r="R479" t="inlineStr">
        <is>
          <t>PC-0014</t>
        </is>
      </c>
      <c r="S479" t="inlineStr">
        <is>
          <t>Placa eletrônica modelo 04</t>
        </is>
      </c>
      <c r="T479" t="n">
        <v>1</v>
      </c>
      <c r="U479" t="n">
        <v>160</v>
      </c>
      <c r="V479">
        <f>IF(J479="","",MONTH(J479))</f>
        <v/>
      </c>
      <c r="W479">
        <f>IF(J479="","",YEAR(J479))</f>
        <v/>
      </c>
      <c r="X479" t="inlineStr">
        <is>
          <t>EntregaJá</t>
        </is>
      </c>
      <c r="Y479">
        <f>IFERROR(INDEX(Rastreio!$H$2:$H$200,MATCH(X479&amp;"|"&amp;U479,Rastreio!$A$2:$A$200,0)),"")</f>
        <v/>
      </c>
    </row>
    <row r="480">
      <c r="A480">
        <f>IFERROR(INDEX(STAs!$G$2:$G$61,MATCH(P480,STAs!$F$2:$F$61,0))&amp;"","")</f>
        <v/>
      </c>
      <c r="B480" t="n">
        <v>20021676</v>
      </c>
      <c r="C480" t="inlineStr">
        <is>
          <t>Não</t>
        </is>
      </c>
      <c r="D480" t="inlineStr">
        <is>
          <t>BA</t>
        </is>
      </c>
      <c r="E480" t="inlineStr">
        <is>
          <t>NORDESTE</t>
        </is>
      </c>
      <c r="F480" t="inlineStr">
        <is>
          <t>Cliente A - Refrigerador</t>
        </is>
      </c>
      <c r="G480" t="inlineStr">
        <is>
          <t>Chopeiras</t>
        </is>
      </c>
      <c r="H480" s="10" t="n">
        <v>115</v>
      </c>
      <c r="I480" s="10">
        <f>IFERROR(T480*H480,0)</f>
        <v/>
      </c>
      <c r="J480" s="11" t="n">
        <v>45988</v>
      </c>
      <c r="K480" s="11" t="n">
        <v>46019</v>
      </c>
      <c r="L480" t="inlineStr">
        <is>
          <t>Ok. Devolvida</t>
        </is>
      </c>
      <c r="M480">
        <f>IF(L480="","",IFERROR(VLOOKUP(L480,mapGrupoStatus,2,0),"Outros"))</f>
        <v/>
      </c>
      <c r="N480">
        <f>IF(O480="","",IF(O480&lt;=30,"0-30 dias",IF(O480&lt;=60,"31-60 dias",IF(O480&lt;=90,"61-90 dias","Mais de 90 dias"))))</f>
        <v/>
      </c>
      <c r="O480">
        <f>IF(OR(M480="Pendente",M480="Em andamento"),IF(J480="","",TODAY()-J480),"")</f>
        <v/>
      </c>
      <c r="P480" t="n">
        <v>11244</v>
      </c>
      <c r="Q480" t="inlineStr">
        <is>
          <t>Refrigeração Manutenção (11244)</t>
        </is>
      </c>
      <c r="R480" t="inlineStr">
        <is>
          <t>PC-0034</t>
        </is>
      </c>
      <c r="S480" t="inlineStr">
        <is>
          <t>Regulador de pressão modelo 03</t>
        </is>
      </c>
      <c r="T480" t="n">
        <v>1</v>
      </c>
      <c r="U480" t="n">
        <v>134</v>
      </c>
      <c r="V480">
        <f>IF(J480="","",MONTH(J480))</f>
        <v/>
      </c>
      <c r="W480">
        <f>IF(J480="","",YEAR(J480))</f>
        <v/>
      </c>
      <c r="X480" t="inlineStr">
        <is>
          <t>RotaSul</t>
        </is>
      </c>
      <c r="Y480">
        <f>IFERROR(INDEX(Rastreio!$H$2:$H$200,MATCH(X480&amp;"|"&amp;U480,Rastreio!$A$2:$A$200,0)),"")</f>
        <v/>
      </c>
    </row>
    <row r="481">
      <c r="A481">
        <f>IFERROR(INDEX(STAs!$G$2:$G$61,MATCH(P481,STAs!$F$2:$F$61,0))&amp;"","")</f>
        <v/>
      </c>
      <c r="B481" t="n">
        <v>20022987</v>
      </c>
      <c r="C481" t="inlineStr">
        <is>
          <t>Sim</t>
        </is>
      </c>
      <c r="D481" t="inlineStr">
        <is>
          <t>PR</t>
        </is>
      </c>
      <c r="E481" t="inlineStr">
        <is>
          <t>SUL</t>
        </is>
      </c>
      <c r="F481" t="inlineStr">
        <is>
          <t>Cliente C - Misturador</t>
        </is>
      </c>
      <c r="G481" t="inlineStr">
        <is>
          <t>Refrigeradores</t>
        </is>
      </c>
      <c r="H481" s="10" t="n">
        <v>35</v>
      </c>
      <c r="I481" s="10">
        <f>IFERROR(T481*H481,0)</f>
        <v/>
      </c>
      <c r="J481" s="11" t="n">
        <v>45988</v>
      </c>
      <c r="K481" s="11" t="n"/>
      <c r="L481" t="inlineStr">
        <is>
          <t>Aguardando devolução</t>
        </is>
      </c>
      <c r="M481">
        <f>IF(L481="","",IFERROR(VLOOKUP(L481,mapGrupoStatus,2,0),"Outros"))</f>
        <v/>
      </c>
      <c r="N481">
        <f>IF(O481="","",IF(O481&lt;=30,"0-30 dias",IF(O481&lt;=60,"31-60 dias",IF(O481&lt;=90,"61-90 dias","Mais de 90 dias"))))</f>
        <v/>
      </c>
      <c r="O481">
        <f>IF(OR(M481="Pendente",M481="Em andamento"),IF(J481="","",TODAY()-J481),"")</f>
        <v/>
      </c>
      <c r="P481" t="n">
        <v>10753</v>
      </c>
      <c r="Q481" t="inlineStr">
        <is>
          <t>Refrigel &amp; Cia (10753)</t>
        </is>
      </c>
      <c r="R481" t="inlineStr">
        <is>
          <t>PC-0016</t>
        </is>
      </c>
      <c r="S481" t="inlineStr">
        <is>
          <t>Filtro secador modelo 02</t>
        </is>
      </c>
      <c r="T481" t="n">
        <v>1</v>
      </c>
      <c r="U481" t="inlineStr"/>
      <c r="V481">
        <f>IF(J481="","",MONTH(J481))</f>
        <v/>
      </c>
      <c r="W481">
        <f>IF(J481="","",YEAR(J481))</f>
        <v/>
      </c>
      <c r="X481" t="inlineStr"/>
      <c r="Y481">
        <f>IFERROR(INDEX(Rastreio!$H$2:$H$200,MATCH(X481&amp;"|"&amp;U481,Rastreio!$A$2:$A$200,0)),"")</f>
        <v/>
      </c>
    </row>
    <row r="482">
      <c r="A482">
        <f>IFERROR(INDEX(STAs!$G$2:$G$61,MATCH(P482,STAs!$F$2:$F$61,0))&amp;"","")</f>
        <v/>
      </c>
      <c r="B482" t="n">
        <v>20023716</v>
      </c>
      <c r="C482" t="inlineStr">
        <is>
          <t>Não</t>
        </is>
      </c>
      <c r="D482" t="inlineStr">
        <is>
          <t>AP</t>
        </is>
      </c>
      <c r="E482" t="inlineStr">
        <is>
          <t>NORTE</t>
        </is>
      </c>
      <c r="F482" t="inlineStr">
        <is>
          <t>Cliente C - Misturador</t>
        </is>
      </c>
      <c r="G482" t="inlineStr">
        <is>
          <t>Refrigeradores</t>
        </is>
      </c>
      <c r="H482" s="10" t="n">
        <v>55</v>
      </c>
      <c r="I482" s="10">
        <f>IFERROR(T482*H482,0)</f>
        <v/>
      </c>
      <c r="J482" s="11" t="n">
        <v>45988</v>
      </c>
      <c r="K482" s="11" t="n">
        <v>46004</v>
      </c>
      <c r="L482" t="inlineStr">
        <is>
          <t>Ok. Devolvida</t>
        </is>
      </c>
      <c r="M482">
        <f>IF(L482="","",IFERROR(VLOOKUP(L482,mapGrupoStatus,2,0),"Outros"))</f>
        <v/>
      </c>
      <c r="N482">
        <f>IF(O482="","",IF(O482&lt;=30,"0-30 dias",IF(O482&lt;=60,"31-60 dias",IF(O482&lt;=90,"61-90 dias","Mais de 90 dias"))))</f>
        <v/>
      </c>
      <c r="O482">
        <f>IF(OR(M482="Pendente",M482="Em andamento"),IF(J482="","",TODAY()-J482),"")</f>
        <v/>
      </c>
      <c r="P482" t="n">
        <v>11859</v>
      </c>
      <c r="Q482" t="inlineStr">
        <is>
          <t>Ice Tech Serviços (11859)</t>
        </is>
      </c>
      <c r="R482" t="inlineStr">
        <is>
          <t>PC-0007</t>
        </is>
      </c>
      <c r="S482" t="inlineStr">
        <is>
          <t>Ventilador modelo 01</t>
        </is>
      </c>
      <c r="T482" t="n">
        <v>3</v>
      </c>
      <c r="U482" t="n">
        <v>139</v>
      </c>
      <c r="V482">
        <f>IF(J482="","",MONTH(J482))</f>
        <v/>
      </c>
      <c r="W482">
        <f>IF(J482="","",YEAR(J482))</f>
        <v/>
      </c>
      <c r="X482" t="inlineStr">
        <is>
          <t>ViaCargo</t>
        </is>
      </c>
      <c r="Y482">
        <f>IFERROR(INDEX(Rastreio!$H$2:$H$200,MATCH(X482&amp;"|"&amp;U482,Rastreio!$A$2:$A$200,0)),"")</f>
        <v/>
      </c>
    </row>
    <row r="483">
      <c r="A483">
        <f>IFERROR(INDEX(STAs!$G$2:$G$61,MATCH(P483,STAs!$F$2:$F$61,0))&amp;"","")</f>
        <v/>
      </c>
      <c r="B483" t="n">
        <v>20024546</v>
      </c>
      <c r="C483" t="inlineStr">
        <is>
          <t>Sim</t>
        </is>
      </c>
      <c r="D483" t="inlineStr">
        <is>
          <t>PR</t>
        </is>
      </c>
      <c r="E483" t="inlineStr">
        <is>
          <t>SUL</t>
        </is>
      </c>
      <c r="F483" t="inlineStr">
        <is>
          <t>Cliente C - Misturador</t>
        </is>
      </c>
      <c r="G483" t="inlineStr">
        <is>
          <t>Chopeiras</t>
        </is>
      </c>
      <c r="H483" s="10" t="n">
        <v>85</v>
      </c>
      <c r="I483" s="10">
        <f>IFERROR(T483*H483,0)</f>
        <v/>
      </c>
      <c r="J483" s="11" t="n">
        <v>45988</v>
      </c>
      <c r="K483" s="11" t="n">
        <v>46027</v>
      </c>
      <c r="L483" t="inlineStr">
        <is>
          <t>Ok. Devolvida</t>
        </is>
      </c>
      <c r="M483">
        <f>IF(L483="","",IFERROR(VLOOKUP(L483,mapGrupoStatus,2,0),"Outros"))</f>
        <v/>
      </c>
      <c r="N483">
        <f>IF(O483="","",IF(O483&lt;=30,"0-30 dias",IF(O483&lt;=60,"31-60 dias",IF(O483&lt;=90,"61-90 dias","Mais de 90 dias"))))</f>
        <v/>
      </c>
      <c r="O483">
        <f>IF(OR(M483="Pendente",M483="Em andamento"),IF(J483="","",TODAY()-J483),"")</f>
        <v/>
      </c>
      <c r="P483" t="n">
        <v>10913</v>
      </c>
      <c r="Q483" t="inlineStr">
        <is>
          <t>Ice Tech &amp; Cia (10913)</t>
        </is>
      </c>
      <c r="R483" t="inlineStr">
        <is>
          <t>PC-0036</t>
        </is>
      </c>
      <c r="S483" t="inlineStr">
        <is>
          <t>Válvula extratora modelo 02</t>
        </is>
      </c>
      <c r="T483" t="n">
        <v>1</v>
      </c>
      <c r="U483" t="n">
        <v>141</v>
      </c>
      <c r="V483">
        <f>IF(J483="","",MONTH(J483))</f>
        <v/>
      </c>
      <c r="W483">
        <f>IF(J483="","",YEAR(J483))</f>
        <v/>
      </c>
      <c r="X483" t="inlineStr">
        <is>
          <t>TransNorte</t>
        </is>
      </c>
      <c r="Y483">
        <f>IFERROR(INDEX(Rastreio!$H$2:$H$200,MATCH(X483&amp;"|"&amp;U483,Rastreio!$A$2:$A$200,0)),"")</f>
        <v/>
      </c>
    </row>
    <row r="484">
      <c r="A484">
        <f>IFERROR(INDEX(STAs!$G$2:$G$61,MATCH(P484,STAs!$F$2:$F$61,0))&amp;"","")</f>
        <v/>
      </c>
      <c r="B484" t="n">
        <v>20026668</v>
      </c>
      <c r="C484" t="inlineStr">
        <is>
          <t>Não</t>
        </is>
      </c>
      <c r="D484" t="inlineStr">
        <is>
          <t>MG</t>
        </is>
      </c>
      <c r="E484" t="inlineStr">
        <is>
          <t>SUDESTE MG</t>
        </is>
      </c>
      <c r="F484" t="inlineStr">
        <is>
          <t>Cliente C - Misturador</t>
        </is>
      </c>
      <c r="G484" t="inlineStr">
        <is>
          <t>Chopeiras</t>
        </is>
      </c>
      <c r="H484" s="10" t="n">
        <v>85</v>
      </c>
      <c r="I484" s="10">
        <f>IFERROR(T484*H484,0)</f>
        <v/>
      </c>
      <c r="J484" s="11" t="n">
        <v>45988</v>
      </c>
      <c r="K484" s="11" t="n">
        <v>46039</v>
      </c>
      <c r="L484" t="inlineStr">
        <is>
          <t>Ok. Devolvida</t>
        </is>
      </c>
      <c r="M484">
        <f>IF(L484="","",IFERROR(VLOOKUP(L484,mapGrupoStatus,2,0),"Outros"))</f>
        <v/>
      </c>
      <c r="N484">
        <f>IF(O484="","",IF(O484&lt;=30,"0-30 dias",IF(O484&lt;=60,"31-60 dias",IF(O484&lt;=90,"61-90 dias","Mais de 90 dias"))))</f>
        <v/>
      </c>
      <c r="O484">
        <f>IF(OR(M484="Pendente",M484="Em andamento"),IF(J484="","",TODAY()-J484),"")</f>
        <v/>
      </c>
      <c r="P484" t="n">
        <v>12158</v>
      </c>
      <c r="Q484" t="inlineStr">
        <is>
          <t>Gelo Serviços (12158)</t>
        </is>
      </c>
      <c r="R484" t="inlineStr">
        <is>
          <t>PC-0028</t>
        </is>
      </c>
      <c r="S484" t="inlineStr">
        <is>
          <t>Torneira de chopp modelo 03</t>
        </is>
      </c>
      <c r="T484" t="n">
        <v>3</v>
      </c>
      <c r="U484" t="n">
        <v>143</v>
      </c>
      <c r="V484">
        <f>IF(J484="","",MONTH(J484))</f>
        <v/>
      </c>
      <c r="W484">
        <f>IF(J484="","",YEAR(J484))</f>
        <v/>
      </c>
      <c r="X484" t="inlineStr">
        <is>
          <t>ViaCargo</t>
        </is>
      </c>
      <c r="Y484">
        <f>IFERROR(INDEX(Rastreio!$H$2:$H$200,MATCH(X484&amp;"|"&amp;U484,Rastreio!$A$2:$A$200,0)),"")</f>
        <v/>
      </c>
    </row>
    <row r="485">
      <c r="A485">
        <f>IFERROR(INDEX(STAs!$G$2:$G$61,MATCH(P485,STAs!$F$2:$F$61,0))&amp;"","")</f>
        <v/>
      </c>
      <c r="B485" t="n">
        <v>20027760</v>
      </c>
      <c r="C485" t="inlineStr">
        <is>
          <t>Não</t>
        </is>
      </c>
      <c r="D485" t="inlineStr">
        <is>
          <t>MG</t>
        </is>
      </c>
      <c r="E485" t="inlineStr">
        <is>
          <t>SUDESTE MG</t>
        </is>
      </c>
      <c r="F485" t="inlineStr">
        <is>
          <t>Cliente B - Chopeira</t>
        </is>
      </c>
      <c r="G485" t="inlineStr">
        <is>
          <t>Misturadores</t>
        </is>
      </c>
      <c r="H485" s="10" t="n">
        <v>60</v>
      </c>
      <c r="I485" s="10">
        <f>IFERROR(T485*H485,0)</f>
        <v/>
      </c>
      <c r="J485" s="11" t="n">
        <v>45988</v>
      </c>
      <c r="K485" s="11" t="n">
        <v>46037</v>
      </c>
      <c r="L485" t="inlineStr">
        <is>
          <t>Ok. Devolvida</t>
        </is>
      </c>
      <c r="M485">
        <f>IF(L485="","",IFERROR(VLOOKUP(L485,mapGrupoStatus,2,0),"Outros"))</f>
        <v/>
      </c>
      <c r="N485">
        <f>IF(O485="","",IF(O485&lt;=30,"0-30 dias",IF(O485&lt;=60,"31-60 dias",IF(O485&lt;=90,"61-90 dias","Mais de 90 dias"))))</f>
        <v/>
      </c>
      <c r="O485">
        <f>IF(OR(M485="Pendente",M485="Em andamento"),IF(J485="","",TODAY()-J485),"")</f>
        <v/>
      </c>
      <c r="P485" t="n">
        <v>12470</v>
      </c>
      <c r="Q485" t="inlineStr">
        <is>
          <t>Cool Service Técnica (12470)</t>
        </is>
      </c>
      <c r="R485" t="inlineStr">
        <is>
          <t>PC-0048</t>
        </is>
      </c>
      <c r="S485" t="inlineStr">
        <is>
          <t>Sensor de nível modelo 04</t>
        </is>
      </c>
      <c r="T485" t="n">
        <v>1</v>
      </c>
      <c r="U485" t="n">
        <v>148</v>
      </c>
      <c r="V485">
        <f>IF(J485="","",MONTH(J485))</f>
        <v/>
      </c>
      <c r="W485">
        <f>IF(J485="","",YEAR(J485))</f>
        <v/>
      </c>
      <c r="X485" t="inlineStr">
        <is>
          <t>CargoMax</t>
        </is>
      </c>
      <c r="Y485">
        <f>IFERROR(INDEX(Rastreio!$H$2:$H$200,MATCH(X485&amp;"|"&amp;U485,Rastreio!$A$2:$A$200,0)),"")</f>
        <v/>
      </c>
    </row>
    <row r="486">
      <c r="A486">
        <f>IFERROR(INDEX(STAs!$G$2:$G$61,MATCH(P486,STAs!$F$2:$F$61,0))&amp;"","")</f>
        <v/>
      </c>
      <c r="B486" t="n">
        <v>20003187</v>
      </c>
      <c r="C486" t="inlineStr">
        <is>
          <t>Não</t>
        </is>
      </c>
      <c r="D486" t="inlineStr">
        <is>
          <t>SP</t>
        </is>
      </c>
      <c r="E486" t="inlineStr">
        <is>
          <t>SUDESTE SP</t>
        </is>
      </c>
      <c r="F486" t="inlineStr">
        <is>
          <t>Cliente B - Chopeira</t>
        </is>
      </c>
      <c r="G486" t="inlineStr">
        <is>
          <t>Refrigeradores</t>
        </is>
      </c>
      <c r="H486" s="10" t="n">
        <v>40</v>
      </c>
      <c r="I486" s="10">
        <f>IFERROR(T486*H486,0)</f>
        <v/>
      </c>
      <c r="J486" s="11" t="n">
        <v>45989</v>
      </c>
      <c r="K486" s="11" t="n"/>
      <c r="L486" t="inlineStr">
        <is>
          <t>NF Vencida</t>
        </is>
      </c>
      <c r="M486">
        <f>IF(L486="","",IFERROR(VLOOKUP(L486,mapGrupoStatus,2,0),"Outros"))</f>
        <v/>
      </c>
      <c r="N486">
        <f>IF(O486="","",IF(O486&lt;=30,"0-30 dias",IF(O486&lt;=60,"31-60 dias",IF(O486&lt;=90,"61-90 dias","Mais de 90 dias"))))</f>
        <v/>
      </c>
      <c r="O486">
        <f>IF(OR(M486="Pendente",M486="Em andamento"),IF(J486="","",TODAY()-J486),"")</f>
        <v/>
      </c>
      <c r="P486" t="n">
        <v>10413</v>
      </c>
      <c r="Q486" t="inlineStr">
        <is>
          <t>Polar Manutenção (10413)</t>
        </is>
      </c>
      <c r="R486" t="inlineStr">
        <is>
          <t>PC-0005</t>
        </is>
      </c>
      <c r="S486" t="inlineStr">
        <is>
          <t>Termostato modelo 02</t>
        </is>
      </c>
      <c r="T486" t="n">
        <v>3</v>
      </c>
      <c r="U486" t="inlineStr"/>
      <c r="V486">
        <f>IF(J486="","",MONTH(J486))</f>
        <v/>
      </c>
      <c r="W486">
        <f>IF(J486="","",YEAR(J486))</f>
        <v/>
      </c>
      <c r="X486" t="inlineStr"/>
      <c r="Y486">
        <f>IFERROR(INDEX(Rastreio!$H$2:$H$200,MATCH(X486&amp;"|"&amp;U486,Rastreio!$A$2:$A$200,0)),"")</f>
        <v/>
      </c>
    </row>
    <row r="487">
      <c r="A487">
        <f>IFERROR(INDEX(STAs!$G$2:$G$61,MATCH(P487,STAs!$F$2:$F$61,0))&amp;"","")</f>
        <v/>
      </c>
      <c r="B487" t="n">
        <v>20007875</v>
      </c>
      <c r="C487" t="inlineStr">
        <is>
          <t>Não</t>
        </is>
      </c>
      <c r="D487" t="inlineStr">
        <is>
          <t>RR</t>
        </is>
      </c>
      <c r="E487" t="inlineStr">
        <is>
          <t>NORTE</t>
        </is>
      </c>
      <c r="F487" t="inlineStr">
        <is>
          <t>Cliente A - Refrigerador</t>
        </is>
      </c>
      <c r="G487" t="inlineStr">
        <is>
          <t>Refrigeradores</t>
        </is>
      </c>
      <c r="H487" s="10" t="n">
        <v>55</v>
      </c>
      <c r="I487" s="10">
        <f>IFERROR(T487*H487,0)</f>
        <v/>
      </c>
      <c r="J487" s="11" t="n">
        <v>45989</v>
      </c>
      <c r="K487" s="11" t="n"/>
      <c r="L487" t="inlineStr">
        <is>
          <t>Não Devolve-Norte</t>
        </is>
      </c>
      <c r="M487">
        <f>IF(L487="","",IFERROR(VLOOKUP(L487,mapGrupoStatus,2,0),"Outros"))</f>
        <v/>
      </c>
      <c r="N487">
        <f>IF(O487="","",IF(O487&lt;=30,"0-30 dias",IF(O487&lt;=60,"31-60 dias",IF(O487&lt;=90,"61-90 dias","Mais de 90 dias"))))</f>
        <v/>
      </c>
      <c r="O487">
        <f>IF(OR(M487="Pendente",M487="Em andamento"),IF(J487="","",TODAY()-J487),"")</f>
        <v/>
      </c>
      <c r="P487" t="n">
        <v>10468</v>
      </c>
      <c r="Q487" t="inlineStr">
        <is>
          <t>Clima Express (10468)</t>
        </is>
      </c>
      <c r="R487" t="inlineStr">
        <is>
          <t>PC-0008</t>
        </is>
      </c>
      <c r="S487" t="inlineStr">
        <is>
          <t>Ventilador modelo 02</t>
        </is>
      </c>
      <c r="T487" t="n">
        <v>2</v>
      </c>
      <c r="U487" t="inlineStr"/>
      <c r="V487">
        <f>IF(J487="","",MONTH(J487))</f>
        <v/>
      </c>
      <c r="W487">
        <f>IF(J487="","",YEAR(J487))</f>
        <v/>
      </c>
      <c r="X487" t="inlineStr"/>
      <c r="Y487">
        <f>IFERROR(INDEX(Rastreio!$H$2:$H$200,MATCH(X487&amp;"|"&amp;U487,Rastreio!$A$2:$A$200,0)),"")</f>
        <v/>
      </c>
    </row>
    <row r="488">
      <c r="A488">
        <f>IFERROR(INDEX(STAs!$G$2:$G$61,MATCH(P488,STAs!$F$2:$F$61,0))&amp;"","")</f>
        <v/>
      </c>
      <c r="B488" t="n">
        <v>20009285</v>
      </c>
      <c r="C488" t="inlineStr">
        <is>
          <t>Não</t>
        </is>
      </c>
      <c r="D488" t="inlineStr">
        <is>
          <t>MS</t>
        </is>
      </c>
      <c r="E488" t="inlineStr">
        <is>
          <t>CENTRO OESTE</t>
        </is>
      </c>
      <c r="F488" t="inlineStr">
        <is>
          <t>Cliente C - Misturador</t>
        </is>
      </c>
      <c r="G488" t="inlineStr">
        <is>
          <t>Refrigeradores</t>
        </is>
      </c>
      <c r="H488" s="10" t="n">
        <v>175</v>
      </c>
      <c r="I488" s="10">
        <f>IFERROR(T488*H488,0)</f>
        <v/>
      </c>
      <c r="J488" s="11" t="n">
        <v>45989</v>
      </c>
      <c r="K488" s="11" t="n"/>
      <c r="L488" t="inlineStr">
        <is>
          <t>Aguardando Transporte</t>
        </is>
      </c>
      <c r="M488">
        <f>IF(L488="","",IFERROR(VLOOKUP(L488,mapGrupoStatus,2,0),"Outros"))</f>
        <v/>
      </c>
      <c r="N488">
        <f>IF(O488="","",IF(O488&lt;=30,"0-30 dias",IF(O488&lt;=60,"31-60 dias",IF(O488&lt;=90,"61-90 dias","Mais de 90 dias"))))</f>
        <v/>
      </c>
      <c r="O488">
        <f>IF(OR(M488="Pendente",M488="Em andamento"),IF(J488="","",TODAY()-J488),"")</f>
        <v/>
      </c>
      <c r="P488" t="n">
        <v>12280</v>
      </c>
      <c r="Q488" t="inlineStr">
        <is>
          <t>Termotec &amp; Cia (12280)</t>
        </is>
      </c>
      <c r="R488" t="inlineStr">
        <is>
          <t>PC-0012</t>
        </is>
      </c>
      <c r="S488" t="inlineStr">
        <is>
          <t>Placa eletrônica modelo 02</t>
        </is>
      </c>
      <c r="T488" t="n">
        <v>1</v>
      </c>
      <c r="U488" t="n">
        <v>116</v>
      </c>
      <c r="V488">
        <f>IF(J488="","",MONTH(J488))</f>
        <v/>
      </c>
      <c r="W488">
        <f>IF(J488="","",YEAR(J488))</f>
        <v/>
      </c>
      <c r="X488" t="inlineStr">
        <is>
          <t>TransNorte</t>
        </is>
      </c>
      <c r="Y488">
        <f>IFERROR(INDEX(Rastreio!$H$2:$H$200,MATCH(X488&amp;"|"&amp;U488,Rastreio!$A$2:$A$200,0)),"")</f>
        <v/>
      </c>
    </row>
    <row r="489">
      <c r="A489">
        <f>IFERROR(INDEX(STAs!$G$2:$G$61,MATCH(P489,STAs!$F$2:$F$61,0))&amp;"","")</f>
        <v/>
      </c>
      <c r="B489" t="n">
        <v>20014221</v>
      </c>
      <c r="C489" t="inlineStr">
        <is>
          <t>Não</t>
        </is>
      </c>
      <c r="D489" t="inlineStr">
        <is>
          <t>ES</t>
        </is>
      </c>
      <c r="E489" t="inlineStr">
        <is>
          <t>SUDESTE RJ e ES</t>
        </is>
      </c>
      <c r="F489" t="inlineStr">
        <is>
          <t>Cliente C - Misturador</t>
        </is>
      </c>
      <c r="G489" t="inlineStr">
        <is>
          <t>Chopeiras</t>
        </is>
      </c>
      <c r="H489" s="10" t="n">
        <v>85</v>
      </c>
      <c r="I489" s="10">
        <f>IFERROR(T489*H489,0)</f>
        <v/>
      </c>
      <c r="J489" s="11" t="n">
        <v>45989</v>
      </c>
      <c r="K489" s="11" t="n"/>
      <c r="L489" t="inlineStr">
        <is>
          <t>Em andamento</t>
        </is>
      </c>
      <c r="M489">
        <f>IF(L489="","",IFERROR(VLOOKUP(L489,mapGrupoStatus,2,0),"Outros"))</f>
        <v/>
      </c>
      <c r="N489">
        <f>IF(O489="","",IF(O489&lt;=30,"0-30 dias",IF(O489&lt;=60,"31-60 dias",IF(O489&lt;=90,"61-90 dias","Mais de 90 dias"))))</f>
        <v/>
      </c>
      <c r="O489">
        <f>IF(OR(M489="Pendente",M489="Em andamento"),IF(J489="","",TODAY()-J489),"")</f>
        <v/>
      </c>
      <c r="P489" t="n">
        <v>11099</v>
      </c>
      <c r="Q489" t="inlineStr">
        <is>
          <t>Refrigel Serviços (11099)</t>
        </is>
      </c>
      <c r="R489" t="inlineStr">
        <is>
          <t>PC-0035</t>
        </is>
      </c>
      <c r="S489" t="inlineStr">
        <is>
          <t>Válvula extratora modelo 01</t>
        </is>
      </c>
      <c r="T489" t="n">
        <v>1</v>
      </c>
      <c r="U489" t="n">
        <v>126</v>
      </c>
      <c r="V489">
        <f>IF(J489="","",MONTH(J489))</f>
        <v/>
      </c>
      <c r="W489">
        <f>IF(J489="","",YEAR(J489))</f>
        <v/>
      </c>
      <c r="X489" t="inlineStr">
        <is>
          <t>LogExpress</t>
        </is>
      </c>
      <c r="Y489">
        <f>IFERROR(INDEX(Rastreio!$H$2:$H$200,MATCH(X489&amp;"|"&amp;U489,Rastreio!$A$2:$A$200,0)),"")</f>
        <v/>
      </c>
    </row>
    <row r="490">
      <c r="A490">
        <f>IFERROR(INDEX(STAs!$G$2:$G$61,MATCH(P490,STAs!$F$2:$F$61,0))&amp;"","")</f>
        <v/>
      </c>
      <c r="B490" t="n">
        <v>20038443</v>
      </c>
      <c r="C490" t="inlineStr">
        <is>
          <t>Não</t>
        </is>
      </c>
      <c r="D490" t="inlineStr">
        <is>
          <t>MG</t>
        </is>
      </c>
      <c r="E490" t="inlineStr">
        <is>
          <t>SUDESTE MG</t>
        </is>
      </c>
      <c r="F490" t="inlineStr">
        <is>
          <t>Cliente A - Refrigerador</t>
        </is>
      </c>
      <c r="G490" t="inlineStr">
        <is>
          <t>Misturadores</t>
        </is>
      </c>
      <c r="H490" s="10" t="n">
        <v>265</v>
      </c>
      <c r="I490" s="10">
        <f>IFERROR(T490*H490,0)</f>
        <v/>
      </c>
      <c r="J490" s="11" t="n">
        <v>45989</v>
      </c>
      <c r="K490" s="11" t="n">
        <v>46040</v>
      </c>
      <c r="L490" t="inlineStr">
        <is>
          <t>Ok. Devolvida</t>
        </is>
      </c>
      <c r="M490">
        <f>IF(L490="","",IFERROR(VLOOKUP(L490,mapGrupoStatus,2,0),"Outros"))</f>
        <v/>
      </c>
      <c r="N490">
        <f>IF(O490="","",IF(O490&lt;=30,"0-30 dias",IF(O490&lt;=60,"31-60 dias",IF(O490&lt;=90,"61-90 dias","Mais de 90 dias"))))</f>
        <v/>
      </c>
      <c r="O490">
        <f>IF(OR(M490="Pendente",M490="Em andamento"),IF(J490="","",TODAY()-J490),"")</f>
        <v/>
      </c>
      <c r="P490" t="n">
        <v>11487</v>
      </c>
      <c r="Q490" t="inlineStr">
        <is>
          <t>Assistência Técnica Manutenção (11487)</t>
        </is>
      </c>
      <c r="R490" t="inlineStr">
        <is>
          <t>PC-0038</t>
        </is>
      </c>
      <c r="S490" t="inlineStr">
        <is>
          <t>Bomba de recirculação modelo 02</t>
        </is>
      </c>
      <c r="T490" t="n">
        <v>1</v>
      </c>
      <c r="U490" t="n">
        <v>158</v>
      </c>
      <c r="V490">
        <f>IF(J490="","",MONTH(J490))</f>
        <v/>
      </c>
      <c r="W490">
        <f>IF(J490="","",YEAR(J490))</f>
        <v/>
      </c>
      <c r="X490" t="inlineStr">
        <is>
          <t>ViaCargo</t>
        </is>
      </c>
      <c r="Y490">
        <f>IFERROR(INDEX(Rastreio!$H$2:$H$200,MATCH(X490&amp;"|"&amp;U490,Rastreio!$A$2:$A$200,0)),"")</f>
        <v/>
      </c>
    </row>
    <row r="491">
      <c r="A491">
        <f>IFERROR(INDEX(STAs!$G$2:$G$61,MATCH(P491,STAs!$F$2:$F$61,0))&amp;"","")</f>
        <v/>
      </c>
      <c r="B491" t="n">
        <v>20002024</v>
      </c>
      <c r="C491" t="inlineStr">
        <is>
          <t>Sim</t>
        </is>
      </c>
      <c r="D491" t="inlineStr">
        <is>
          <t>SP</t>
        </is>
      </c>
      <c r="E491" t="inlineStr">
        <is>
          <t>SUDESTE SP</t>
        </is>
      </c>
      <c r="F491" t="inlineStr">
        <is>
          <t>Cliente C - Misturador</t>
        </is>
      </c>
      <c r="G491" t="inlineStr">
        <is>
          <t>Chopeiras</t>
        </is>
      </c>
      <c r="H491" s="10" t="n">
        <v>120</v>
      </c>
      <c r="I491" s="10">
        <f>IFERROR(T491*H491,0)</f>
        <v/>
      </c>
      <c r="J491" s="11" t="n">
        <v>45990</v>
      </c>
      <c r="K491" s="11" t="n">
        <v>46029</v>
      </c>
      <c r="L491" t="inlineStr">
        <is>
          <t>Ok. Devolvida</t>
        </is>
      </c>
      <c r="M491">
        <f>IF(L491="","",IFERROR(VLOOKUP(L491,mapGrupoStatus,2,0),"Outros"))</f>
        <v/>
      </c>
      <c r="N491">
        <f>IF(O491="","",IF(O491&lt;=30,"0-30 dias",IF(O491&lt;=60,"31-60 dias",IF(O491&lt;=90,"61-90 dias","Mais de 90 dias"))))</f>
        <v/>
      </c>
      <c r="O491">
        <f>IF(OR(M491="Pendente",M491="Em andamento"),IF(J491="","",TODAY()-J491),"")</f>
        <v/>
      </c>
      <c r="P491" t="n">
        <v>10010</v>
      </c>
      <c r="Q491" t="inlineStr">
        <is>
          <t>Cool Service ME (10010)</t>
        </is>
      </c>
      <c r="R491" t="inlineStr">
        <is>
          <t>PC-0032</t>
        </is>
      </c>
      <c r="S491" t="inlineStr">
        <is>
          <t>Regulador de pressão modelo 01</t>
        </is>
      </c>
      <c r="T491" t="n">
        <v>2</v>
      </c>
      <c r="U491" t="n">
        <v>106</v>
      </c>
      <c r="V491">
        <f>IF(J491="","",MONTH(J491))</f>
        <v/>
      </c>
      <c r="W491">
        <f>IF(J491="","",YEAR(J491))</f>
        <v/>
      </c>
      <c r="X491" t="inlineStr">
        <is>
          <t>EntregaJá</t>
        </is>
      </c>
      <c r="Y491">
        <f>IFERROR(INDEX(Rastreio!$H$2:$H$200,MATCH(X491&amp;"|"&amp;U491,Rastreio!$A$2:$A$200,0)),"")</f>
        <v/>
      </c>
    </row>
    <row r="492">
      <c r="A492">
        <f>IFERROR(INDEX(STAs!$G$2:$G$61,MATCH(P492,STAs!$F$2:$F$61,0))&amp;"","")</f>
        <v/>
      </c>
      <c r="B492" t="n">
        <v>20007591</v>
      </c>
      <c r="C492" t="inlineStr">
        <is>
          <t>Não</t>
        </is>
      </c>
      <c r="D492" t="inlineStr">
        <is>
          <t>RJ</t>
        </is>
      </c>
      <c r="E492" t="inlineStr">
        <is>
          <t>SUDESTE RJ e ES</t>
        </is>
      </c>
      <c r="F492" t="inlineStr">
        <is>
          <t>Cliente A - Refrigerador</t>
        </is>
      </c>
      <c r="G492" t="inlineStr">
        <is>
          <t>Misturadores</t>
        </is>
      </c>
      <c r="H492" s="10" t="n">
        <v>35</v>
      </c>
      <c r="I492" s="10">
        <f>IFERROR(T492*H492,0)</f>
        <v/>
      </c>
      <c r="J492" s="11" t="n">
        <v>45990</v>
      </c>
      <c r="K492" s="11" t="n">
        <v>46041</v>
      </c>
      <c r="L492" t="inlineStr">
        <is>
          <t>Ok. Devolvida</t>
        </is>
      </c>
      <c r="M492">
        <f>IF(L492="","",IFERROR(VLOOKUP(L492,mapGrupoStatus,2,0),"Outros"))</f>
        <v/>
      </c>
      <c r="N492">
        <f>IF(O492="","",IF(O492&lt;=30,"0-30 dias",IF(O492&lt;=60,"31-60 dias",IF(O492&lt;=90,"61-90 dias","Mais de 90 dias"))))</f>
        <v/>
      </c>
      <c r="O492">
        <f>IF(OR(M492="Pendente",M492="Em andamento"),IF(J492="","",TODAY()-J492),"")</f>
        <v/>
      </c>
      <c r="P492" t="n">
        <v>10676</v>
      </c>
      <c r="Q492" t="inlineStr">
        <is>
          <t>Clima Serviços (10676)</t>
        </is>
      </c>
      <c r="R492" t="inlineStr">
        <is>
          <t>PC-0043</t>
        </is>
      </c>
      <c r="S492" t="inlineStr">
        <is>
          <t>Bico dosador modelo 02</t>
        </is>
      </c>
      <c r="T492" t="n">
        <v>1</v>
      </c>
      <c r="U492" t="n">
        <v>116</v>
      </c>
      <c r="V492">
        <f>IF(J492="","",MONTH(J492))</f>
        <v/>
      </c>
      <c r="W492">
        <f>IF(J492="","",YEAR(J492))</f>
        <v/>
      </c>
      <c r="X492" t="inlineStr">
        <is>
          <t>EntregaJá</t>
        </is>
      </c>
      <c r="Y492">
        <f>IFERROR(INDEX(Rastreio!$H$2:$H$200,MATCH(X492&amp;"|"&amp;U492,Rastreio!$A$2:$A$200,0)),"")</f>
        <v/>
      </c>
    </row>
    <row r="493">
      <c r="A493">
        <f>IFERROR(INDEX(STAs!$G$2:$G$61,MATCH(P493,STAs!$F$2:$F$61,0))&amp;"","")</f>
        <v/>
      </c>
      <c r="B493" t="n">
        <v>20011449</v>
      </c>
      <c r="C493" t="inlineStr">
        <is>
          <t>Não</t>
        </is>
      </c>
      <c r="D493" t="inlineStr">
        <is>
          <t>GO</t>
        </is>
      </c>
      <c r="E493" t="inlineStr">
        <is>
          <t>CENTRO OESTE</t>
        </is>
      </c>
      <c r="F493" t="inlineStr">
        <is>
          <t>Cliente B - Chopeira</t>
        </is>
      </c>
      <c r="G493" t="inlineStr">
        <is>
          <t>Misturadores</t>
        </is>
      </c>
      <c r="H493" s="10" t="n">
        <v>40</v>
      </c>
      <c r="I493" s="10">
        <f>IFERROR(T493*H493,0)</f>
        <v/>
      </c>
      <c r="J493" s="11" t="n">
        <v>45990</v>
      </c>
      <c r="K493" s="11" t="n"/>
      <c r="L493" t="inlineStr">
        <is>
          <t>Não Devolve-Norte</t>
        </is>
      </c>
      <c r="M493">
        <f>IF(L493="","",IFERROR(VLOOKUP(L493,mapGrupoStatus,2,0),"Outros"))</f>
        <v/>
      </c>
      <c r="N493">
        <f>IF(O493="","",IF(O493&lt;=30,"0-30 dias",IF(O493&lt;=60,"31-60 dias",IF(O493&lt;=90,"61-90 dias","Mais de 90 dias"))))</f>
        <v/>
      </c>
      <c r="O493">
        <f>IF(OR(M493="Pendente",M493="Em andamento"),IF(J493="","",TODAY()-J493),"")</f>
        <v/>
      </c>
      <c r="P493" t="n">
        <v>12007</v>
      </c>
      <c r="Q493" t="inlineStr">
        <is>
          <t>Refrigel Ltda (12007)</t>
        </is>
      </c>
      <c r="R493" t="inlineStr">
        <is>
          <t>PC-0042</t>
        </is>
      </c>
      <c r="S493" t="inlineStr">
        <is>
          <t>Bico dosador modelo 01</t>
        </is>
      </c>
      <c r="T493" t="n">
        <v>1</v>
      </c>
      <c r="U493" t="inlineStr"/>
      <c r="V493">
        <f>IF(J493="","",MONTH(J493))</f>
        <v/>
      </c>
      <c r="W493">
        <f>IF(J493="","",YEAR(J493))</f>
        <v/>
      </c>
      <c r="X493" t="inlineStr"/>
      <c r="Y493">
        <f>IFERROR(INDEX(Rastreio!$H$2:$H$200,MATCH(X493&amp;"|"&amp;U493,Rastreio!$A$2:$A$200,0)),"")</f>
        <v/>
      </c>
    </row>
    <row r="494">
      <c r="A494">
        <f>IFERROR(INDEX(STAs!$G$2:$G$61,MATCH(P494,STAs!$F$2:$F$61,0))&amp;"","")</f>
        <v/>
      </c>
      <c r="B494" t="n">
        <v>20016573</v>
      </c>
      <c r="C494" t="inlineStr">
        <is>
          <t>Não</t>
        </is>
      </c>
      <c r="D494" t="inlineStr">
        <is>
          <t>PA</t>
        </is>
      </c>
      <c r="E494" t="inlineStr">
        <is>
          <t>NORTE</t>
        </is>
      </c>
      <c r="F494" t="inlineStr">
        <is>
          <t>Cliente B - Chopeira</t>
        </is>
      </c>
      <c r="G494" t="inlineStr">
        <is>
          <t>Refrigeradores</t>
        </is>
      </c>
      <c r="H494" s="10" t="n">
        <v>45</v>
      </c>
      <c r="I494" s="10">
        <f>IFERROR(T494*H494,0)</f>
        <v/>
      </c>
      <c r="J494" s="11" t="n">
        <v>45990</v>
      </c>
      <c r="K494" s="11" t="n"/>
      <c r="L494" t="inlineStr">
        <is>
          <t>Em transporte</t>
        </is>
      </c>
      <c r="M494">
        <f>IF(L494="","",IFERROR(VLOOKUP(L494,mapGrupoStatus,2,0),"Outros"))</f>
        <v/>
      </c>
      <c r="N494">
        <f>IF(O494="","",IF(O494&lt;=30,"0-30 dias",IF(O494&lt;=60,"31-60 dias",IF(O494&lt;=90,"61-90 dias","Mais de 90 dias"))))</f>
        <v/>
      </c>
      <c r="O494">
        <f>IF(OR(M494="Pendente",M494="Em andamento"),IF(J494="","",TODAY()-J494),"")</f>
        <v/>
      </c>
      <c r="P494" t="n">
        <v>11986</v>
      </c>
      <c r="Q494" t="inlineStr">
        <is>
          <t>Polar Serviços (11986)</t>
        </is>
      </c>
      <c r="R494" t="inlineStr">
        <is>
          <t>PC-0018</t>
        </is>
      </c>
      <c r="S494" t="inlineStr">
        <is>
          <t>Gaxeta da porta modelo 01</t>
        </is>
      </c>
      <c r="T494" t="n">
        <v>1</v>
      </c>
      <c r="U494" t="n">
        <v>127</v>
      </c>
      <c r="V494">
        <f>IF(J494="","",MONTH(J494))</f>
        <v/>
      </c>
      <c r="W494">
        <f>IF(J494="","",YEAR(J494))</f>
        <v/>
      </c>
      <c r="X494" t="inlineStr">
        <is>
          <t>TransNorte</t>
        </is>
      </c>
      <c r="Y494">
        <f>IFERROR(INDEX(Rastreio!$H$2:$H$200,MATCH(X494&amp;"|"&amp;U494,Rastreio!$A$2:$A$200,0)),"")</f>
        <v/>
      </c>
    </row>
    <row r="495">
      <c r="A495">
        <f>IFERROR(INDEX(STAs!$G$2:$G$61,MATCH(P495,STAs!$F$2:$F$61,0))&amp;"","")</f>
        <v/>
      </c>
      <c r="B495" t="n">
        <v>20019296</v>
      </c>
      <c r="C495" t="inlineStr">
        <is>
          <t>Não</t>
        </is>
      </c>
      <c r="D495" t="inlineStr">
        <is>
          <t>ES</t>
        </is>
      </c>
      <c r="E495" t="inlineStr">
        <is>
          <t>SUDESTE RJ e ES</t>
        </is>
      </c>
      <c r="F495" t="inlineStr">
        <is>
          <t>Cliente C - Misturador</t>
        </is>
      </c>
      <c r="G495" t="inlineStr">
        <is>
          <t>Misturadores</t>
        </is>
      </c>
      <c r="H495" s="10" t="n">
        <v>50</v>
      </c>
      <c r="I495" s="10">
        <f>IFERROR(T495*H495,0)</f>
        <v/>
      </c>
      <c r="J495" s="11" t="n">
        <v>45990</v>
      </c>
      <c r="K495" s="11" t="n"/>
      <c r="L495" t="inlineStr">
        <is>
          <t>Aguardando devolução</t>
        </is>
      </c>
      <c r="M495">
        <f>IF(L495="","",IFERROR(VLOOKUP(L495,mapGrupoStatus,2,0),"Outros"))</f>
        <v/>
      </c>
      <c r="N495">
        <f>IF(O495="","",IF(O495&lt;=30,"0-30 dias",IF(O495&lt;=60,"31-60 dias",IF(O495&lt;=90,"61-90 dias","Mais de 90 dias"))))</f>
        <v/>
      </c>
      <c r="O495">
        <f>IF(OR(M495="Pendente",M495="Em andamento"),IF(J495="","",TODAY()-J495),"")</f>
        <v/>
      </c>
      <c r="P495" t="n">
        <v>11162</v>
      </c>
      <c r="Q495" t="inlineStr">
        <is>
          <t>Ártico Refrigeração (11162)</t>
        </is>
      </c>
      <c r="R495" t="inlineStr">
        <is>
          <t>PC-0044</t>
        </is>
      </c>
      <c r="S495" t="inlineStr">
        <is>
          <t>Bico dosador modelo 03</t>
        </is>
      </c>
      <c r="T495" t="n">
        <v>1</v>
      </c>
      <c r="U495" t="inlineStr"/>
      <c r="V495">
        <f>IF(J495="","",MONTH(J495))</f>
        <v/>
      </c>
      <c r="W495">
        <f>IF(J495="","",YEAR(J495))</f>
        <v/>
      </c>
      <c r="X495" t="inlineStr"/>
      <c r="Y495">
        <f>IFERROR(INDEX(Rastreio!$H$2:$H$200,MATCH(X495&amp;"|"&amp;U495,Rastreio!$A$2:$A$200,0)),"")</f>
        <v/>
      </c>
    </row>
    <row r="496">
      <c r="A496">
        <f>IFERROR(INDEX(STAs!$G$2:$G$61,MATCH(P496,STAs!$F$2:$F$61,0))&amp;"","")</f>
        <v/>
      </c>
      <c r="B496" t="n">
        <v>20023966</v>
      </c>
      <c r="C496" t="inlineStr">
        <is>
          <t>Sim</t>
        </is>
      </c>
      <c r="D496" t="inlineStr">
        <is>
          <t>PR</t>
        </is>
      </c>
      <c r="E496" t="inlineStr">
        <is>
          <t>SUL</t>
        </is>
      </c>
      <c r="F496" t="inlineStr">
        <is>
          <t>Cliente A - Refrigerador</t>
        </is>
      </c>
      <c r="G496" t="inlineStr">
        <is>
          <t>Chopeiras</t>
        </is>
      </c>
      <c r="H496" s="10" t="n">
        <v>115</v>
      </c>
      <c r="I496" s="10">
        <f>IFERROR(T496*H496,0)</f>
        <v/>
      </c>
      <c r="J496" s="11" t="n">
        <v>45990</v>
      </c>
      <c r="K496" s="11" t="n">
        <v>46048</v>
      </c>
      <c r="L496" t="inlineStr">
        <is>
          <t>Ok. Devolvida</t>
        </is>
      </c>
      <c r="M496">
        <f>IF(L496="","",IFERROR(VLOOKUP(L496,mapGrupoStatus,2,0),"Outros"))</f>
        <v/>
      </c>
      <c r="N496">
        <f>IF(O496="","",IF(O496&lt;=30,"0-30 dias",IF(O496&lt;=60,"31-60 dias",IF(O496&lt;=90,"61-90 dias","Mais de 90 dias"))))</f>
        <v/>
      </c>
      <c r="O496">
        <f>IF(OR(M496="Pendente",M496="Em andamento"),IF(J496="","",TODAY()-J496),"")</f>
        <v/>
      </c>
      <c r="P496" t="n">
        <v>12724</v>
      </c>
      <c r="Q496" t="inlineStr">
        <is>
          <t>Cool Service &amp; Cia (12724)</t>
        </is>
      </c>
      <c r="R496" t="inlineStr">
        <is>
          <t>PC-0034</t>
        </is>
      </c>
      <c r="S496" t="inlineStr">
        <is>
          <t>Regulador de pressão modelo 03</t>
        </is>
      </c>
      <c r="T496" t="n">
        <v>1</v>
      </c>
      <c r="U496" t="n">
        <v>139</v>
      </c>
      <c r="V496">
        <f>IF(J496="","",MONTH(J496))</f>
        <v/>
      </c>
      <c r="W496">
        <f>IF(J496="","",YEAR(J496))</f>
        <v/>
      </c>
      <c r="X496" t="inlineStr">
        <is>
          <t>TransNorte</t>
        </is>
      </c>
      <c r="Y496">
        <f>IFERROR(INDEX(Rastreio!$H$2:$H$200,MATCH(X496&amp;"|"&amp;U496,Rastreio!$A$2:$A$200,0)),"")</f>
        <v/>
      </c>
    </row>
    <row r="497">
      <c r="A497">
        <f>IFERROR(INDEX(STAs!$G$2:$G$61,MATCH(P497,STAs!$F$2:$F$61,0))&amp;"","")</f>
        <v/>
      </c>
      <c r="B497" t="n">
        <v>20031392</v>
      </c>
      <c r="C497" t="inlineStr">
        <is>
          <t>Não</t>
        </is>
      </c>
      <c r="D497" t="inlineStr">
        <is>
          <t>BA</t>
        </is>
      </c>
      <c r="E497" t="inlineStr">
        <is>
          <t>NORDESTE</t>
        </is>
      </c>
      <c r="F497" t="inlineStr">
        <is>
          <t>Cliente C - Misturador</t>
        </is>
      </c>
      <c r="G497" t="inlineStr">
        <is>
          <t>Chopeiras</t>
        </is>
      </c>
      <c r="H497" s="10" t="n">
        <v>85</v>
      </c>
      <c r="I497" s="10">
        <f>IFERROR(T497*H497,0)</f>
        <v/>
      </c>
      <c r="J497" s="11" t="n">
        <v>45990</v>
      </c>
      <c r="K497" s="11" t="n">
        <v>46001</v>
      </c>
      <c r="L497" t="inlineStr">
        <is>
          <t>Ok. Devolvida</t>
        </is>
      </c>
      <c r="M497">
        <f>IF(L497="","",IFERROR(VLOOKUP(L497,mapGrupoStatus,2,0),"Outros"))</f>
        <v/>
      </c>
      <c r="N497">
        <f>IF(O497="","",IF(O497&lt;=30,"0-30 dias",IF(O497&lt;=60,"31-60 dias",IF(O497&lt;=90,"61-90 dias","Mais de 90 dias"))))</f>
        <v/>
      </c>
      <c r="O497">
        <f>IF(OR(M497="Pendente",M497="Em andamento"),IF(J497="","",TODAY()-J497),"")</f>
        <v/>
      </c>
      <c r="P497" t="n">
        <v>12194</v>
      </c>
      <c r="Q497" t="inlineStr">
        <is>
          <t>Polar &amp; Cia (12194)</t>
        </is>
      </c>
      <c r="R497" t="inlineStr">
        <is>
          <t>PC-0026</t>
        </is>
      </c>
      <c r="S497" t="inlineStr">
        <is>
          <t>Torneira de chopp modelo 01</t>
        </is>
      </c>
      <c r="T497" t="n">
        <v>1</v>
      </c>
      <c r="U497" t="n">
        <v>154</v>
      </c>
      <c r="V497">
        <f>IF(J497="","",MONTH(J497))</f>
        <v/>
      </c>
      <c r="W497">
        <f>IF(J497="","",YEAR(J497))</f>
        <v/>
      </c>
      <c r="X497" t="inlineStr">
        <is>
          <t>TransNorte</t>
        </is>
      </c>
      <c r="Y497">
        <f>IFERROR(INDEX(Rastreio!$H$2:$H$200,MATCH(X497&amp;"|"&amp;U497,Rastreio!$A$2:$A$200,0)),"")</f>
        <v/>
      </c>
    </row>
    <row r="498">
      <c r="A498">
        <f>IFERROR(INDEX(STAs!$G$2:$G$61,MATCH(P498,STAs!$F$2:$F$61,0))&amp;"","")</f>
        <v/>
      </c>
      <c r="B498" t="n">
        <v>20032235</v>
      </c>
      <c r="C498" t="inlineStr">
        <is>
          <t>Não</t>
        </is>
      </c>
      <c r="D498" t="inlineStr">
        <is>
          <t>MG</t>
        </is>
      </c>
      <c r="E498" t="inlineStr">
        <is>
          <t>SUDESTE MG</t>
        </is>
      </c>
      <c r="F498" t="inlineStr">
        <is>
          <t>Cliente A - Refrigerador</t>
        </is>
      </c>
      <c r="G498" t="inlineStr">
        <is>
          <t>Chopeiras</t>
        </is>
      </c>
      <c r="H498" s="10" t="n">
        <v>115</v>
      </c>
      <c r="I498" s="10">
        <f>IFERROR(T498*H498,0)</f>
        <v/>
      </c>
      <c r="J498" s="11" t="n">
        <v>45990</v>
      </c>
      <c r="K498" s="11" t="n">
        <v>46019</v>
      </c>
      <c r="L498" t="inlineStr">
        <is>
          <t>Ok. Devolvida</t>
        </is>
      </c>
      <c r="M498">
        <f>IF(L498="","",IFERROR(VLOOKUP(L498,mapGrupoStatus,2,0),"Outros"))</f>
        <v/>
      </c>
      <c r="N498">
        <f>IF(O498="","",IF(O498&lt;=30,"0-30 dias",IF(O498&lt;=60,"31-60 dias",IF(O498&lt;=90,"61-90 dias","Mais de 90 dias"))))</f>
        <v/>
      </c>
      <c r="O498">
        <f>IF(OR(M498="Pendente",M498="Em andamento"),IF(J498="","",TODAY()-J498),"")</f>
        <v/>
      </c>
      <c r="P498" t="n">
        <v>12689</v>
      </c>
      <c r="Q498" t="inlineStr">
        <is>
          <t>Norte Frio Manutenção (12689)</t>
        </is>
      </c>
      <c r="R498" t="inlineStr">
        <is>
          <t>PC-0034</t>
        </is>
      </c>
      <c r="S498" t="inlineStr">
        <is>
          <t>Regulador de pressão modelo 03</t>
        </is>
      </c>
      <c r="T498" t="n">
        <v>1</v>
      </c>
      <c r="U498" t="n">
        <v>158</v>
      </c>
      <c r="V498">
        <f>IF(J498="","",MONTH(J498))</f>
        <v/>
      </c>
      <c r="W498">
        <f>IF(J498="","",YEAR(J498))</f>
        <v/>
      </c>
      <c r="X498" t="inlineStr">
        <is>
          <t>LogExpress</t>
        </is>
      </c>
      <c r="Y498">
        <f>IFERROR(INDEX(Rastreio!$H$2:$H$200,MATCH(X498&amp;"|"&amp;U498,Rastreio!$A$2:$A$200,0)),"")</f>
        <v/>
      </c>
    </row>
    <row r="499">
      <c r="A499">
        <f>IFERROR(INDEX(STAs!$G$2:$G$61,MATCH(P499,STAs!$F$2:$F$61,0))&amp;"","")</f>
        <v/>
      </c>
      <c r="B499" t="n">
        <v>20033186</v>
      </c>
      <c r="C499" t="inlineStr">
        <is>
          <t>Não</t>
        </is>
      </c>
      <c r="D499" t="inlineStr">
        <is>
          <t>RR</t>
        </is>
      </c>
      <c r="E499" t="inlineStr">
        <is>
          <t>NORTE</t>
        </is>
      </c>
      <c r="F499" t="inlineStr">
        <is>
          <t>Cliente A - Refrigerador</t>
        </is>
      </c>
      <c r="G499" t="inlineStr">
        <is>
          <t>Refrigeradores</t>
        </is>
      </c>
      <c r="H499" s="10" t="n">
        <v>55</v>
      </c>
      <c r="I499" s="10">
        <f>IFERROR(T499*H499,0)</f>
        <v/>
      </c>
      <c r="J499" s="11" t="n">
        <v>45990</v>
      </c>
      <c r="K499" s="11" t="n">
        <v>46028</v>
      </c>
      <c r="L499" t="inlineStr">
        <is>
          <t>Ok. Devolvida</t>
        </is>
      </c>
      <c r="M499">
        <f>IF(L499="","",IFERROR(VLOOKUP(L499,mapGrupoStatus,2,0),"Outros"))</f>
        <v/>
      </c>
      <c r="N499">
        <f>IF(O499="","",IF(O499&lt;=30,"0-30 dias",IF(O499&lt;=60,"31-60 dias",IF(O499&lt;=90,"61-90 dias","Mais de 90 dias"))))</f>
        <v/>
      </c>
      <c r="O499">
        <f>IF(OR(M499="Pendente",M499="Em andamento"),IF(J499="","",TODAY()-J499),"")</f>
        <v/>
      </c>
      <c r="P499" t="n">
        <v>11818</v>
      </c>
      <c r="Q499" t="inlineStr">
        <is>
          <t>Termotec Ltda (11818)</t>
        </is>
      </c>
      <c r="R499" t="inlineStr">
        <is>
          <t>PC-0008</t>
        </is>
      </c>
      <c r="S499" t="inlineStr">
        <is>
          <t>Ventilador modelo 02</t>
        </is>
      </c>
      <c r="T499" t="n">
        <v>1</v>
      </c>
      <c r="U499" t="n">
        <v>159</v>
      </c>
      <c r="V499">
        <f>IF(J499="","",MONTH(J499))</f>
        <v/>
      </c>
      <c r="W499">
        <f>IF(J499="","",YEAR(J499))</f>
        <v/>
      </c>
      <c r="X499" t="inlineStr">
        <is>
          <t>LogExpress</t>
        </is>
      </c>
      <c r="Y499">
        <f>IFERROR(INDEX(Rastreio!$H$2:$H$200,MATCH(X499&amp;"|"&amp;U499,Rastreio!$A$2:$A$200,0)),"")</f>
        <v/>
      </c>
    </row>
    <row r="500">
      <c r="A500">
        <f>IFERROR(INDEX(STAs!$G$2:$G$61,MATCH(P500,STAs!$F$2:$F$61,0))&amp;"","")</f>
        <v/>
      </c>
      <c r="B500" t="n">
        <v>20015208</v>
      </c>
      <c r="C500" t="inlineStr">
        <is>
          <t>Não</t>
        </is>
      </c>
      <c r="D500" t="inlineStr">
        <is>
          <t>MG</t>
        </is>
      </c>
      <c r="E500" t="inlineStr">
        <is>
          <t>SUDESTE MG</t>
        </is>
      </c>
      <c r="F500" t="inlineStr">
        <is>
          <t>Cliente B - Chopeira</t>
        </is>
      </c>
      <c r="G500" t="inlineStr">
        <is>
          <t>Refrigeradores</t>
        </is>
      </c>
      <c r="H500" s="10" t="n">
        <v>45</v>
      </c>
      <c r="I500" s="10">
        <f>IFERROR(T500*H500,0)</f>
        <v/>
      </c>
      <c r="J500" s="11" t="n">
        <v>45991</v>
      </c>
      <c r="K500" s="11" t="n"/>
      <c r="L500" t="inlineStr">
        <is>
          <t>Em transporte</t>
        </is>
      </c>
      <c r="M500">
        <f>IF(L500="","",IFERROR(VLOOKUP(L500,mapGrupoStatus,2,0),"Outros"))</f>
        <v/>
      </c>
      <c r="N500">
        <f>IF(O500="","",IF(O500&lt;=30,"0-30 dias",IF(O500&lt;=60,"31-60 dias",IF(O500&lt;=90,"61-90 dias","Mais de 90 dias"))))</f>
        <v/>
      </c>
      <c r="O500">
        <f>IF(OR(M500="Pendente",M500="Em andamento"),IF(J500="","",TODAY()-J500),"")</f>
        <v/>
      </c>
      <c r="P500" t="n">
        <v>11487</v>
      </c>
      <c r="Q500" t="inlineStr">
        <is>
          <t>Assistência Técnica Manutenção (11487)</t>
        </is>
      </c>
      <c r="R500" t="inlineStr">
        <is>
          <t>PC-0019</t>
        </is>
      </c>
      <c r="S500" t="inlineStr">
        <is>
          <t>Gaxeta da porta modelo 02</t>
        </is>
      </c>
      <c r="T500" t="n">
        <v>1</v>
      </c>
      <c r="U500" t="n">
        <v>122</v>
      </c>
      <c r="V500">
        <f>IF(J500="","",MONTH(J500))</f>
        <v/>
      </c>
      <c r="W500">
        <f>IF(J500="","",YEAR(J500))</f>
        <v/>
      </c>
      <c r="X500" t="inlineStr">
        <is>
          <t>RotaSul</t>
        </is>
      </c>
      <c r="Y500">
        <f>IFERROR(INDEX(Rastreio!$H$2:$H$200,MATCH(X500&amp;"|"&amp;U500,Rastreio!$A$2:$A$200,0)),"")</f>
        <v/>
      </c>
    </row>
    <row r="501">
      <c r="A501">
        <f>IFERROR(INDEX(STAs!$G$2:$G$61,MATCH(P501,STAs!$F$2:$F$61,0))&amp;"","")</f>
        <v/>
      </c>
      <c r="B501" t="n">
        <v>20015675</v>
      </c>
      <c r="C501" t="inlineStr">
        <is>
          <t>Não</t>
        </is>
      </c>
      <c r="D501" t="inlineStr">
        <is>
          <t>BA</t>
        </is>
      </c>
      <c r="E501" t="inlineStr">
        <is>
          <t>NORDESTE</t>
        </is>
      </c>
      <c r="F501" t="inlineStr">
        <is>
          <t>Cliente A - Refrigerador</t>
        </is>
      </c>
      <c r="G501" t="inlineStr">
        <is>
          <t>Refrigeradores</t>
        </is>
      </c>
      <c r="H501" s="10" t="n">
        <v>40</v>
      </c>
      <c r="I501" s="10">
        <f>IFERROR(T501*H501,0)</f>
        <v/>
      </c>
      <c r="J501" s="11" t="n">
        <v>45991</v>
      </c>
      <c r="K501" s="11" t="n">
        <v>45997</v>
      </c>
      <c r="L501" t="inlineStr">
        <is>
          <t>Ok. Devolvida</t>
        </is>
      </c>
      <c r="M501">
        <f>IF(L501="","",IFERROR(VLOOKUP(L501,mapGrupoStatus,2,0),"Outros"))</f>
        <v/>
      </c>
      <c r="N501">
        <f>IF(O501="","",IF(O501&lt;=30,"0-30 dias",IF(O501&lt;=60,"31-60 dias",IF(O501&lt;=90,"61-90 dias","Mais de 90 dias"))))</f>
        <v/>
      </c>
      <c r="O501">
        <f>IF(OR(M501="Pendente",M501="Em andamento"),IF(J501="","",TODAY()-J501),"")</f>
        <v/>
      </c>
      <c r="P501" t="n">
        <v>12194</v>
      </c>
      <c r="Q501" t="inlineStr">
        <is>
          <t>Polar &amp; Cia (12194)</t>
        </is>
      </c>
      <c r="R501" t="inlineStr">
        <is>
          <t>PC-0004</t>
        </is>
      </c>
      <c r="S501" t="inlineStr">
        <is>
          <t>Termostato modelo 01</t>
        </is>
      </c>
      <c r="T501" t="n">
        <v>2</v>
      </c>
      <c r="U501" t="n">
        <v>122</v>
      </c>
      <c r="V501">
        <f>IF(J501="","",MONTH(J501))</f>
        <v/>
      </c>
      <c r="W501">
        <f>IF(J501="","",YEAR(J501))</f>
        <v/>
      </c>
      <c r="X501" t="inlineStr">
        <is>
          <t>RotaSul</t>
        </is>
      </c>
      <c r="Y501">
        <f>IFERROR(INDEX(Rastreio!$H$2:$H$200,MATCH(X501&amp;"|"&amp;U501,Rastreio!$A$2:$A$200,0)),"")</f>
        <v/>
      </c>
    </row>
    <row r="502">
      <c r="A502">
        <f>IFERROR(INDEX(STAs!$G$2:$G$61,MATCH(P502,STAs!$F$2:$F$61,0))&amp;"","")</f>
        <v/>
      </c>
      <c r="B502" t="n">
        <v>20029620</v>
      </c>
      <c r="C502" t="inlineStr">
        <is>
          <t>Não</t>
        </is>
      </c>
      <c r="D502" t="inlineStr">
        <is>
          <t>RO</t>
        </is>
      </c>
      <c r="E502" t="inlineStr">
        <is>
          <t>NORTE</t>
        </is>
      </c>
      <c r="F502" t="inlineStr">
        <is>
          <t>Cliente A - Refrigerador</t>
        </is>
      </c>
      <c r="G502" t="inlineStr">
        <is>
          <t>Chopeiras</t>
        </is>
      </c>
      <c r="H502" s="10" t="n">
        <v>85</v>
      </c>
      <c r="I502" s="10">
        <f>IFERROR(T502*H502,0)</f>
        <v/>
      </c>
      <c r="J502" s="11" t="n">
        <v>45991</v>
      </c>
      <c r="K502" s="11" t="n"/>
      <c r="L502" t="inlineStr">
        <is>
          <t>Não Devolve-Norte</t>
        </is>
      </c>
      <c r="M502">
        <f>IF(L502="","",IFERROR(VLOOKUP(L502,mapGrupoStatus,2,0),"Outros"))</f>
        <v/>
      </c>
      <c r="N502">
        <f>IF(O502="","",IF(O502&lt;=30,"0-30 dias",IF(O502&lt;=60,"31-60 dias",IF(O502&lt;=90,"61-90 dias","Mais de 90 dias"))))</f>
        <v/>
      </c>
      <c r="O502">
        <f>IF(OR(M502="Pendente",M502="Em andamento"),IF(J502="","",TODAY()-J502),"")</f>
        <v/>
      </c>
      <c r="P502" t="n">
        <v>12019</v>
      </c>
      <c r="Q502" t="inlineStr">
        <is>
          <t>Ártico Serviços (12019)</t>
        </is>
      </c>
      <c r="R502" t="inlineStr">
        <is>
          <t>PC-0028</t>
        </is>
      </c>
      <c r="S502" t="inlineStr">
        <is>
          <t>Torneira de chopp modelo 03</t>
        </is>
      </c>
      <c r="T502" t="n">
        <v>1</v>
      </c>
      <c r="U502" t="inlineStr"/>
      <c r="V502">
        <f>IF(J502="","",MONTH(J502))</f>
        <v/>
      </c>
      <c r="W502">
        <f>IF(J502="","",YEAR(J502))</f>
        <v/>
      </c>
      <c r="X502" t="inlineStr"/>
      <c r="Y502">
        <f>IFERROR(INDEX(Rastreio!$H$2:$H$200,MATCH(X502&amp;"|"&amp;U502,Rastreio!$A$2:$A$200,0)),"")</f>
        <v/>
      </c>
    </row>
    <row r="503">
      <c r="A503">
        <f>IFERROR(INDEX(STAs!$G$2:$G$61,MATCH(P503,STAs!$F$2:$F$61,0))&amp;"","")</f>
        <v/>
      </c>
      <c r="B503" t="n">
        <v>20031800</v>
      </c>
      <c r="C503" t="inlineStr">
        <is>
          <t>Não</t>
        </is>
      </c>
      <c r="D503" t="inlineStr">
        <is>
          <t>PI</t>
        </is>
      </c>
      <c r="E503" t="inlineStr">
        <is>
          <t>NORDESTE</t>
        </is>
      </c>
      <c r="F503" t="inlineStr">
        <is>
          <t>Cliente B - Chopeira</t>
        </is>
      </c>
      <c r="G503" t="inlineStr">
        <is>
          <t>Chopeiras</t>
        </is>
      </c>
      <c r="H503" s="10" t="n">
        <v>210</v>
      </c>
      <c r="I503" s="10">
        <f>IFERROR(T503*H503,0)</f>
        <v/>
      </c>
      <c r="J503" s="11" t="n">
        <v>45991</v>
      </c>
      <c r="K503" s="11" t="n">
        <v>45996</v>
      </c>
      <c r="L503" t="inlineStr">
        <is>
          <t>Ok. Devolvida</t>
        </is>
      </c>
      <c r="M503">
        <f>IF(L503="","",IFERROR(VLOOKUP(L503,mapGrupoStatus,2,0),"Outros"))</f>
        <v/>
      </c>
      <c r="N503">
        <f>IF(O503="","",IF(O503&lt;=30,"0-30 dias",IF(O503&lt;=60,"31-60 dias",IF(O503&lt;=90,"61-90 dias","Mais de 90 dias"))))</f>
        <v/>
      </c>
      <c r="O503">
        <f>IF(OR(M503="Pendente",M503="Em andamento"),IF(J503="","",TODAY()-J503),"")</f>
        <v/>
      </c>
      <c r="P503" t="n">
        <v>12936</v>
      </c>
      <c r="Q503" t="inlineStr">
        <is>
          <t>Frigo Técnica (12936)</t>
        </is>
      </c>
      <c r="R503" t="inlineStr">
        <is>
          <t>PC-0029</t>
        </is>
      </c>
      <c r="S503" t="inlineStr">
        <is>
          <t>Serpentina modelo 01</t>
        </is>
      </c>
      <c r="T503" t="n">
        <v>1</v>
      </c>
      <c r="U503" t="n">
        <v>156</v>
      </c>
      <c r="V503">
        <f>IF(J503="","",MONTH(J503))</f>
        <v/>
      </c>
      <c r="W503">
        <f>IF(J503="","",YEAR(J503))</f>
        <v/>
      </c>
      <c r="X503" t="inlineStr">
        <is>
          <t>CargoMax</t>
        </is>
      </c>
      <c r="Y503">
        <f>IFERROR(INDEX(Rastreio!$H$2:$H$200,MATCH(X503&amp;"|"&amp;U503,Rastreio!$A$2:$A$200,0)),"")</f>
        <v/>
      </c>
    </row>
    <row r="504">
      <c r="A504">
        <f>IFERROR(INDEX(STAs!$G$2:$G$61,MATCH(P504,STAs!$F$2:$F$61,0))&amp;"","")</f>
        <v/>
      </c>
      <c r="B504" t="n">
        <v>20000420</v>
      </c>
      <c r="C504" t="inlineStr">
        <is>
          <t>Não</t>
        </is>
      </c>
      <c r="D504" t="inlineStr">
        <is>
          <t>TO</t>
        </is>
      </c>
      <c r="E504" t="inlineStr">
        <is>
          <t>NORTE</t>
        </is>
      </c>
      <c r="F504" t="inlineStr">
        <is>
          <t>Cliente A - Refrigerador</t>
        </is>
      </c>
      <c r="G504" t="inlineStr">
        <is>
          <t>Refrigeradores</t>
        </is>
      </c>
      <c r="H504" s="10" t="n">
        <v>25</v>
      </c>
      <c r="I504" s="10">
        <f>IFERROR(T504*H504,0)</f>
        <v/>
      </c>
      <c r="J504" s="11" t="n">
        <v>45992</v>
      </c>
      <c r="K504" s="11" t="n">
        <v>46005</v>
      </c>
      <c r="L504" t="inlineStr">
        <is>
          <t>Ok. Devolvida</t>
        </is>
      </c>
      <c r="M504">
        <f>IF(L504="","",IFERROR(VLOOKUP(L504,mapGrupoStatus,2,0),"Outros"))</f>
        <v/>
      </c>
      <c r="N504">
        <f>IF(O504="","",IF(O504&lt;=30,"0-30 dias",IF(O504&lt;=60,"31-60 dias",IF(O504&lt;=90,"61-90 dias","Mais de 90 dias"))))</f>
        <v/>
      </c>
      <c r="O504">
        <f>IF(OR(M504="Pendente",M504="Em andamento"),IF(J504="","",TODAY()-J504),"")</f>
        <v/>
      </c>
      <c r="P504" t="n">
        <v>10939</v>
      </c>
      <c r="Q504" t="inlineStr">
        <is>
          <t>Zero Grau Manutenção (10939)</t>
        </is>
      </c>
      <c r="R504" t="inlineStr">
        <is>
          <t>PC-0015</t>
        </is>
      </c>
      <c r="S504" t="inlineStr">
        <is>
          <t>Filtro secador modelo 01</t>
        </is>
      </c>
      <c r="T504" t="n">
        <v>1</v>
      </c>
      <c r="U504" t="n">
        <v>101</v>
      </c>
      <c r="V504">
        <f>IF(J504="","",MONTH(J504))</f>
        <v/>
      </c>
      <c r="W504">
        <f>IF(J504="","",YEAR(J504))</f>
        <v/>
      </c>
      <c r="X504" t="inlineStr">
        <is>
          <t>ViaCargo</t>
        </is>
      </c>
      <c r="Y504">
        <f>IFERROR(INDEX(Rastreio!$H$2:$H$200,MATCH(X504&amp;"|"&amp;U504,Rastreio!$A$2:$A$200,0)),"")</f>
        <v/>
      </c>
    </row>
    <row r="505">
      <c r="A505">
        <f>IFERROR(INDEX(STAs!$G$2:$G$61,MATCH(P505,STAs!$F$2:$F$61,0))&amp;"","")</f>
        <v/>
      </c>
      <c r="B505" t="n">
        <v>20006817</v>
      </c>
      <c r="C505" t="inlineStr">
        <is>
          <t>Não</t>
        </is>
      </c>
      <c r="D505" t="inlineStr">
        <is>
          <t>AC</t>
        </is>
      </c>
      <c r="E505" t="inlineStr">
        <is>
          <t>NORTE</t>
        </is>
      </c>
      <c r="F505" t="inlineStr">
        <is>
          <t>Cliente B - Chopeira</t>
        </is>
      </c>
      <c r="G505" t="inlineStr">
        <is>
          <t>Chopeiras</t>
        </is>
      </c>
      <c r="H505" s="10" t="n">
        <v>115</v>
      </c>
      <c r="I505" s="10">
        <f>IFERROR(T505*H505,0)</f>
        <v/>
      </c>
      <c r="J505" s="11" t="n">
        <v>45992</v>
      </c>
      <c r="K505" s="11" t="n">
        <v>45999</v>
      </c>
      <c r="L505" t="inlineStr">
        <is>
          <t>Ok. Devolvida</t>
        </is>
      </c>
      <c r="M505">
        <f>IF(L505="","",IFERROR(VLOOKUP(L505,mapGrupoStatus,2,0),"Outros"))</f>
        <v/>
      </c>
      <c r="N505">
        <f>IF(O505="","",IF(O505&lt;=30,"0-30 dias",IF(O505&lt;=60,"31-60 dias",IF(O505&lt;=90,"61-90 dias","Mais de 90 dias"))))</f>
        <v/>
      </c>
      <c r="O505">
        <f>IF(OR(M505="Pendente",M505="Em andamento"),IF(J505="","",TODAY()-J505),"")</f>
        <v/>
      </c>
      <c r="P505" t="n">
        <v>10372</v>
      </c>
      <c r="Q505" t="inlineStr">
        <is>
          <t>Zero Grau ME (10372)</t>
        </is>
      </c>
      <c r="R505" t="inlineStr">
        <is>
          <t>PC-0033</t>
        </is>
      </c>
      <c r="S505" t="inlineStr">
        <is>
          <t>Regulador de pressão modelo 02</t>
        </is>
      </c>
      <c r="T505" t="n">
        <v>2</v>
      </c>
      <c r="U505" t="n">
        <v>112</v>
      </c>
      <c r="V505">
        <f>IF(J505="","",MONTH(J505))</f>
        <v/>
      </c>
      <c r="W505">
        <f>IF(J505="","",YEAR(J505))</f>
        <v/>
      </c>
      <c r="X505" t="inlineStr">
        <is>
          <t>RotaSul</t>
        </is>
      </c>
      <c r="Y505">
        <f>IFERROR(INDEX(Rastreio!$H$2:$H$200,MATCH(X505&amp;"|"&amp;U505,Rastreio!$A$2:$A$200,0)),"")</f>
        <v/>
      </c>
    </row>
    <row r="506">
      <c r="A506">
        <f>IFERROR(INDEX(STAs!$G$2:$G$61,MATCH(P506,STAs!$F$2:$F$61,0))&amp;"","")</f>
        <v/>
      </c>
      <c r="B506" t="n">
        <v>20015479</v>
      </c>
      <c r="C506" t="inlineStr">
        <is>
          <t>Não</t>
        </is>
      </c>
      <c r="D506" t="inlineStr">
        <is>
          <t>MS</t>
        </is>
      </c>
      <c r="E506" t="inlineStr">
        <is>
          <t>CENTRO OESTE</t>
        </is>
      </c>
      <c r="F506" t="inlineStr">
        <is>
          <t>Cliente C - Misturador</t>
        </is>
      </c>
      <c r="G506" t="inlineStr">
        <is>
          <t>Refrigeradores</t>
        </is>
      </c>
      <c r="H506" s="10" t="n">
        <v>325</v>
      </c>
      <c r="I506" s="10">
        <f>IFERROR(T506*H506,0)</f>
        <v/>
      </c>
      <c r="J506" s="11" t="n">
        <v>45992</v>
      </c>
      <c r="K506" s="11" t="n"/>
      <c r="L506" t="inlineStr">
        <is>
          <t>Debitar do STA</t>
        </is>
      </c>
      <c r="M506">
        <f>IF(L506="","",IFERROR(VLOOKUP(L506,mapGrupoStatus,2,0),"Outros"))</f>
        <v/>
      </c>
      <c r="N506">
        <f>IF(O506="","",IF(O506&lt;=30,"0-30 dias",IF(O506&lt;=60,"31-60 dias",IF(O506&lt;=90,"61-90 dias","Mais de 90 dias"))))</f>
        <v/>
      </c>
      <c r="O506">
        <f>IF(OR(M506="Pendente",M506="Em andamento"),IF(J506="","",TODAY()-J506),"")</f>
        <v/>
      </c>
      <c r="P506" t="n">
        <v>10302</v>
      </c>
      <c r="Q506" t="inlineStr">
        <is>
          <t>Ice Tech Express (10302)</t>
        </is>
      </c>
      <c r="R506" t="inlineStr">
        <is>
          <t>PC-0001</t>
        </is>
      </c>
      <c r="S506" t="inlineStr">
        <is>
          <t>Compressor modelo 01</t>
        </is>
      </c>
      <c r="T506" t="n">
        <v>1</v>
      </c>
      <c r="U506" t="inlineStr"/>
      <c r="V506">
        <f>IF(J506="","",MONTH(J506))</f>
        <v/>
      </c>
      <c r="W506">
        <f>IF(J506="","",YEAR(J506))</f>
        <v/>
      </c>
      <c r="X506" t="inlineStr"/>
      <c r="Y506">
        <f>IFERROR(INDEX(Rastreio!$H$2:$H$200,MATCH(X506&amp;"|"&amp;U506,Rastreio!$A$2:$A$200,0)),"")</f>
        <v/>
      </c>
    </row>
    <row r="507">
      <c r="A507">
        <f>IFERROR(INDEX(STAs!$G$2:$G$61,MATCH(P507,STAs!$F$2:$F$61,0))&amp;"","")</f>
        <v/>
      </c>
      <c r="B507" t="n">
        <v>20017065</v>
      </c>
      <c r="C507" t="inlineStr">
        <is>
          <t>Não</t>
        </is>
      </c>
      <c r="D507" t="inlineStr">
        <is>
          <t>RR</t>
        </is>
      </c>
      <c r="E507" t="inlineStr">
        <is>
          <t>NORTE</t>
        </is>
      </c>
      <c r="F507" t="inlineStr">
        <is>
          <t>Cliente C - Misturador</t>
        </is>
      </c>
      <c r="G507" t="inlineStr">
        <is>
          <t>Chopeiras</t>
        </is>
      </c>
      <c r="H507" s="10" t="n">
        <v>205</v>
      </c>
      <c r="I507" s="10">
        <f>IFERROR(T507*H507,0)</f>
        <v/>
      </c>
      <c r="J507" s="11" t="n">
        <v>45992</v>
      </c>
      <c r="K507" s="11" t="n">
        <v>46040</v>
      </c>
      <c r="L507" t="inlineStr">
        <is>
          <t>Ok. Devolvida</t>
        </is>
      </c>
      <c r="M507">
        <f>IF(L507="","",IFERROR(VLOOKUP(L507,mapGrupoStatus,2,0),"Outros"))</f>
        <v/>
      </c>
      <c r="N507">
        <f>IF(O507="","",IF(O507&lt;=30,"0-30 dias",IF(O507&lt;=60,"31-60 dias",IF(O507&lt;=90,"61-90 dias","Mais de 90 dias"))))</f>
        <v/>
      </c>
      <c r="O507">
        <f>IF(OR(M507="Pendente",M507="Em andamento"),IF(J507="","",TODAY()-J507),"")</f>
        <v/>
      </c>
      <c r="P507" t="n">
        <v>12422</v>
      </c>
      <c r="Q507" t="inlineStr">
        <is>
          <t>Assistência Técnica Refrigeração (12422)</t>
        </is>
      </c>
      <c r="R507" t="inlineStr">
        <is>
          <t>PC-0031</t>
        </is>
      </c>
      <c r="S507" t="inlineStr">
        <is>
          <t>Serpentina modelo 03</t>
        </is>
      </c>
      <c r="T507" t="n">
        <v>1</v>
      </c>
      <c r="U507" t="n">
        <v>131</v>
      </c>
      <c r="V507">
        <f>IF(J507="","",MONTH(J507))</f>
        <v/>
      </c>
      <c r="W507">
        <f>IF(J507="","",YEAR(J507))</f>
        <v/>
      </c>
      <c r="X507" t="inlineStr">
        <is>
          <t>LogExpress</t>
        </is>
      </c>
      <c r="Y507">
        <f>IFERROR(INDEX(Rastreio!$H$2:$H$200,MATCH(X507&amp;"|"&amp;U507,Rastreio!$A$2:$A$200,0)),"")</f>
        <v/>
      </c>
    </row>
    <row r="508">
      <c r="A508">
        <f>IFERROR(INDEX(STAs!$G$2:$G$61,MATCH(P508,STAs!$F$2:$F$61,0))&amp;"","")</f>
        <v/>
      </c>
      <c r="B508" t="n">
        <v>20017165</v>
      </c>
      <c r="C508" t="inlineStr">
        <is>
          <t>Não</t>
        </is>
      </c>
      <c r="D508" t="inlineStr">
        <is>
          <t>MT</t>
        </is>
      </c>
      <c r="E508" t="inlineStr">
        <is>
          <t>CENTRO OESTE</t>
        </is>
      </c>
      <c r="F508" t="inlineStr">
        <is>
          <t>Cliente C - Misturador</t>
        </is>
      </c>
      <c r="G508" t="inlineStr">
        <is>
          <t>Chopeiras</t>
        </is>
      </c>
      <c r="H508" s="10" t="n">
        <v>120</v>
      </c>
      <c r="I508" s="10">
        <f>IFERROR(T508*H508,0)</f>
        <v/>
      </c>
      <c r="J508" s="11" t="n">
        <v>45992</v>
      </c>
      <c r="K508" s="11" t="n">
        <v>46040</v>
      </c>
      <c r="L508" t="inlineStr">
        <is>
          <t>Ok. Devolvida</t>
        </is>
      </c>
      <c r="M508">
        <f>IF(L508="","",IFERROR(VLOOKUP(L508,mapGrupoStatus,2,0),"Outros"))</f>
        <v/>
      </c>
      <c r="N508">
        <f>IF(O508="","",IF(O508&lt;=30,"0-30 dias",IF(O508&lt;=60,"31-60 dias",IF(O508&lt;=90,"61-90 dias","Mais de 90 dias"))))</f>
        <v/>
      </c>
      <c r="O508">
        <f>IF(OR(M508="Pendente",M508="Em andamento"),IF(J508="","",TODAY()-J508),"")</f>
        <v/>
      </c>
      <c r="P508" t="n">
        <v>10227</v>
      </c>
      <c r="Q508" t="inlineStr">
        <is>
          <t>Assistência Técnica ME (10227)</t>
        </is>
      </c>
      <c r="R508" t="inlineStr">
        <is>
          <t>PC-0032</t>
        </is>
      </c>
      <c r="S508" t="inlineStr">
        <is>
          <t>Regulador de pressão modelo 01</t>
        </is>
      </c>
      <c r="T508" t="n">
        <v>1</v>
      </c>
      <c r="U508" t="n">
        <v>132</v>
      </c>
      <c r="V508">
        <f>IF(J508="","",MONTH(J508))</f>
        <v/>
      </c>
      <c r="W508">
        <f>IF(J508="","",YEAR(J508))</f>
        <v/>
      </c>
      <c r="X508" t="inlineStr">
        <is>
          <t>ViaCargo</t>
        </is>
      </c>
      <c r="Y508">
        <f>IFERROR(INDEX(Rastreio!$H$2:$H$200,MATCH(X508&amp;"|"&amp;U508,Rastreio!$A$2:$A$200,0)),"")</f>
        <v/>
      </c>
    </row>
    <row r="509">
      <c r="A509">
        <f>IFERROR(INDEX(STAs!$G$2:$G$61,MATCH(P509,STAs!$F$2:$F$61,0))&amp;"","")</f>
        <v/>
      </c>
      <c r="B509" t="n">
        <v>20018379</v>
      </c>
      <c r="C509" t="inlineStr">
        <is>
          <t>Não</t>
        </is>
      </c>
      <c r="D509" t="inlineStr">
        <is>
          <t>MS</t>
        </is>
      </c>
      <c r="E509" t="inlineStr">
        <is>
          <t>CENTRO OESTE</t>
        </is>
      </c>
      <c r="F509" t="inlineStr">
        <is>
          <t>Cliente B - Chopeira</t>
        </is>
      </c>
      <c r="G509" t="inlineStr">
        <is>
          <t>Refrigeradores</t>
        </is>
      </c>
      <c r="H509" s="10" t="n">
        <v>330</v>
      </c>
      <c r="I509" s="10">
        <f>IFERROR(T509*H509,0)</f>
        <v/>
      </c>
      <c r="J509" s="11" t="n">
        <v>45992</v>
      </c>
      <c r="K509" s="11" t="n">
        <v>46029</v>
      </c>
      <c r="L509" t="inlineStr">
        <is>
          <t>Ok. Devolvida</t>
        </is>
      </c>
      <c r="M509">
        <f>IF(L509="","",IFERROR(VLOOKUP(L509,mapGrupoStatus,2,0),"Outros"))</f>
        <v/>
      </c>
      <c r="N509">
        <f>IF(O509="","",IF(O509&lt;=30,"0-30 dias",IF(O509&lt;=60,"31-60 dias",IF(O509&lt;=90,"61-90 dias","Mais de 90 dias"))))</f>
        <v/>
      </c>
      <c r="O509">
        <f>IF(OR(M509="Pendente",M509="Em andamento"),IF(J509="","",TODAY()-J509),"")</f>
        <v/>
      </c>
      <c r="P509" t="n">
        <v>11726</v>
      </c>
      <c r="Q509" t="inlineStr">
        <is>
          <t>Norte Frio Refrigeração (11726)</t>
        </is>
      </c>
      <c r="R509" t="inlineStr">
        <is>
          <t>PC-0003</t>
        </is>
      </c>
      <c r="S509" t="inlineStr">
        <is>
          <t>Compressor modelo 03</t>
        </is>
      </c>
      <c r="T509" t="n">
        <v>1</v>
      </c>
      <c r="U509" t="n">
        <v>124</v>
      </c>
      <c r="V509">
        <f>IF(J509="","",MONTH(J509))</f>
        <v/>
      </c>
      <c r="W509">
        <f>IF(J509="","",YEAR(J509))</f>
        <v/>
      </c>
      <c r="X509" t="inlineStr">
        <is>
          <t>RotaSul</t>
        </is>
      </c>
      <c r="Y509">
        <f>IFERROR(INDEX(Rastreio!$H$2:$H$200,MATCH(X509&amp;"|"&amp;U509,Rastreio!$A$2:$A$200,0)),"")</f>
        <v/>
      </c>
    </row>
    <row r="510">
      <c r="A510">
        <f>IFERROR(INDEX(STAs!$G$2:$G$61,MATCH(P510,STAs!$F$2:$F$61,0))&amp;"","")</f>
        <v/>
      </c>
      <c r="B510" t="n">
        <v>20022002</v>
      </c>
      <c r="C510" t="inlineStr">
        <is>
          <t>Não</t>
        </is>
      </c>
      <c r="D510" t="inlineStr">
        <is>
          <t>RR</t>
        </is>
      </c>
      <c r="E510" t="inlineStr">
        <is>
          <t>NORTE</t>
        </is>
      </c>
      <c r="F510" t="inlineStr">
        <is>
          <t>Cliente C - Misturador</t>
        </is>
      </c>
      <c r="G510" t="inlineStr">
        <is>
          <t>Chopeiras</t>
        </is>
      </c>
      <c r="H510" s="10" t="n">
        <v>210</v>
      </c>
      <c r="I510" s="10">
        <f>IFERROR(T510*H510,0)</f>
        <v/>
      </c>
      <c r="J510" s="11" t="n">
        <v>45992</v>
      </c>
      <c r="K510" s="11" t="n"/>
      <c r="L510" t="inlineStr">
        <is>
          <t>Não Devolve-Norte</t>
        </is>
      </c>
      <c r="M510">
        <f>IF(L510="","",IFERROR(VLOOKUP(L510,mapGrupoStatus,2,0),"Outros"))</f>
        <v/>
      </c>
      <c r="N510">
        <f>IF(O510="","",IF(O510&lt;=30,"0-30 dias",IF(O510&lt;=60,"31-60 dias",IF(O510&lt;=90,"61-90 dias","Mais de 90 dias"))))</f>
        <v/>
      </c>
      <c r="O510">
        <f>IF(OR(M510="Pendente",M510="Em andamento"),IF(J510="","",TODAY()-J510),"")</f>
        <v/>
      </c>
      <c r="P510" t="n">
        <v>10468</v>
      </c>
      <c r="Q510" t="inlineStr">
        <is>
          <t>Clima Express (10468)</t>
        </is>
      </c>
      <c r="R510" t="inlineStr">
        <is>
          <t>PC-0029</t>
        </is>
      </c>
      <c r="S510" t="inlineStr">
        <is>
          <t>Serpentina modelo 01</t>
        </is>
      </c>
      <c r="T510" t="n">
        <v>1</v>
      </c>
      <c r="U510" t="inlineStr"/>
      <c r="V510">
        <f>IF(J510="","",MONTH(J510))</f>
        <v/>
      </c>
      <c r="W510">
        <f>IF(J510="","",YEAR(J510))</f>
        <v/>
      </c>
      <c r="X510" t="inlineStr"/>
      <c r="Y510">
        <f>IFERROR(INDEX(Rastreio!$H$2:$H$200,MATCH(X510&amp;"|"&amp;U510,Rastreio!$A$2:$A$200,0)),"")</f>
        <v/>
      </c>
    </row>
    <row r="511">
      <c r="A511">
        <f>IFERROR(INDEX(STAs!$G$2:$G$61,MATCH(P511,STAs!$F$2:$F$61,0))&amp;"","")</f>
        <v/>
      </c>
      <c r="B511" t="n">
        <v>20031092</v>
      </c>
      <c r="C511" t="inlineStr">
        <is>
          <t>Não</t>
        </is>
      </c>
      <c r="D511" t="inlineStr">
        <is>
          <t>DF</t>
        </is>
      </c>
      <c r="E511" t="inlineStr">
        <is>
          <t>CENTRO OESTE</t>
        </is>
      </c>
      <c r="F511" t="inlineStr">
        <is>
          <t>Cliente B - Chopeira</t>
        </is>
      </c>
      <c r="G511" t="inlineStr">
        <is>
          <t>Refrigeradores</t>
        </is>
      </c>
      <c r="H511" s="10" t="n">
        <v>25</v>
      </c>
      <c r="I511" s="10">
        <f>IFERROR(T511*H511,0)</f>
        <v/>
      </c>
      <c r="J511" s="11" t="n">
        <v>45992</v>
      </c>
      <c r="K511" s="11" t="n"/>
      <c r="L511" t="inlineStr">
        <is>
          <t>Aguardando devolução</t>
        </is>
      </c>
      <c r="M511">
        <f>IF(L511="","",IFERROR(VLOOKUP(L511,mapGrupoStatus,2,0),"Outros"))</f>
        <v/>
      </c>
      <c r="N511">
        <f>IF(O511="","",IF(O511&lt;=30,"0-30 dias",IF(O511&lt;=60,"31-60 dias",IF(O511&lt;=90,"61-90 dias","Mais de 90 dias"))))</f>
        <v/>
      </c>
      <c r="O511">
        <f>IF(OR(M511="Pendente",M511="Em andamento"),IF(J511="","",TODAY()-J511),"")</f>
        <v/>
      </c>
      <c r="P511" t="n">
        <v>10021</v>
      </c>
      <c r="Q511" t="inlineStr">
        <is>
          <t>Termotec Técnica (10021)</t>
        </is>
      </c>
      <c r="R511" t="inlineStr">
        <is>
          <t>PC-0015</t>
        </is>
      </c>
      <c r="S511" t="inlineStr">
        <is>
          <t>Filtro secador modelo 01</t>
        </is>
      </c>
      <c r="T511" t="n">
        <v>1</v>
      </c>
      <c r="U511" t="inlineStr"/>
      <c r="V511">
        <f>IF(J511="","",MONTH(J511))</f>
        <v/>
      </c>
      <c r="W511">
        <f>IF(J511="","",YEAR(J511))</f>
        <v/>
      </c>
      <c r="X511" t="inlineStr"/>
      <c r="Y511">
        <f>IFERROR(INDEX(Rastreio!$H$2:$H$200,MATCH(X511&amp;"|"&amp;U511,Rastreio!$A$2:$A$200,0)),"")</f>
        <v/>
      </c>
    </row>
    <row r="512">
      <c r="A512">
        <f>IFERROR(INDEX(STAs!$G$2:$G$61,MATCH(P512,STAs!$F$2:$F$61,0))&amp;"","")</f>
        <v/>
      </c>
      <c r="B512" t="n">
        <v>20008445</v>
      </c>
      <c r="C512" t="inlineStr">
        <is>
          <t>Não</t>
        </is>
      </c>
      <c r="D512" t="inlineStr">
        <is>
          <t>AC</t>
        </is>
      </c>
      <c r="E512" t="inlineStr">
        <is>
          <t>NORTE</t>
        </is>
      </c>
      <c r="F512" t="inlineStr">
        <is>
          <t>Cliente C - Misturador</t>
        </is>
      </c>
      <c r="G512" t="inlineStr">
        <is>
          <t>Refrigeradores</t>
        </is>
      </c>
      <c r="H512" s="10" t="n">
        <v>190</v>
      </c>
      <c r="I512" s="10">
        <f>IFERROR(T512*H512,0)</f>
        <v/>
      </c>
      <c r="J512" s="11" t="n">
        <v>45993</v>
      </c>
      <c r="K512" s="11" t="n"/>
      <c r="L512" t="inlineStr">
        <is>
          <t>Não Devolve-Norte</t>
        </is>
      </c>
      <c r="M512">
        <f>IF(L512="","",IFERROR(VLOOKUP(L512,mapGrupoStatus,2,0),"Outros"))</f>
        <v/>
      </c>
      <c r="N512">
        <f>IF(O512="","",IF(O512&lt;=30,"0-30 dias",IF(O512&lt;=60,"31-60 dias",IF(O512&lt;=90,"61-90 dias","Mais de 90 dias"))))</f>
        <v/>
      </c>
      <c r="O512">
        <f>IF(OR(M512="Pendente",M512="Em andamento"),IF(J512="","",TODAY()-J512),"")</f>
        <v/>
      </c>
      <c r="P512" t="n">
        <v>11022</v>
      </c>
      <c r="Q512" t="inlineStr">
        <is>
          <t>Brisa Ltda (11022)</t>
        </is>
      </c>
      <c r="R512" t="inlineStr">
        <is>
          <t>PC-0011</t>
        </is>
      </c>
      <c r="S512" t="inlineStr">
        <is>
          <t>Placa eletrônica modelo 01</t>
        </is>
      </c>
      <c r="T512" t="n">
        <v>1</v>
      </c>
      <c r="U512" t="inlineStr"/>
      <c r="V512">
        <f>IF(J512="","",MONTH(J512))</f>
        <v/>
      </c>
      <c r="W512">
        <f>IF(J512="","",YEAR(J512))</f>
        <v/>
      </c>
      <c r="X512" t="inlineStr"/>
      <c r="Y512">
        <f>IFERROR(INDEX(Rastreio!$H$2:$H$200,MATCH(X512&amp;"|"&amp;U512,Rastreio!$A$2:$A$200,0)),"")</f>
        <v/>
      </c>
    </row>
    <row r="513">
      <c r="A513">
        <f>IFERROR(INDEX(STAs!$G$2:$G$61,MATCH(P513,STAs!$F$2:$F$61,0))&amp;"","")</f>
        <v/>
      </c>
      <c r="B513" t="n">
        <v>20008893</v>
      </c>
      <c r="C513" t="inlineStr">
        <is>
          <t>Não</t>
        </is>
      </c>
      <c r="D513" t="inlineStr">
        <is>
          <t>PB</t>
        </is>
      </c>
      <c r="E513" t="inlineStr">
        <is>
          <t>NORDESTE</t>
        </is>
      </c>
      <c r="F513" t="inlineStr">
        <is>
          <t>Cliente C - Misturador</t>
        </is>
      </c>
      <c r="G513" t="inlineStr">
        <is>
          <t>Misturadores</t>
        </is>
      </c>
      <c r="H513" s="10" t="n">
        <v>50</v>
      </c>
      <c r="I513" s="10">
        <f>IFERROR(T513*H513,0)</f>
        <v/>
      </c>
      <c r="J513" s="11" t="n">
        <v>45993</v>
      </c>
      <c r="K513" s="11" t="n"/>
      <c r="L513" t="inlineStr">
        <is>
          <t>Em transporte</t>
        </is>
      </c>
      <c r="M513">
        <f>IF(L513="","",IFERROR(VLOOKUP(L513,mapGrupoStatus,2,0),"Outros"))</f>
        <v/>
      </c>
      <c r="N513">
        <f>IF(O513="","",IF(O513&lt;=30,"0-30 dias",IF(O513&lt;=60,"31-60 dias",IF(O513&lt;=90,"61-90 dias","Mais de 90 dias"))))</f>
        <v/>
      </c>
      <c r="O513">
        <f>IF(OR(M513="Pendente",M513="Em andamento"),IF(J513="","",TODAY()-J513),"")</f>
        <v/>
      </c>
      <c r="P513" t="n">
        <v>11741</v>
      </c>
      <c r="Q513" t="inlineStr">
        <is>
          <t>Clima Refrigeração (11741)</t>
        </is>
      </c>
      <c r="R513" t="inlineStr">
        <is>
          <t>PC-0044</t>
        </is>
      </c>
      <c r="S513" t="inlineStr">
        <is>
          <t>Bico dosador modelo 03</t>
        </is>
      </c>
      <c r="T513" t="n">
        <v>2</v>
      </c>
      <c r="U513" t="n">
        <v>121</v>
      </c>
      <c r="V513">
        <f>IF(J513="","",MONTH(J513))</f>
        <v/>
      </c>
      <c r="W513">
        <f>IF(J513="","",YEAR(J513))</f>
        <v/>
      </c>
      <c r="X513" t="inlineStr">
        <is>
          <t>ViaCargo</t>
        </is>
      </c>
      <c r="Y513">
        <f>IFERROR(INDEX(Rastreio!$H$2:$H$200,MATCH(X513&amp;"|"&amp;U513,Rastreio!$A$2:$A$200,0)),"")</f>
        <v/>
      </c>
    </row>
    <row r="514">
      <c r="A514">
        <f>IFERROR(INDEX(STAs!$G$2:$G$61,MATCH(P514,STAs!$F$2:$F$61,0))&amp;"","")</f>
        <v/>
      </c>
      <c r="B514" t="n">
        <v>20014772</v>
      </c>
      <c r="C514" t="inlineStr">
        <is>
          <t>Não</t>
        </is>
      </c>
      <c r="D514" t="inlineStr">
        <is>
          <t>PR</t>
        </is>
      </c>
      <c r="E514" t="inlineStr">
        <is>
          <t>SUL</t>
        </is>
      </c>
      <c r="F514" t="inlineStr">
        <is>
          <t>Cliente A - Refrigerador</t>
        </is>
      </c>
      <c r="G514" t="inlineStr">
        <is>
          <t>Refrigeradores</t>
        </is>
      </c>
      <c r="H514" s="10" t="n">
        <v>35</v>
      </c>
      <c r="I514" s="10">
        <f>IFERROR(T514*H514,0)</f>
        <v/>
      </c>
      <c r="J514" s="11" t="n">
        <v>45993</v>
      </c>
      <c r="K514" s="11" t="n"/>
      <c r="L514" t="inlineStr">
        <is>
          <t>Aguardando devolução</t>
        </is>
      </c>
      <c r="M514">
        <f>IF(L514="","",IFERROR(VLOOKUP(L514,mapGrupoStatus,2,0),"Outros"))</f>
        <v/>
      </c>
      <c r="N514">
        <f>IF(O514="","",IF(O514&lt;=30,"0-30 dias",IF(O514&lt;=60,"31-60 dias",IF(O514&lt;=90,"61-90 dias","Mais de 90 dias"))))</f>
        <v/>
      </c>
      <c r="O514">
        <f>IF(OR(M514="Pendente",M514="Em andamento"),IF(J514="","",TODAY()-J514),"")</f>
        <v/>
      </c>
      <c r="P514" t="n">
        <v>12089</v>
      </c>
      <c r="Q514" t="inlineStr">
        <is>
          <t>Termotec Serviços (12089)</t>
        </is>
      </c>
      <c r="R514" t="inlineStr">
        <is>
          <t>PC-0016</t>
        </is>
      </c>
      <c r="S514" t="inlineStr">
        <is>
          <t>Filtro secador modelo 02</t>
        </is>
      </c>
      <c r="T514" t="n">
        <v>1</v>
      </c>
      <c r="U514" t="inlineStr"/>
      <c r="V514">
        <f>IF(J514="","",MONTH(J514))</f>
        <v/>
      </c>
      <c r="W514">
        <f>IF(J514="","",YEAR(J514))</f>
        <v/>
      </c>
      <c r="X514" t="inlineStr"/>
      <c r="Y514">
        <f>IFERROR(INDEX(Rastreio!$H$2:$H$200,MATCH(X514&amp;"|"&amp;U514,Rastreio!$A$2:$A$200,0)),"")</f>
        <v/>
      </c>
    </row>
    <row r="515">
      <c r="A515">
        <f>IFERROR(INDEX(STAs!$G$2:$G$61,MATCH(P515,STAs!$F$2:$F$61,0))&amp;"","")</f>
        <v/>
      </c>
      <c r="B515" t="n">
        <v>20020209</v>
      </c>
      <c r="C515" t="inlineStr">
        <is>
          <t>Não</t>
        </is>
      </c>
      <c r="D515" t="inlineStr">
        <is>
          <t>RO</t>
        </is>
      </c>
      <c r="E515" t="inlineStr">
        <is>
          <t>NORTE</t>
        </is>
      </c>
      <c r="F515" t="inlineStr">
        <is>
          <t>Cliente B - Chopeira</t>
        </is>
      </c>
      <c r="G515" t="inlineStr">
        <is>
          <t>Misturadores</t>
        </is>
      </c>
      <c r="H515" s="10" t="n">
        <v>200</v>
      </c>
      <c r="I515" s="10">
        <f>IFERROR(T515*H515,0)</f>
        <v/>
      </c>
      <c r="J515" s="11" t="n">
        <v>45993</v>
      </c>
      <c r="K515" s="11" t="n"/>
      <c r="L515" t="inlineStr">
        <is>
          <t>Não Devolve-Norte</t>
        </is>
      </c>
      <c r="M515">
        <f>IF(L515="","",IFERROR(VLOOKUP(L515,mapGrupoStatus,2,0),"Outros"))</f>
        <v/>
      </c>
      <c r="N515">
        <f>IF(O515="","",IF(O515&lt;=30,"0-30 dias",IF(O515&lt;=60,"31-60 dias",IF(O515&lt;=90,"61-90 dias","Mais de 90 dias"))))</f>
        <v/>
      </c>
      <c r="O515">
        <f>IF(OR(M515="Pendente",M515="Em andamento"),IF(J515="","",TODAY()-J515),"")</f>
        <v/>
      </c>
      <c r="P515" t="n">
        <v>10172</v>
      </c>
      <c r="Q515" t="inlineStr">
        <is>
          <t>Frigo Serviços (10172)</t>
        </is>
      </c>
      <c r="R515" t="inlineStr">
        <is>
          <t>PC-0040</t>
        </is>
      </c>
      <c r="S515" t="inlineStr">
        <is>
          <t>Motor agitador modelo 01</t>
        </is>
      </c>
      <c r="T515" t="n">
        <v>1</v>
      </c>
      <c r="U515" t="inlineStr"/>
      <c r="V515">
        <f>IF(J515="","",MONTH(J515))</f>
        <v/>
      </c>
      <c r="W515">
        <f>IF(J515="","",YEAR(J515))</f>
        <v/>
      </c>
      <c r="X515" t="inlineStr"/>
      <c r="Y515">
        <f>IFERROR(INDEX(Rastreio!$H$2:$H$200,MATCH(X515&amp;"|"&amp;U515,Rastreio!$A$2:$A$200,0)),"")</f>
        <v/>
      </c>
    </row>
    <row r="516">
      <c r="A516">
        <f>IFERROR(INDEX(STAs!$G$2:$G$61,MATCH(P516,STAs!$F$2:$F$61,0))&amp;"","")</f>
        <v/>
      </c>
      <c r="B516" t="n">
        <v>20023467</v>
      </c>
      <c r="C516" t="inlineStr">
        <is>
          <t>Não</t>
        </is>
      </c>
      <c r="D516" t="inlineStr">
        <is>
          <t>AM</t>
        </is>
      </c>
      <c r="E516" t="inlineStr">
        <is>
          <t>NORTE</t>
        </is>
      </c>
      <c r="F516" t="inlineStr">
        <is>
          <t>Cliente A - Refrigerador</t>
        </is>
      </c>
      <c r="G516" t="inlineStr">
        <is>
          <t>Refrigeradores</t>
        </is>
      </c>
      <c r="H516" s="10" t="n">
        <v>190</v>
      </c>
      <c r="I516" s="10">
        <f>IFERROR(T516*H516,0)</f>
        <v/>
      </c>
      <c r="J516" s="11" t="n">
        <v>45993</v>
      </c>
      <c r="K516" s="11" t="n"/>
      <c r="L516" t="inlineStr">
        <is>
          <t>Aguardando devolução</t>
        </is>
      </c>
      <c r="M516">
        <f>IF(L516="","",IFERROR(VLOOKUP(L516,mapGrupoStatus,2,0),"Outros"))</f>
        <v/>
      </c>
      <c r="N516">
        <f>IF(O516="","",IF(O516&lt;=30,"0-30 dias",IF(O516&lt;=60,"31-60 dias",IF(O516&lt;=90,"61-90 dias","Mais de 90 dias"))))</f>
        <v/>
      </c>
      <c r="O516">
        <f>IF(OR(M516="Pendente",M516="Em andamento"),IF(J516="","",TODAY()-J516),"")</f>
        <v/>
      </c>
      <c r="P516" t="n">
        <v>12269</v>
      </c>
      <c r="Q516" t="inlineStr">
        <is>
          <t>Polar Técnica (12269)</t>
        </is>
      </c>
      <c r="R516" t="inlineStr">
        <is>
          <t>PC-0014</t>
        </is>
      </c>
      <c r="S516" t="inlineStr">
        <is>
          <t>Placa eletrônica modelo 04</t>
        </is>
      </c>
      <c r="T516" t="n">
        <v>1</v>
      </c>
      <c r="U516" t="inlineStr"/>
      <c r="V516">
        <f>IF(J516="","",MONTH(J516))</f>
        <v/>
      </c>
      <c r="W516">
        <f>IF(J516="","",YEAR(J516))</f>
        <v/>
      </c>
      <c r="X516" t="inlineStr"/>
      <c r="Y516">
        <f>IFERROR(INDEX(Rastreio!$H$2:$H$200,MATCH(X516&amp;"|"&amp;U516,Rastreio!$A$2:$A$200,0)),"")</f>
        <v/>
      </c>
    </row>
    <row r="517">
      <c r="A517">
        <f>IFERROR(INDEX(STAs!$G$2:$G$61,MATCH(P517,STAs!$F$2:$F$61,0))&amp;"","")</f>
        <v/>
      </c>
      <c r="B517" t="n">
        <v>20034710</v>
      </c>
      <c r="C517" t="inlineStr">
        <is>
          <t>Sim</t>
        </is>
      </c>
      <c r="D517" t="inlineStr">
        <is>
          <t>PR</t>
        </is>
      </c>
      <c r="E517" t="inlineStr">
        <is>
          <t>SUL</t>
        </is>
      </c>
      <c r="F517" t="inlineStr">
        <is>
          <t>Cliente A - Refrigerador</t>
        </is>
      </c>
      <c r="G517" t="inlineStr">
        <is>
          <t>Misturadores</t>
        </is>
      </c>
      <c r="H517" s="10" t="n">
        <v>255</v>
      </c>
      <c r="I517" s="10">
        <f>IFERROR(T517*H517,0)</f>
        <v/>
      </c>
      <c r="J517" s="11" t="n">
        <v>45993</v>
      </c>
      <c r="K517" s="11" t="n">
        <v>46029</v>
      </c>
      <c r="L517" t="inlineStr">
        <is>
          <t>Ok. Devolvida</t>
        </is>
      </c>
      <c r="M517">
        <f>IF(L517="","",IFERROR(VLOOKUP(L517,mapGrupoStatus,2,0),"Outros"))</f>
        <v/>
      </c>
      <c r="N517">
        <f>IF(O517="","",IF(O517&lt;=30,"0-30 dias",IF(O517&lt;=60,"31-60 dias",IF(O517&lt;=90,"61-90 dias","Mais de 90 dias"))))</f>
        <v/>
      </c>
      <c r="O517">
        <f>IF(OR(M517="Pendente",M517="Em andamento"),IF(J517="","",TODAY()-J517),"")</f>
        <v/>
      </c>
      <c r="P517" t="n">
        <v>10753</v>
      </c>
      <c r="Q517" t="inlineStr">
        <is>
          <t>Refrigel &amp; Cia (10753)</t>
        </is>
      </c>
      <c r="R517" t="inlineStr">
        <is>
          <t>PC-0039</t>
        </is>
      </c>
      <c r="S517" t="inlineStr">
        <is>
          <t>Bomba de recirculação modelo 03</t>
        </is>
      </c>
      <c r="T517" t="n">
        <v>1</v>
      </c>
      <c r="U517" t="n">
        <v>148</v>
      </c>
      <c r="V517">
        <f>IF(J517="","",MONTH(J517))</f>
        <v/>
      </c>
      <c r="W517">
        <f>IF(J517="","",YEAR(J517))</f>
        <v/>
      </c>
      <c r="X517" t="inlineStr">
        <is>
          <t>EntregaJá</t>
        </is>
      </c>
      <c r="Y517">
        <f>IFERROR(INDEX(Rastreio!$H$2:$H$200,MATCH(X517&amp;"|"&amp;U517,Rastreio!$A$2:$A$200,0)),"")</f>
        <v/>
      </c>
    </row>
    <row r="518">
      <c r="A518">
        <f>IFERROR(INDEX(STAs!$G$2:$G$61,MATCH(P518,STAs!$F$2:$F$61,0))&amp;"","")</f>
        <v/>
      </c>
      <c r="B518" t="n">
        <v>20000474</v>
      </c>
      <c r="C518" t="inlineStr">
        <is>
          <t>Não</t>
        </is>
      </c>
      <c r="D518" t="inlineStr">
        <is>
          <t>MG</t>
        </is>
      </c>
      <c r="E518" t="inlineStr">
        <is>
          <t>SUDESTE MG</t>
        </is>
      </c>
      <c r="F518" t="inlineStr">
        <is>
          <t>Cliente B - Chopeira</t>
        </is>
      </c>
      <c r="G518" t="inlineStr">
        <is>
          <t>Chopeiras</t>
        </is>
      </c>
      <c r="H518" s="10" t="n">
        <v>210</v>
      </c>
      <c r="I518" s="10">
        <f>IFERROR(T518*H518,0)</f>
        <v/>
      </c>
      <c r="J518" s="11" t="n">
        <v>45995</v>
      </c>
      <c r="K518" s="11" t="n"/>
      <c r="L518" t="inlineStr">
        <is>
          <t>Não Devolve-Norte</t>
        </is>
      </c>
      <c r="M518">
        <f>IF(L518="","",IFERROR(VLOOKUP(L518,mapGrupoStatus,2,0),"Outros"))</f>
        <v/>
      </c>
      <c r="N518">
        <f>IF(O518="","",IF(O518&lt;=30,"0-30 dias",IF(O518&lt;=60,"31-60 dias",IF(O518&lt;=90,"61-90 dias","Mais de 90 dias"))))</f>
        <v/>
      </c>
      <c r="O518">
        <f>IF(OR(M518="Pendente",M518="Em andamento"),IF(J518="","",TODAY()-J518),"")</f>
        <v/>
      </c>
      <c r="P518" t="n">
        <v>11494</v>
      </c>
      <c r="Q518" t="inlineStr">
        <is>
          <t>Clima Técnica (11494)</t>
        </is>
      </c>
      <c r="R518" t="inlineStr">
        <is>
          <t>PC-0029</t>
        </is>
      </c>
      <c r="S518" t="inlineStr">
        <is>
          <t>Serpentina modelo 01</t>
        </is>
      </c>
      <c r="T518" t="n">
        <v>2</v>
      </c>
      <c r="U518" t="inlineStr"/>
      <c r="V518">
        <f>IF(J518="","",MONTH(J518))</f>
        <v/>
      </c>
      <c r="W518">
        <f>IF(J518="","",YEAR(J518))</f>
        <v/>
      </c>
      <c r="X518" t="inlineStr"/>
      <c r="Y518">
        <f>IFERROR(INDEX(Rastreio!$H$2:$H$200,MATCH(X518&amp;"|"&amp;U518,Rastreio!$A$2:$A$200,0)),"")</f>
        <v/>
      </c>
    </row>
    <row r="519">
      <c r="A519">
        <f>IFERROR(INDEX(STAs!$G$2:$G$61,MATCH(P519,STAs!$F$2:$F$61,0))&amp;"","")</f>
        <v/>
      </c>
      <c r="B519" t="n">
        <v>20012146</v>
      </c>
      <c r="C519" t="inlineStr">
        <is>
          <t>Não</t>
        </is>
      </c>
      <c r="D519" t="inlineStr">
        <is>
          <t>PA</t>
        </is>
      </c>
      <c r="E519" t="inlineStr">
        <is>
          <t>NORTE</t>
        </is>
      </c>
      <c r="F519" t="inlineStr">
        <is>
          <t>Cliente B - Chopeira</t>
        </is>
      </c>
      <c r="G519" t="inlineStr">
        <is>
          <t>Chopeiras</t>
        </is>
      </c>
      <c r="H519" s="10" t="n">
        <v>115</v>
      </c>
      <c r="I519" s="10">
        <f>IFERROR(T519*H519,0)</f>
        <v/>
      </c>
      <c r="J519" s="11" t="n">
        <v>45995</v>
      </c>
      <c r="K519" s="11" t="n"/>
      <c r="L519" t="inlineStr">
        <is>
          <t>NF Vencida</t>
        </is>
      </c>
      <c r="M519">
        <f>IF(L519="","",IFERROR(VLOOKUP(L519,mapGrupoStatus,2,0),"Outros"))</f>
        <v/>
      </c>
      <c r="N519">
        <f>IF(O519="","",IF(O519&lt;=30,"0-30 dias",IF(O519&lt;=60,"31-60 dias",IF(O519&lt;=90,"61-90 dias","Mais de 90 dias"))))</f>
        <v/>
      </c>
      <c r="O519">
        <f>IF(OR(M519="Pendente",M519="Em andamento"),IF(J519="","",TODAY()-J519),"")</f>
        <v/>
      </c>
      <c r="P519" t="n">
        <v>11986</v>
      </c>
      <c r="Q519" t="inlineStr">
        <is>
          <t>Polar Serviços (11986)</t>
        </is>
      </c>
      <c r="R519" t="inlineStr">
        <is>
          <t>PC-0033</t>
        </is>
      </c>
      <c r="S519" t="inlineStr">
        <is>
          <t>Regulador de pressão modelo 02</t>
        </is>
      </c>
      <c r="T519" t="n">
        <v>1</v>
      </c>
      <c r="U519" t="inlineStr"/>
      <c r="V519">
        <f>IF(J519="","",MONTH(J519))</f>
        <v/>
      </c>
      <c r="W519">
        <f>IF(J519="","",YEAR(J519))</f>
        <v/>
      </c>
      <c r="X519" t="inlineStr"/>
      <c r="Y519">
        <f>IFERROR(INDEX(Rastreio!$H$2:$H$200,MATCH(X519&amp;"|"&amp;U519,Rastreio!$A$2:$A$200,0)),"")</f>
        <v/>
      </c>
    </row>
    <row r="520">
      <c r="A520">
        <f>IFERROR(INDEX(STAs!$G$2:$G$61,MATCH(P520,STAs!$F$2:$F$61,0))&amp;"","")</f>
        <v/>
      </c>
      <c r="B520" t="n">
        <v>20013522</v>
      </c>
      <c r="C520" t="inlineStr">
        <is>
          <t>Não</t>
        </is>
      </c>
      <c r="D520" t="inlineStr">
        <is>
          <t>MG</t>
        </is>
      </c>
      <c r="E520" t="inlineStr">
        <is>
          <t>SUDESTE MG</t>
        </is>
      </c>
      <c r="F520" t="inlineStr">
        <is>
          <t>Cliente A - Refrigerador</t>
        </is>
      </c>
      <c r="G520" t="inlineStr">
        <is>
          <t>Refrigeradores</t>
        </is>
      </c>
      <c r="H520" s="10" t="n">
        <v>190</v>
      </c>
      <c r="I520" s="10">
        <f>IFERROR(T520*H520,0)</f>
        <v/>
      </c>
      <c r="J520" s="11" t="n">
        <v>45995</v>
      </c>
      <c r="K520" s="11" t="n">
        <v>46041</v>
      </c>
      <c r="L520" t="inlineStr">
        <is>
          <t>Ok. Devolvida</t>
        </is>
      </c>
      <c r="M520">
        <f>IF(L520="","",IFERROR(VLOOKUP(L520,mapGrupoStatus,2,0),"Outros"))</f>
        <v/>
      </c>
      <c r="N520">
        <f>IF(O520="","",IF(O520&lt;=30,"0-30 dias",IF(O520&lt;=60,"31-60 dias",IF(O520&lt;=90,"61-90 dias","Mais de 90 dias"))))</f>
        <v/>
      </c>
      <c r="O520">
        <f>IF(OR(M520="Pendente",M520="Em andamento"),IF(J520="","",TODAY()-J520),"")</f>
        <v/>
      </c>
      <c r="P520" t="n">
        <v>12470</v>
      </c>
      <c r="Q520" t="inlineStr">
        <is>
          <t>Cool Service Técnica (12470)</t>
        </is>
      </c>
      <c r="R520" t="inlineStr">
        <is>
          <t>PC-0014</t>
        </is>
      </c>
      <c r="S520" t="inlineStr">
        <is>
          <t>Placa eletrônica modelo 04</t>
        </is>
      </c>
      <c r="T520" t="n">
        <v>1</v>
      </c>
      <c r="U520" t="n">
        <v>127</v>
      </c>
      <c r="V520">
        <f>IF(J520="","",MONTH(J520))</f>
        <v/>
      </c>
      <c r="W520">
        <f>IF(J520="","",YEAR(J520))</f>
        <v/>
      </c>
      <c r="X520" t="inlineStr">
        <is>
          <t>ViaCargo</t>
        </is>
      </c>
      <c r="Y520">
        <f>IFERROR(INDEX(Rastreio!$H$2:$H$200,MATCH(X520&amp;"|"&amp;U520,Rastreio!$A$2:$A$200,0)),"")</f>
        <v/>
      </c>
    </row>
    <row r="521">
      <c r="A521">
        <f>IFERROR(INDEX(STAs!$G$2:$G$61,MATCH(P521,STAs!$F$2:$F$61,0))&amp;"","")</f>
        <v/>
      </c>
      <c r="B521" t="n">
        <v>20015052</v>
      </c>
      <c r="C521" t="inlineStr">
        <is>
          <t>Não</t>
        </is>
      </c>
      <c r="D521" t="inlineStr">
        <is>
          <t>AM</t>
        </is>
      </c>
      <c r="E521" t="inlineStr">
        <is>
          <t>NORTE</t>
        </is>
      </c>
      <c r="F521" t="inlineStr">
        <is>
          <t>Cliente B - Chopeira</t>
        </is>
      </c>
      <c r="G521" t="inlineStr">
        <is>
          <t>Misturadores</t>
        </is>
      </c>
      <c r="H521" s="10" t="n">
        <v>40</v>
      </c>
      <c r="I521" s="10">
        <f>IFERROR(T521*H521,0)</f>
        <v/>
      </c>
      <c r="J521" s="11" t="n">
        <v>45995</v>
      </c>
      <c r="K521" s="11" t="n"/>
      <c r="L521" t="inlineStr">
        <is>
          <t>NF Vencida</t>
        </is>
      </c>
      <c r="M521">
        <f>IF(L521="","",IFERROR(VLOOKUP(L521,mapGrupoStatus,2,0),"Outros"))</f>
        <v/>
      </c>
      <c r="N521">
        <f>IF(O521="","",IF(O521&lt;=30,"0-30 dias",IF(O521&lt;=60,"31-60 dias",IF(O521&lt;=90,"61-90 dias","Mais de 90 dias"))))</f>
        <v/>
      </c>
      <c r="O521">
        <f>IF(OR(M521="Pendente",M521="Em andamento"),IF(J521="","",TODAY()-J521),"")</f>
        <v/>
      </c>
      <c r="P521" t="n">
        <v>12269</v>
      </c>
      <c r="Q521" t="inlineStr">
        <is>
          <t>Polar Técnica (12269)</t>
        </is>
      </c>
      <c r="R521" t="inlineStr">
        <is>
          <t>PC-0042</t>
        </is>
      </c>
      <c r="S521" t="inlineStr">
        <is>
          <t>Bico dosador modelo 01</t>
        </is>
      </c>
      <c r="T521" t="n">
        <v>1</v>
      </c>
      <c r="U521" t="inlineStr"/>
      <c r="V521">
        <f>IF(J521="","",MONTH(J521))</f>
        <v/>
      </c>
      <c r="W521">
        <f>IF(J521="","",YEAR(J521))</f>
        <v/>
      </c>
      <c r="X521" t="inlineStr"/>
      <c r="Y521">
        <f>IFERROR(INDEX(Rastreio!$H$2:$H$200,MATCH(X521&amp;"|"&amp;U521,Rastreio!$A$2:$A$200,0)),"")</f>
        <v/>
      </c>
    </row>
    <row r="522">
      <c r="A522">
        <f>IFERROR(INDEX(STAs!$G$2:$G$61,MATCH(P522,STAs!$F$2:$F$61,0))&amp;"","")</f>
        <v/>
      </c>
      <c r="B522" t="n">
        <v>20016937</v>
      </c>
      <c r="C522" t="inlineStr">
        <is>
          <t>Não</t>
        </is>
      </c>
      <c r="D522" t="inlineStr">
        <is>
          <t>MG</t>
        </is>
      </c>
      <c r="E522" t="inlineStr">
        <is>
          <t>SUDESTE MG</t>
        </is>
      </c>
      <c r="F522" t="inlineStr">
        <is>
          <t>Cliente B - Chopeira</t>
        </is>
      </c>
      <c r="G522" t="inlineStr">
        <is>
          <t>Refrigeradores</t>
        </is>
      </c>
      <c r="H522" s="10" t="n">
        <v>35</v>
      </c>
      <c r="I522" s="10">
        <f>IFERROR(T522*H522,0)</f>
        <v/>
      </c>
      <c r="J522" s="11" t="n">
        <v>45995</v>
      </c>
      <c r="K522" s="11" t="n">
        <v>46006</v>
      </c>
      <c r="L522" t="inlineStr">
        <is>
          <t>Ok. Devolvida</t>
        </is>
      </c>
      <c r="M522">
        <f>IF(L522="","",IFERROR(VLOOKUP(L522,mapGrupoStatus,2,0),"Outros"))</f>
        <v/>
      </c>
      <c r="N522">
        <f>IF(O522="","",IF(O522&lt;=30,"0-30 dias",IF(O522&lt;=60,"31-60 dias",IF(O522&lt;=90,"61-90 dias","Mais de 90 dias"))))</f>
        <v/>
      </c>
      <c r="O522">
        <f>IF(OR(M522="Pendente",M522="Em andamento"),IF(J522="","",TODAY()-J522),"")</f>
        <v/>
      </c>
      <c r="P522" t="n">
        <v>11494</v>
      </c>
      <c r="Q522" t="inlineStr">
        <is>
          <t>Clima Técnica (11494)</t>
        </is>
      </c>
      <c r="R522" t="inlineStr">
        <is>
          <t>PC-0024</t>
        </is>
      </c>
      <c r="S522" t="inlineStr">
        <is>
          <t>Relé de partida modelo 02</t>
        </is>
      </c>
      <c r="T522" t="n">
        <v>1</v>
      </c>
      <c r="U522" t="n">
        <v>127</v>
      </c>
      <c r="V522">
        <f>IF(J522="","",MONTH(J522))</f>
        <v/>
      </c>
      <c r="W522">
        <f>IF(J522="","",YEAR(J522))</f>
        <v/>
      </c>
      <c r="X522" t="inlineStr">
        <is>
          <t>TransNorte</t>
        </is>
      </c>
      <c r="Y522">
        <f>IFERROR(INDEX(Rastreio!$H$2:$H$200,MATCH(X522&amp;"|"&amp;U522,Rastreio!$A$2:$A$200,0)),"")</f>
        <v/>
      </c>
    </row>
    <row r="523">
      <c r="A523">
        <f>IFERROR(INDEX(STAs!$G$2:$G$61,MATCH(P523,STAs!$F$2:$F$61,0))&amp;"","")</f>
        <v/>
      </c>
      <c r="B523" t="n">
        <v>20028142</v>
      </c>
      <c r="C523" t="inlineStr">
        <is>
          <t>Não</t>
        </is>
      </c>
      <c r="D523" t="inlineStr">
        <is>
          <t>MG</t>
        </is>
      </c>
      <c r="E523" t="inlineStr">
        <is>
          <t>SUDESTE MG</t>
        </is>
      </c>
      <c r="F523" t="inlineStr">
        <is>
          <t>Cliente B - Chopeira</t>
        </is>
      </c>
      <c r="G523" t="inlineStr">
        <is>
          <t>Refrigeradores</t>
        </is>
      </c>
      <c r="H523" s="10" t="n">
        <v>40</v>
      </c>
      <c r="I523" s="10">
        <f>IFERROR(T523*H523,0)</f>
        <v/>
      </c>
      <c r="J523" s="11" t="n">
        <v>45995</v>
      </c>
      <c r="K523" s="11" t="n"/>
      <c r="L523" t="inlineStr">
        <is>
          <t>Em andamento</t>
        </is>
      </c>
      <c r="M523">
        <f>IF(L523="","",IFERROR(VLOOKUP(L523,mapGrupoStatus,2,0),"Outros"))</f>
        <v/>
      </c>
      <c r="N523">
        <f>IF(O523="","",IF(O523&lt;=30,"0-30 dias",IF(O523&lt;=60,"31-60 dias",IF(O523&lt;=90,"61-90 dias","Mais de 90 dias"))))</f>
        <v/>
      </c>
      <c r="O523">
        <f>IF(OR(M523="Pendente",M523="Em andamento"),IF(J523="","",TODAY()-J523),"")</f>
        <v/>
      </c>
      <c r="P523" t="n">
        <v>12689</v>
      </c>
      <c r="Q523" t="inlineStr">
        <is>
          <t>Norte Frio Manutenção (12689)</t>
        </is>
      </c>
      <c r="R523" t="inlineStr">
        <is>
          <t>PC-0005</t>
        </is>
      </c>
      <c r="S523" t="inlineStr">
        <is>
          <t>Termostato modelo 02</t>
        </is>
      </c>
      <c r="T523" t="n">
        <v>1</v>
      </c>
      <c r="U523" t="n">
        <v>138</v>
      </c>
      <c r="V523">
        <f>IF(J523="","",MONTH(J523))</f>
        <v/>
      </c>
      <c r="W523">
        <f>IF(J523="","",YEAR(J523))</f>
        <v/>
      </c>
      <c r="X523" t="inlineStr">
        <is>
          <t>EntregaJá</t>
        </is>
      </c>
      <c r="Y523">
        <f>IFERROR(INDEX(Rastreio!$H$2:$H$200,MATCH(X523&amp;"|"&amp;U523,Rastreio!$A$2:$A$200,0)),"")</f>
        <v/>
      </c>
    </row>
    <row r="524">
      <c r="A524">
        <f>IFERROR(INDEX(STAs!$G$2:$G$61,MATCH(P524,STAs!$F$2:$F$61,0))&amp;"","")</f>
        <v/>
      </c>
      <c r="B524" t="n">
        <v>20002970</v>
      </c>
      <c r="C524" t="inlineStr">
        <is>
          <t>Não</t>
        </is>
      </c>
      <c r="D524" t="inlineStr">
        <is>
          <t>RJ</t>
        </is>
      </c>
      <c r="E524" t="inlineStr">
        <is>
          <t>SUDESTE RJ e ES</t>
        </is>
      </c>
      <c r="F524" t="inlineStr">
        <is>
          <t>Cliente C - Misturador</t>
        </is>
      </c>
      <c r="G524" t="inlineStr">
        <is>
          <t>Refrigeradores</t>
        </is>
      </c>
      <c r="H524" s="10" t="n">
        <v>30</v>
      </c>
      <c r="I524" s="10">
        <f>IFERROR(T524*H524,0)</f>
        <v/>
      </c>
      <c r="J524" s="11" t="n">
        <v>45996</v>
      </c>
      <c r="K524" s="11" t="n">
        <v>46032</v>
      </c>
      <c r="L524" t="inlineStr">
        <is>
          <t>Ok. Devolvida</t>
        </is>
      </c>
      <c r="M524">
        <f>IF(L524="","",IFERROR(VLOOKUP(L524,mapGrupoStatus,2,0),"Outros"))</f>
        <v/>
      </c>
      <c r="N524">
        <f>IF(O524="","",IF(O524&lt;=30,"0-30 dias",IF(O524&lt;=60,"31-60 dias",IF(O524&lt;=90,"61-90 dias","Mais de 90 dias"))))</f>
        <v/>
      </c>
      <c r="O524">
        <f>IF(OR(M524="Pendente",M524="Em andamento"),IF(J524="","",TODAY()-J524),"")</f>
        <v/>
      </c>
      <c r="P524" t="n">
        <v>12811</v>
      </c>
      <c r="Q524" t="inlineStr">
        <is>
          <t>Norte Frio Técnica (12811)</t>
        </is>
      </c>
      <c r="R524" t="inlineStr">
        <is>
          <t>PC-0025</t>
        </is>
      </c>
      <c r="S524" t="inlineStr">
        <is>
          <t>Relé de partida modelo 03</t>
        </is>
      </c>
      <c r="T524" t="n">
        <v>1</v>
      </c>
      <c r="U524" t="n">
        <v>109</v>
      </c>
      <c r="V524">
        <f>IF(J524="","",MONTH(J524))</f>
        <v/>
      </c>
      <c r="W524">
        <f>IF(J524="","",YEAR(J524))</f>
        <v/>
      </c>
      <c r="X524" t="inlineStr">
        <is>
          <t>ViaCargo</t>
        </is>
      </c>
      <c r="Y524">
        <f>IFERROR(INDEX(Rastreio!$H$2:$H$200,MATCH(X524&amp;"|"&amp;U524,Rastreio!$A$2:$A$200,0)),"")</f>
        <v/>
      </c>
    </row>
    <row r="525">
      <c r="A525">
        <f>IFERROR(INDEX(STAs!$G$2:$G$61,MATCH(P525,STAs!$F$2:$F$61,0))&amp;"","")</f>
        <v/>
      </c>
      <c r="B525" t="n">
        <v>20003139</v>
      </c>
      <c r="C525" t="inlineStr">
        <is>
          <t>Sim</t>
        </is>
      </c>
      <c r="D525" t="inlineStr">
        <is>
          <t>PR</t>
        </is>
      </c>
      <c r="E525" t="inlineStr">
        <is>
          <t>SUL</t>
        </is>
      </c>
      <c r="F525" t="inlineStr">
        <is>
          <t>Cliente B - Chopeira</t>
        </is>
      </c>
      <c r="G525" t="inlineStr">
        <is>
          <t>Refrigeradores</t>
        </is>
      </c>
      <c r="H525" s="10" t="n">
        <v>55</v>
      </c>
      <c r="I525" s="10">
        <f>IFERROR(T525*H525,0)</f>
        <v/>
      </c>
      <c r="J525" s="11" t="n">
        <v>45996</v>
      </c>
      <c r="K525" s="11" t="n">
        <v>46025</v>
      </c>
      <c r="L525" t="inlineStr">
        <is>
          <t>Ok. Devolvida</t>
        </is>
      </c>
      <c r="M525">
        <f>IF(L525="","",IFERROR(VLOOKUP(L525,mapGrupoStatus,2,0),"Outros"))</f>
        <v/>
      </c>
      <c r="N525">
        <f>IF(O525="","",IF(O525&lt;=30,"0-30 dias",IF(O525&lt;=60,"31-60 dias",IF(O525&lt;=90,"61-90 dias","Mais de 90 dias"))))</f>
        <v/>
      </c>
      <c r="O525">
        <f>IF(OR(M525="Pendente",M525="Em andamento"),IF(J525="","",TODAY()-J525),"")</f>
        <v/>
      </c>
      <c r="P525" t="n">
        <v>10753</v>
      </c>
      <c r="Q525" t="inlineStr">
        <is>
          <t>Refrigel &amp; Cia (10753)</t>
        </is>
      </c>
      <c r="R525" t="inlineStr">
        <is>
          <t>PC-0008</t>
        </is>
      </c>
      <c r="S525" t="inlineStr">
        <is>
          <t>Ventilador modelo 02</t>
        </is>
      </c>
      <c r="T525" t="n">
        <v>1</v>
      </c>
      <c r="U525" t="n">
        <v>104</v>
      </c>
      <c r="V525">
        <f>IF(J525="","",MONTH(J525))</f>
        <v/>
      </c>
      <c r="W525">
        <f>IF(J525="","",YEAR(J525))</f>
        <v/>
      </c>
      <c r="X525" t="inlineStr">
        <is>
          <t>CargoMax</t>
        </is>
      </c>
      <c r="Y525">
        <f>IFERROR(INDEX(Rastreio!$H$2:$H$200,MATCH(X525&amp;"|"&amp;U525,Rastreio!$A$2:$A$200,0)),"")</f>
        <v/>
      </c>
    </row>
    <row r="526">
      <c r="A526">
        <f>IFERROR(INDEX(STAs!$G$2:$G$61,MATCH(P526,STAs!$F$2:$F$61,0))&amp;"","")</f>
        <v/>
      </c>
      <c r="B526" t="n">
        <v>20005860</v>
      </c>
      <c r="C526" t="inlineStr">
        <is>
          <t>Não</t>
        </is>
      </c>
      <c r="D526" t="inlineStr">
        <is>
          <t>PE</t>
        </is>
      </c>
      <c r="E526" t="inlineStr">
        <is>
          <t>NORDESTE</t>
        </is>
      </c>
      <c r="F526" t="inlineStr">
        <is>
          <t>Cliente C - Misturador</t>
        </is>
      </c>
      <c r="G526" t="inlineStr">
        <is>
          <t>Misturadores</t>
        </is>
      </c>
      <c r="H526" s="10" t="n">
        <v>185</v>
      </c>
      <c r="I526" s="10">
        <f>IFERROR(T526*H526,0)</f>
        <v/>
      </c>
      <c r="J526" s="11" t="n">
        <v>45996</v>
      </c>
      <c r="K526" s="11" t="n"/>
      <c r="L526" t="inlineStr">
        <is>
          <t>Em andamento</t>
        </is>
      </c>
      <c r="M526">
        <f>IF(L526="","",IFERROR(VLOOKUP(L526,mapGrupoStatus,2,0),"Outros"))</f>
        <v/>
      </c>
      <c r="N526">
        <f>IF(O526="","",IF(O526&lt;=30,"0-30 dias",IF(O526&lt;=60,"31-60 dias",IF(O526&lt;=90,"61-90 dias","Mais de 90 dias"))))</f>
        <v/>
      </c>
      <c r="O526">
        <f>IF(OR(M526="Pendente",M526="Em andamento"),IF(J526="","",TODAY()-J526),"")</f>
        <v/>
      </c>
      <c r="P526" t="n">
        <v>11352</v>
      </c>
      <c r="Q526" t="inlineStr">
        <is>
          <t>Frio Express (11352)</t>
        </is>
      </c>
      <c r="R526" t="inlineStr">
        <is>
          <t>PC-0041</t>
        </is>
      </c>
      <c r="S526" t="inlineStr">
        <is>
          <t>Motor agitador modelo 02</t>
        </is>
      </c>
      <c r="T526" t="n">
        <v>1</v>
      </c>
      <c r="U526" t="n">
        <v>111</v>
      </c>
      <c r="V526">
        <f>IF(J526="","",MONTH(J526))</f>
        <v/>
      </c>
      <c r="W526">
        <f>IF(J526="","",YEAR(J526))</f>
        <v/>
      </c>
      <c r="X526" t="inlineStr">
        <is>
          <t>RotaSul</t>
        </is>
      </c>
      <c r="Y526">
        <f>IFERROR(INDEX(Rastreio!$H$2:$H$200,MATCH(X526&amp;"|"&amp;U526,Rastreio!$A$2:$A$200,0)),"")</f>
        <v/>
      </c>
    </row>
    <row r="527">
      <c r="A527">
        <f>IFERROR(INDEX(STAs!$G$2:$G$61,MATCH(P527,STAs!$F$2:$F$61,0))&amp;"","")</f>
        <v/>
      </c>
      <c r="B527" t="n">
        <v>20005991</v>
      </c>
      <c r="C527" t="inlineStr">
        <is>
          <t>Não</t>
        </is>
      </c>
      <c r="D527" t="inlineStr">
        <is>
          <t>BA</t>
        </is>
      </c>
      <c r="E527" t="inlineStr">
        <is>
          <t>NORDESTE</t>
        </is>
      </c>
      <c r="F527" t="inlineStr">
        <is>
          <t>Cliente B - Chopeira</t>
        </is>
      </c>
      <c r="G527" t="inlineStr">
        <is>
          <t>Refrigeradores</t>
        </is>
      </c>
      <c r="H527" s="10" t="n">
        <v>45</v>
      </c>
      <c r="I527" s="10">
        <f>IFERROR(T527*H527,0)</f>
        <v/>
      </c>
      <c r="J527" s="11" t="n">
        <v>45996</v>
      </c>
      <c r="K527" s="11" t="n">
        <v>46029</v>
      </c>
      <c r="L527" t="inlineStr">
        <is>
          <t>Ok. Devolvida</t>
        </is>
      </c>
      <c r="M527">
        <f>IF(L527="","",IFERROR(VLOOKUP(L527,mapGrupoStatus,2,0),"Outros"))</f>
        <v/>
      </c>
      <c r="N527">
        <f>IF(O527="","",IF(O527&lt;=30,"0-30 dias",IF(O527&lt;=60,"31-60 dias",IF(O527&lt;=90,"61-90 dias","Mais de 90 dias"))))</f>
        <v/>
      </c>
      <c r="O527">
        <f>IF(OR(M527="Pendente",M527="Em andamento"),IF(J527="","",TODAY()-J527),"")</f>
        <v/>
      </c>
      <c r="P527" t="n">
        <v>11538</v>
      </c>
      <c r="Q527" t="inlineStr">
        <is>
          <t>Clima Manutenção (11538)</t>
        </is>
      </c>
      <c r="R527" t="inlineStr">
        <is>
          <t>PC-0019</t>
        </is>
      </c>
      <c r="S527" t="inlineStr">
        <is>
          <t>Gaxeta da porta modelo 02</t>
        </is>
      </c>
      <c r="T527" t="n">
        <v>3</v>
      </c>
      <c r="U527" t="n">
        <v>109</v>
      </c>
      <c r="V527">
        <f>IF(J527="","",MONTH(J527))</f>
        <v/>
      </c>
      <c r="W527">
        <f>IF(J527="","",YEAR(J527))</f>
        <v/>
      </c>
      <c r="X527" t="inlineStr">
        <is>
          <t>CargoMax</t>
        </is>
      </c>
      <c r="Y527">
        <f>IFERROR(INDEX(Rastreio!$H$2:$H$200,MATCH(X527&amp;"|"&amp;U527,Rastreio!$A$2:$A$200,0)),"")</f>
        <v/>
      </c>
    </row>
    <row r="528">
      <c r="A528">
        <f>IFERROR(INDEX(STAs!$G$2:$G$61,MATCH(P528,STAs!$F$2:$F$61,0))&amp;"","")</f>
        <v/>
      </c>
      <c r="B528" t="n">
        <v>20017611</v>
      </c>
      <c r="C528" t="inlineStr">
        <is>
          <t>Não</t>
        </is>
      </c>
      <c r="D528" t="inlineStr">
        <is>
          <t>DF</t>
        </is>
      </c>
      <c r="E528" t="inlineStr">
        <is>
          <t>CENTRO OESTE</t>
        </is>
      </c>
      <c r="F528" t="inlineStr">
        <is>
          <t>Cliente C - Misturador</t>
        </is>
      </c>
      <c r="G528" t="inlineStr">
        <is>
          <t>Misturadores</t>
        </is>
      </c>
      <c r="H528" s="10" t="n">
        <v>185</v>
      </c>
      <c r="I528" s="10">
        <f>IFERROR(T528*H528,0)</f>
        <v/>
      </c>
      <c r="J528" s="11" t="n">
        <v>45996</v>
      </c>
      <c r="K528" s="11" t="n"/>
      <c r="L528" t="inlineStr">
        <is>
          <t>Em transporte</t>
        </is>
      </c>
      <c r="M528">
        <f>IF(L528="","",IFERROR(VLOOKUP(L528,mapGrupoStatus,2,0),"Outros"))</f>
        <v/>
      </c>
      <c r="N528">
        <f>IF(O528="","",IF(O528&lt;=30,"0-30 dias",IF(O528&lt;=60,"31-60 dias",IF(O528&lt;=90,"61-90 dias","Mais de 90 dias"))))</f>
        <v/>
      </c>
      <c r="O528">
        <f>IF(OR(M528="Pendente",M528="Em andamento"),IF(J528="","",TODAY()-J528),"")</f>
        <v/>
      </c>
      <c r="P528" t="n">
        <v>10021</v>
      </c>
      <c r="Q528" t="inlineStr">
        <is>
          <t>Termotec Técnica (10021)</t>
        </is>
      </c>
      <c r="R528" t="inlineStr">
        <is>
          <t>PC-0041</t>
        </is>
      </c>
      <c r="S528" t="inlineStr">
        <is>
          <t>Motor agitador modelo 02</t>
        </is>
      </c>
      <c r="T528" t="n">
        <v>2</v>
      </c>
      <c r="U528" t="n">
        <v>128</v>
      </c>
      <c r="V528">
        <f>IF(J528="","",MONTH(J528))</f>
        <v/>
      </c>
      <c r="W528">
        <f>IF(J528="","",YEAR(J528))</f>
        <v/>
      </c>
      <c r="X528" t="inlineStr">
        <is>
          <t>TransNorte</t>
        </is>
      </c>
      <c r="Y528">
        <f>IFERROR(INDEX(Rastreio!$H$2:$H$200,MATCH(X528&amp;"|"&amp;U528,Rastreio!$A$2:$A$200,0)),"")</f>
        <v/>
      </c>
    </row>
    <row r="529">
      <c r="A529">
        <f>IFERROR(INDEX(STAs!$G$2:$G$61,MATCH(P529,STAs!$F$2:$F$61,0))&amp;"","")</f>
        <v/>
      </c>
      <c r="B529" t="n">
        <v>20018944</v>
      </c>
      <c r="C529" t="inlineStr">
        <is>
          <t>Não</t>
        </is>
      </c>
      <c r="D529" t="inlineStr">
        <is>
          <t>RR</t>
        </is>
      </c>
      <c r="E529" t="inlineStr">
        <is>
          <t>NORTE</t>
        </is>
      </c>
      <c r="F529" t="inlineStr">
        <is>
          <t>Cliente C - Misturador</t>
        </is>
      </c>
      <c r="G529" t="inlineStr">
        <is>
          <t>Refrigeradores</t>
        </is>
      </c>
      <c r="H529" s="10" t="n">
        <v>30</v>
      </c>
      <c r="I529" s="10">
        <f>IFERROR(T529*H529,0)</f>
        <v/>
      </c>
      <c r="J529" s="11" t="n">
        <v>45996</v>
      </c>
      <c r="K529" s="11" t="n"/>
      <c r="L529" t="inlineStr">
        <is>
          <t>Não Devolve-Norte</t>
        </is>
      </c>
      <c r="M529">
        <f>IF(L529="","",IFERROR(VLOOKUP(L529,mapGrupoStatus,2,0),"Outros"))</f>
        <v/>
      </c>
      <c r="N529">
        <f>IF(O529="","",IF(O529&lt;=30,"0-30 dias",IF(O529&lt;=60,"31-60 dias",IF(O529&lt;=90,"61-90 dias","Mais de 90 dias"))))</f>
        <v/>
      </c>
      <c r="O529">
        <f>IF(OR(M529="Pendente",M529="Em andamento"),IF(J529="","",TODAY()-J529),"")</f>
        <v/>
      </c>
      <c r="P529" t="n">
        <v>12422</v>
      </c>
      <c r="Q529" t="inlineStr">
        <is>
          <t>Assistência Técnica Refrigeração (12422)</t>
        </is>
      </c>
      <c r="R529" t="inlineStr">
        <is>
          <t>PC-0017</t>
        </is>
      </c>
      <c r="S529" t="inlineStr">
        <is>
          <t>Filtro secador modelo 03</t>
        </is>
      </c>
      <c r="T529" t="n">
        <v>1</v>
      </c>
      <c r="U529" t="inlineStr"/>
      <c r="V529">
        <f>IF(J529="","",MONTH(J529))</f>
        <v/>
      </c>
      <c r="W529">
        <f>IF(J529="","",YEAR(J529))</f>
        <v/>
      </c>
      <c r="X529" t="inlineStr"/>
      <c r="Y529">
        <f>IFERROR(INDEX(Rastreio!$H$2:$H$200,MATCH(X529&amp;"|"&amp;U529,Rastreio!$A$2:$A$200,0)),"")</f>
        <v/>
      </c>
    </row>
    <row r="530">
      <c r="A530">
        <f>IFERROR(INDEX(STAs!$G$2:$G$61,MATCH(P530,STAs!$F$2:$F$61,0))&amp;"","")</f>
        <v/>
      </c>
      <c r="B530" t="n">
        <v>20026161</v>
      </c>
      <c r="C530" t="inlineStr">
        <is>
          <t>Não</t>
        </is>
      </c>
      <c r="D530" t="inlineStr">
        <is>
          <t>SP</t>
        </is>
      </c>
      <c r="E530" t="inlineStr">
        <is>
          <t>SUDESTE SP</t>
        </is>
      </c>
      <c r="F530" t="inlineStr">
        <is>
          <t>Cliente A - Refrigerador</t>
        </is>
      </c>
      <c r="G530" t="inlineStr">
        <is>
          <t>Chopeiras</t>
        </is>
      </c>
      <c r="H530" s="10" t="n">
        <v>215</v>
      </c>
      <c r="I530" s="10">
        <f>IFERROR(T530*H530,0)</f>
        <v/>
      </c>
      <c r="J530" s="11" t="n">
        <v>45996</v>
      </c>
      <c r="K530" s="11" t="n">
        <v>46015</v>
      </c>
      <c r="L530" t="inlineStr">
        <is>
          <t>Ok. Devolvida</t>
        </is>
      </c>
      <c r="M530">
        <f>IF(L530="","",IFERROR(VLOOKUP(L530,mapGrupoStatus,2,0),"Outros"))</f>
        <v/>
      </c>
      <c r="N530">
        <f>IF(O530="","",IF(O530&lt;=30,"0-30 dias",IF(O530&lt;=60,"31-60 dias",IF(O530&lt;=90,"61-90 dias","Mais de 90 dias"))))</f>
        <v/>
      </c>
      <c r="O530">
        <f>IF(OR(M530="Pendente",M530="Em andamento"),IF(J530="","",TODAY()-J530),"")</f>
        <v/>
      </c>
      <c r="P530" t="n">
        <v>10413</v>
      </c>
      <c r="Q530" t="inlineStr">
        <is>
          <t>Polar Manutenção (10413)</t>
        </is>
      </c>
      <c r="R530" t="inlineStr">
        <is>
          <t>PC-0030</t>
        </is>
      </c>
      <c r="S530" t="inlineStr">
        <is>
          <t>Serpentina modelo 02</t>
        </is>
      </c>
      <c r="T530" t="n">
        <v>1</v>
      </c>
      <c r="U530" t="n">
        <v>143</v>
      </c>
      <c r="V530">
        <f>IF(J530="","",MONTH(J530))</f>
        <v/>
      </c>
      <c r="W530">
        <f>IF(J530="","",YEAR(J530))</f>
        <v/>
      </c>
      <c r="X530" t="inlineStr">
        <is>
          <t>ViaCargo</t>
        </is>
      </c>
      <c r="Y530">
        <f>IFERROR(INDEX(Rastreio!$H$2:$H$200,MATCH(X530&amp;"|"&amp;U530,Rastreio!$A$2:$A$200,0)),"")</f>
        <v/>
      </c>
    </row>
    <row r="531">
      <c r="A531">
        <f>IFERROR(INDEX(STAs!$G$2:$G$61,MATCH(P531,STAs!$F$2:$F$61,0))&amp;"","")</f>
        <v/>
      </c>
      <c r="B531" t="n">
        <v>20026897</v>
      </c>
      <c r="C531" t="inlineStr">
        <is>
          <t>Sim</t>
        </is>
      </c>
      <c r="D531" t="inlineStr">
        <is>
          <t>PR</t>
        </is>
      </c>
      <c r="E531" t="inlineStr">
        <is>
          <t>SUL</t>
        </is>
      </c>
      <c r="F531" t="inlineStr">
        <is>
          <t>Cliente B - Chopeira</t>
        </is>
      </c>
      <c r="G531" t="inlineStr">
        <is>
          <t>Refrigeradores</t>
        </is>
      </c>
      <c r="H531" s="10" t="n">
        <v>315</v>
      </c>
      <c r="I531" s="10">
        <f>IFERROR(T531*H531,0)</f>
        <v/>
      </c>
      <c r="J531" s="11" t="n">
        <v>45996</v>
      </c>
      <c r="K531" s="11" t="n">
        <v>46031</v>
      </c>
      <c r="L531" t="inlineStr">
        <is>
          <t>Ok. Devolvida</t>
        </is>
      </c>
      <c r="M531">
        <f>IF(L531="","",IFERROR(VLOOKUP(L531,mapGrupoStatus,2,0),"Outros"))</f>
        <v/>
      </c>
      <c r="N531">
        <f>IF(O531="","",IF(O531&lt;=30,"0-30 dias",IF(O531&lt;=60,"31-60 dias",IF(O531&lt;=90,"61-90 dias","Mais de 90 dias"))))</f>
        <v/>
      </c>
      <c r="O531">
        <f>IF(OR(M531="Pendente",M531="Em andamento"),IF(J531="","",TODAY()-J531),"")</f>
        <v/>
      </c>
      <c r="P531" t="n">
        <v>10753</v>
      </c>
      <c r="Q531" t="inlineStr">
        <is>
          <t>Refrigel &amp; Cia (10753)</t>
        </is>
      </c>
      <c r="R531" t="inlineStr">
        <is>
          <t>PC-0002</t>
        </is>
      </c>
      <c r="S531" t="inlineStr">
        <is>
          <t>Compressor modelo 02</t>
        </is>
      </c>
      <c r="T531" t="n">
        <v>1</v>
      </c>
      <c r="U531" t="n">
        <v>138</v>
      </c>
      <c r="V531">
        <f>IF(J531="","",MONTH(J531))</f>
        <v/>
      </c>
      <c r="W531">
        <f>IF(J531="","",YEAR(J531))</f>
        <v/>
      </c>
      <c r="X531" t="inlineStr">
        <is>
          <t>EntregaJá</t>
        </is>
      </c>
      <c r="Y531">
        <f>IFERROR(INDEX(Rastreio!$H$2:$H$200,MATCH(X531&amp;"|"&amp;U531,Rastreio!$A$2:$A$200,0)),"")</f>
        <v/>
      </c>
    </row>
    <row r="532">
      <c r="A532">
        <f>IFERROR(INDEX(STAs!$G$2:$G$61,MATCH(P532,STAs!$F$2:$F$61,0))&amp;"","")</f>
        <v/>
      </c>
      <c r="B532" t="n">
        <v>20035172</v>
      </c>
      <c r="C532" t="inlineStr">
        <is>
          <t>Sim</t>
        </is>
      </c>
      <c r="D532" t="inlineStr">
        <is>
          <t>CE</t>
        </is>
      </c>
      <c r="E532" t="inlineStr">
        <is>
          <t>NORDESTE</t>
        </is>
      </c>
      <c r="F532" t="inlineStr">
        <is>
          <t>Cliente C - Misturador</t>
        </is>
      </c>
      <c r="G532" t="inlineStr">
        <is>
          <t>Refrigeradores</t>
        </is>
      </c>
      <c r="H532" s="10" t="n">
        <v>55</v>
      </c>
      <c r="I532" s="10">
        <f>IFERROR(T532*H532,0)</f>
        <v/>
      </c>
      <c r="J532" s="11" t="n">
        <v>45996</v>
      </c>
      <c r="K532" s="11" t="n"/>
      <c r="L532" t="inlineStr">
        <is>
          <t>NF Vencida</t>
        </is>
      </c>
      <c r="M532">
        <f>IF(L532="","",IFERROR(VLOOKUP(L532,mapGrupoStatus,2,0),"Outros"))</f>
        <v/>
      </c>
      <c r="N532">
        <f>IF(O532="","",IF(O532&lt;=30,"0-30 dias",IF(O532&lt;=60,"31-60 dias",IF(O532&lt;=90,"61-90 dias","Mais de 90 dias"))))</f>
        <v/>
      </c>
      <c r="O532">
        <f>IF(OR(M532="Pendente",M532="Em andamento"),IF(J532="","",TODAY()-J532),"")</f>
        <v/>
      </c>
      <c r="P532" t="n">
        <v>10615</v>
      </c>
      <c r="Q532" t="inlineStr">
        <is>
          <t>Brisa Técnica (10615)</t>
        </is>
      </c>
      <c r="R532" t="inlineStr">
        <is>
          <t>PC-0007</t>
        </is>
      </c>
      <c r="S532" t="inlineStr">
        <is>
          <t>Ventilador modelo 01</t>
        </is>
      </c>
      <c r="T532" t="n">
        <v>1</v>
      </c>
      <c r="U532" t="inlineStr"/>
      <c r="V532">
        <f>IF(J532="","",MONTH(J532))</f>
        <v/>
      </c>
      <c r="W532">
        <f>IF(J532="","",YEAR(J532))</f>
        <v/>
      </c>
      <c r="X532" t="inlineStr"/>
      <c r="Y532">
        <f>IFERROR(INDEX(Rastreio!$H$2:$H$200,MATCH(X532&amp;"|"&amp;U532,Rastreio!$A$2:$A$200,0)),"")</f>
        <v/>
      </c>
    </row>
    <row r="533">
      <c r="A533">
        <f>IFERROR(INDEX(STAs!$G$2:$G$61,MATCH(P533,STAs!$F$2:$F$61,0))&amp;"","")</f>
        <v/>
      </c>
      <c r="B533" t="n">
        <v>20008119</v>
      </c>
      <c r="C533" t="inlineStr">
        <is>
          <t>Não</t>
        </is>
      </c>
      <c r="D533" t="inlineStr">
        <is>
          <t>SP</t>
        </is>
      </c>
      <c r="E533" t="inlineStr">
        <is>
          <t>SUDESTE SP</t>
        </is>
      </c>
      <c r="F533" t="inlineStr">
        <is>
          <t>Cliente C - Misturador</t>
        </is>
      </c>
      <c r="G533" t="inlineStr">
        <is>
          <t>Misturadores</t>
        </is>
      </c>
      <c r="H533" s="10" t="n">
        <v>255</v>
      </c>
      <c r="I533" s="10">
        <f>IFERROR(T533*H533,0)</f>
        <v/>
      </c>
      <c r="J533" s="11" t="n">
        <v>45997</v>
      </c>
      <c r="K533" s="11" t="n">
        <v>46054</v>
      </c>
      <c r="L533" t="inlineStr">
        <is>
          <t>Ok. Devolvida</t>
        </is>
      </c>
      <c r="M533">
        <f>IF(L533="","",IFERROR(VLOOKUP(L533,mapGrupoStatus,2,0),"Outros"))</f>
        <v/>
      </c>
      <c r="N533">
        <f>IF(O533="","",IF(O533&lt;=30,"0-30 dias",IF(O533&lt;=60,"31-60 dias",IF(O533&lt;=90,"61-90 dias","Mais de 90 dias"))))</f>
        <v/>
      </c>
      <c r="O533">
        <f>IF(OR(M533="Pendente",M533="Em andamento"),IF(J533="","",TODAY()-J533),"")</f>
        <v/>
      </c>
      <c r="P533" t="n">
        <v>11365</v>
      </c>
      <c r="Q533" t="inlineStr">
        <is>
          <t>Ártico Express (11365)</t>
        </is>
      </c>
      <c r="R533" t="inlineStr">
        <is>
          <t>PC-0039</t>
        </is>
      </c>
      <c r="S533" t="inlineStr">
        <is>
          <t>Bomba de recirculação modelo 03</t>
        </is>
      </c>
      <c r="T533" t="n">
        <v>2</v>
      </c>
      <c r="U533" t="n">
        <v>114</v>
      </c>
      <c r="V533">
        <f>IF(J533="","",MONTH(J533))</f>
        <v/>
      </c>
      <c r="W533">
        <f>IF(J533="","",YEAR(J533))</f>
        <v/>
      </c>
      <c r="X533" t="inlineStr">
        <is>
          <t>RotaSul</t>
        </is>
      </c>
      <c r="Y533">
        <f>IFERROR(INDEX(Rastreio!$H$2:$H$200,MATCH(X533&amp;"|"&amp;U533,Rastreio!$A$2:$A$200,0)),"")</f>
        <v/>
      </c>
    </row>
    <row r="534">
      <c r="A534">
        <f>IFERROR(INDEX(STAs!$G$2:$G$61,MATCH(P534,STAs!$F$2:$F$61,0))&amp;"","")</f>
        <v/>
      </c>
      <c r="B534" t="n">
        <v>20011740</v>
      </c>
      <c r="C534" t="inlineStr">
        <is>
          <t>Sim</t>
        </is>
      </c>
      <c r="D534" t="inlineStr">
        <is>
          <t>SP</t>
        </is>
      </c>
      <c r="E534" t="inlineStr">
        <is>
          <t>SUDESTE SP</t>
        </is>
      </c>
      <c r="F534" t="inlineStr">
        <is>
          <t>Cliente A - Refrigerador</t>
        </is>
      </c>
      <c r="G534" t="inlineStr">
        <is>
          <t>Chopeiras</t>
        </is>
      </c>
      <c r="H534" s="10" t="n">
        <v>85</v>
      </c>
      <c r="I534" s="10">
        <f>IFERROR(T534*H534,0)</f>
        <v/>
      </c>
      <c r="J534" s="11" t="n">
        <v>45997</v>
      </c>
      <c r="K534" s="11" t="n">
        <v>46037</v>
      </c>
      <c r="L534" t="inlineStr">
        <is>
          <t>Ok. Devolvida</t>
        </is>
      </c>
      <c r="M534">
        <f>IF(L534="","",IFERROR(VLOOKUP(L534,mapGrupoStatus,2,0),"Outros"))</f>
        <v/>
      </c>
      <c r="N534">
        <f>IF(O534="","",IF(O534&lt;=30,"0-30 dias",IF(O534&lt;=60,"31-60 dias",IF(O534&lt;=90,"61-90 dias","Mais de 90 dias"))))</f>
        <v/>
      </c>
      <c r="O534">
        <f>IF(OR(M534="Pendente",M534="Em andamento"),IF(J534="","",TODAY()-J534),"")</f>
        <v/>
      </c>
      <c r="P534" t="n">
        <v>10010</v>
      </c>
      <c r="Q534" t="inlineStr">
        <is>
          <t>Cool Service ME (10010)</t>
        </is>
      </c>
      <c r="R534" t="inlineStr">
        <is>
          <t>PC-0036</t>
        </is>
      </c>
      <c r="S534" t="inlineStr">
        <is>
          <t>Válvula extratora modelo 02</t>
        </is>
      </c>
      <c r="T534" t="n">
        <v>1</v>
      </c>
      <c r="U534" t="n">
        <v>119</v>
      </c>
      <c r="V534">
        <f>IF(J534="","",MONTH(J534))</f>
        <v/>
      </c>
      <c r="W534">
        <f>IF(J534="","",YEAR(J534))</f>
        <v/>
      </c>
      <c r="X534" t="inlineStr">
        <is>
          <t>RotaSul</t>
        </is>
      </c>
      <c r="Y534">
        <f>IFERROR(INDEX(Rastreio!$H$2:$H$200,MATCH(X534&amp;"|"&amp;U534,Rastreio!$A$2:$A$200,0)),"")</f>
        <v/>
      </c>
    </row>
    <row r="535">
      <c r="A535">
        <f>IFERROR(INDEX(STAs!$G$2:$G$61,MATCH(P535,STAs!$F$2:$F$61,0))&amp;"","")</f>
        <v/>
      </c>
      <c r="B535" t="n">
        <v>20016745</v>
      </c>
      <c r="C535" t="inlineStr">
        <is>
          <t>Não</t>
        </is>
      </c>
      <c r="D535" t="inlineStr">
        <is>
          <t>RR</t>
        </is>
      </c>
      <c r="E535" t="inlineStr">
        <is>
          <t>NORTE</t>
        </is>
      </c>
      <c r="F535" t="inlineStr">
        <is>
          <t>Cliente C - Misturador</t>
        </is>
      </c>
      <c r="G535" t="inlineStr">
        <is>
          <t>Chopeiras</t>
        </is>
      </c>
      <c r="H535" s="10" t="n">
        <v>115</v>
      </c>
      <c r="I535" s="10">
        <f>IFERROR(T535*H535,0)</f>
        <v/>
      </c>
      <c r="J535" s="11" t="n">
        <v>45997</v>
      </c>
      <c r="K535" s="11" t="n"/>
      <c r="L535" t="inlineStr">
        <is>
          <t>Aguardando devolução</t>
        </is>
      </c>
      <c r="M535">
        <f>IF(L535="","",IFERROR(VLOOKUP(L535,mapGrupoStatus,2,0),"Outros"))</f>
        <v/>
      </c>
      <c r="N535">
        <f>IF(O535="","",IF(O535&lt;=30,"0-30 dias",IF(O535&lt;=60,"31-60 dias",IF(O535&lt;=90,"61-90 dias","Mais de 90 dias"))))</f>
        <v/>
      </c>
      <c r="O535">
        <f>IF(OR(M535="Pendente",M535="Em andamento"),IF(J535="","",TODAY()-J535),"")</f>
        <v/>
      </c>
      <c r="P535" t="n">
        <v>10468</v>
      </c>
      <c r="Q535" t="inlineStr">
        <is>
          <t>Clima Express (10468)</t>
        </is>
      </c>
      <c r="R535" t="inlineStr">
        <is>
          <t>PC-0033</t>
        </is>
      </c>
      <c r="S535" t="inlineStr">
        <is>
          <t>Regulador de pressão modelo 02</t>
        </is>
      </c>
      <c r="T535" t="n">
        <v>2</v>
      </c>
      <c r="U535" t="inlineStr"/>
      <c r="V535">
        <f>IF(J535="","",MONTH(J535))</f>
        <v/>
      </c>
      <c r="W535">
        <f>IF(J535="","",YEAR(J535))</f>
        <v/>
      </c>
      <c r="X535" t="inlineStr"/>
      <c r="Y535">
        <f>IFERROR(INDEX(Rastreio!$H$2:$H$200,MATCH(X535&amp;"|"&amp;U535,Rastreio!$A$2:$A$200,0)),"")</f>
        <v/>
      </c>
    </row>
    <row r="536">
      <c r="A536">
        <f>IFERROR(INDEX(STAs!$G$2:$G$61,MATCH(P536,STAs!$F$2:$F$61,0))&amp;"","")</f>
        <v/>
      </c>
      <c r="B536" t="n">
        <v>20021565</v>
      </c>
      <c r="C536" t="inlineStr">
        <is>
          <t>Não</t>
        </is>
      </c>
      <c r="D536" t="inlineStr">
        <is>
          <t>ES</t>
        </is>
      </c>
      <c r="E536" t="inlineStr">
        <is>
          <t>SUDESTE RJ e ES</t>
        </is>
      </c>
      <c r="F536" t="inlineStr">
        <is>
          <t>Cliente B - Chopeira</t>
        </is>
      </c>
      <c r="G536" t="inlineStr">
        <is>
          <t>Refrigeradores</t>
        </is>
      </c>
      <c r="H536" s="10" t="n">
        <v>50</v>
      </c>
      <c r="I536" s="10">
        <f>IFERROR(T536*H536,0)</f>
        <v/>
      </c>
      <c r="J536" s="11" t="n">
        <v>45997</v>
      </c>
      <c r="K536" s="11" t="n">
        <v>46046</v>
      </c>
      <c r="L536" t="inlineStr">
        <is>
          <t>Ok. Devolvida</t>
        </is>
      </c>
      <c r="M536">
        <f>IF(L536="","",IFERROR(VLOOKUP(L536,mapGrupoStatus,2,0),"Outros"))</f>
        <v/>
      </c>
      <c r="N536">
        <f>IF(O536="","",IF(O536&lt;=30,"0-30 dias",IF(O536&lt;=60,"31-60 dias",IF(O536&lt;=90,"61-90 dias","Mais de 90 dias"))))</f>
        <v/>
      </c>
      <c r="O536">
        <f>IF(OR(M536="Pendente",M536="Em andamento"),IF(J536="","",TODAY()-J536),"")</f>
        <v/>
      </c>
      <c r="P536" t="n">
        <v>11099</v>
      </c>
      <c r="Q536" t="inlineStr">
        <is>
          <t>Refrigel Serviços (11099)</t>
        </is>
      </c>
      <c r="R536" t="inlineStr">
        <is>
          <t>PC-0006</t>
        </is>
      </c>
      <c r="S536" t="inlineStr">
        <is>
          <t>Termostato modelo 03</t>
        </is>
      </c>
      <c r="T536" t="n">
        <v>2</v>
      </c>
      <c r="U536" t="n">
        <v>133</v>
      </c>
      <c r="V536">
        <f>IF(J536="","",MONTH(J536))</f>
        <v/>
      </c>
      <c r="W536">
        <f>IF(J536="","",YEAR(J536))</f>
        <v/>
      </c>
      <c r="X536" t="inlineStr">
        <is>
          <t>RotaSul</t>
        </is>
      </c>
      <c r="Y536">
        <f>IFERROR(INDEX(Rastreio!$H$2:$H$200,MATCH(X536&amp;"|"&amp;U536,Rastreio!$A$2:$A$200,0)),"")</f>
        <v/>
      </c>
    </row>
    <row r="537">
      <c r="A537">
        <f>IFERROR(INDEX(STAs!$G$2:$G$61,MATCH(P537,STAs!$F$2:$F$61,0))&amp;"","")</f>
        <v/>
      </c>
      <c r="B537" t="n">
        <v>20021663</v>
      </c>
      <c r="C537" t="inlineStr">
        <is>
          <t>Não</t>
        </is>
      </c>
      <c r="D537" t="inlineStr">
        <is>
          <t>MT</t>
        </is>
      </c>
      <c r="E537" t="inlineStr">
        <is>
          <t>CENTRO OESTE</t>
        </is>
      </c>
      <c r="F537" t="inlineStr">
        <is>
          <t>Cliente C - Misturador</t>
        </is>
      </c>
      <c r="G537" t="inlineStr">
        <is>
          <t>Chopeiras</t>
        </is>
      </c>
      <c r="H537" s="10" t="n">
        <v>85</v>
      </c>
      <c r="I537" s="10">
        <f>IFERROR(T537*H537,0)</f>
        <v/>
      </c>
      <c r="J537" s="11" t="n">
        <v>45997</v>
      </c>
      <c r="K537" s="11" t="n">
        <v>46023</v>
      </c>
      <c r="L537" t="inlineStr">
        <is>
          <t>Ok. Devolvida</t>
        </is>
      </c>
      <c r="M537">
        <f>IF(L537="","",IFERROR(VLOOKUP(L537,mapGrupoStatus,2,0),"Outros"))</f>
        <v/>
      </c>
      <c r="N537">
        <f>IF(O537="","",IF(O537&lt;=30,"0-30 dias",IF(O537&lt;=60,"31-60 dias",IF(O537&lt;=90,"61-90 dias","Mais de 90 dias"))))</f>
        <v/>
      </c>
      <c r="O537">
        <f>IF(OR(M537="Pendente",M537="Em andamento"),IF(J537="","",TODAY()-J537),"")</f>
        <v/>
      </c>
      <c r="P537" t="n">
        <v>10227</v>
      </c>
      <c r="Q537" t="inlineStr">
        <is>
          <t>Assistência Técnica ME (10227)</t>
        </is>
      </c>
      <c r="R537" t="inlineStr">
        <is>
          <t>PC-0035</t>
        </is>
      </c>
      <c r="S537" t="inlineStr">
        <is>
          <t>Válvula extratora modelo 01</t>
        </is>
      </c>
      <c r="T537" t="n">
        <v>2</v>
      </c>
      <c r="U537" t="n">
        <v>139</v>
      </c>
      <c r="V537">
        <f>IF(J537="","",MONTH(J537))</f>
        <v/>
      </c>
      <c r="W537">
        <f>IF(J537="","",YEAR(J537))</f>
        <v/>
      </c>
      <c r="X537" t="inlineStr">
        <is>
          <t>CargoMax</t>
        </is>
      </c>
      <c r="Y537">
        <f>IFERROR(INDEX(Rastreio!$H$2:$H$200,MATCH(X537&amp;"|"&amp;U537,Rastreio!$A$2:$A$200,0)),"")</f>
        <v/>
      </c>
    </row>
    <row r="538">
      <c r="A538">
        <f>IFERROR(INDEX(STAs!$G$2:$G$61,MATCH(P538,STAs!$F$2:$F$61,0))&amp;"","")</f>
        <v/>
      </c>
      <c r="B538" t="n">
        <v>20022587</v>
      </c>
      <c r="C538" t="inlineStr">
        <is>
          <t>Não</t>
        </is>
      </c>
      <c r="D538" t="inlineStr">
        <is>
          <t>RR</t>
        </is>
      </c>
      <c r="E538" t="inlineStr">
        <is>
          <t>NORTE</t>
        </is>
      </c>
      <c r="F538" t="inlineStr">
        <is>
          <t>Cliente B - Chopeira</t>
        </is>
      </c>
      <c r="G538" t="inlineStr">
        <is>
          <t>Refrigeradores</t>
        </is>
      </c>
      <c r="H538" s="10" t="n">
        <v>50</v>
      </c>
      <c r="I538" s="10">
        <f>IFERROR(T538*H538,0)</f>
        <v/>
      </c>
      <c r="J538" s="11" t="n">
        <v>45997</v>
      </c>
      <c r="K538" s="11" t="n"/>
      <c r="L538" t="inlineStr">
        <is>
          <t>Não Devolve-Norte</t>
        </is>
      </c>
      <c r="M538">
        <f>IF(L538="","",IFERROR(VLOOKUP(L538,mapGrupoStatus,2,0),"Outros"))</f>
        <v/>
      </c>
      <c r="N538">
        <f>IF(O538="","",IF(O538&lt;=30,"0-30 dias",IF(O538&lt;=60,"31-60 dias",IF(O538&lt;=90,"61-90 dias","Mais de 90 dias"))))</f>
        <v/>
      </c>
      <c r="O538">
        <f>IF(OR(M538="Pendente",M538="Em andamento"),IF(J538="","",TODAY()-J538),"")</f>
        <v/>
      </c>
      <c r="P538" t="n">
        <v>11818</v>
      </c>
      <c r="Q538" t="inlineStr">
        <is>
          <t>Termotec Ltda (11818)</t>
        </is>
      </c>
      <c r="R538" t="inlineStr">
        <is>
          <t>PC-0006</t>
        </is>
      </c>
      <c r="S538" t="inlineStr">
        <is>
          <t>Termostato modelo 03</t>
        </is>
      </c>
      <c r="T538" t="n">
        <v>1</v>
      </c>
      <c r="U538" t="inlineStr"/>
      <c r="V538">
        <f>IF(J538="","",MONTH(J538))</f>
        <v/>
      </c>
      <c r="W538">
        <f>IF(J538="","",YEAR(J538))</f>
        <v/>
      </c>
      <c r="X538" t="inlineStr"/>
      <c r="Y538">
        <f>IFERROR(INDEX(Rastreio!$H$2:$H$200,MATCH(X538&amp;"|"&amp;U538,Rastreio!$A$2:$A$200,0)),"")</f>
        <v/>
      </c>
    </row>
    <row r="539">
      <c r="A539">
        <f>IFERROR(INDEX(STAs!$G$2:$G$61,MATCH(P539,STAs!$F$2:$F$61,0))&amp;"","")</f>
        <v/>
      </c>
      <c r="B539" t="n">
        <v>20030756</v>
      </c>
      <c r="C539" t="inlineStr">
        <is>
          <t>Não</t>
        </is>
      </c>
      <c r="D539" t="inlineStr">
        <is>
          <t>RJ</t>
        </is>
      </c>
      <c r="E539" t="inlineStr">
        <is>
          <t>SUDESTE RJ e ES</t>
        </is>
      </c>
      <c r="F539" t="inlineStr">
        <is>
          <t>Cliente B - Chopeira</t>
        </is>
      </c>
      <c r="G539" t="inlineStr">
        <is>
          <t>Chopeiras</t>
        </is>
      </c>
      <c r="H539" s="10" t="n">
        <v>100</v>
      </c>
      <c r="I539" s="10">
        <f>IFERROR(T539*H539,0)</f>
        <v/>
      </c>
      <c r="J539" s="11" t="n">
        <v>45997</v>
      </c>
      <c r="K539" s="11" t="n">
        <v>46014</v>
      </c>
      <c r="L539" t="inlineStr">
        <is>
          <t>Ok. Devolvida</t>
        </is>
      </c>
      <c r="M539">
        <f>IF(L539="","",IFERROR(VLOOKUP(L539,mapGrupoStatus,2,0),"Outros"))</f>
        <v/>
      </c>
      <c r="N539">
        <f>IF(O539="","",IF(O539&lt;=30,"0-30 dias",IF(O539&lt;=60,"31-60 dias",IF(O539&lt;=90,"61-90 dias","Mais de 90 dias"))))</f>
        <v/>
      </c>
      <c r="O539">
        <f>IF(OR(M539="Pendente",M539="Em andamento"),IF(J539="","",TODAY()-J539),"")</f>
        <v/>
      </c>
      <c r="P539" t="n">
        <v>11059</v>
      </c>
      <c r="Q539" t="inlineStr">
        <is>
          <t>Frio Ltda (11059)</t>
        </is>
      </c>
      <c r="R539" t="inlineStr">
        <is>
          <t>PC-0027</t>
        </is>
      </c>
      <c r="S539" t="inlineStr">
        <is>
          <t>Torneira de chopp modelo 02</t>
        </is>
      </c>
      <c r="T539" t="n">
        <v>1</v>
      </c>
      <c r="U539" t="n">
        <v>154</v>
      </c>
      <c r="V539">
        <f>IF(J539="","",MONTH(J539))</f>
        <v/>
      </c>
      <c r="W539">
        <f>IF(J539="","",YEAR(J539))</f>
        <v/>
      </c>
      <c r="X539" t="inlineStr">
        <is>
          <t>TransNorte</t>
        </is>
      </c>
      <c r="Y539">
        <f>IFERROR(INDEX(Rastreio!$H$2:$H$200,MATCH(X539&amp;"|"&amp;U539,Rastreio!$A$2:$A$200,0)),"")</f>
        <v/>
      </c>
    </row>
    <row r="540">
      <c r="A540">
        <f>IFERROR(INDEX(STAs!$G$2:$G$61,MATCH(P540,STAs!$F$2:$F$61,0))&amp;"","")</f>
        <v/>
      </c>
      <c r="B540" t="n">
        <v>20036300</v>
      </c>
      <c r="C540" t="inlineStr">
        <is>
          <t>Sim</t>
        </is>
      </c>
      <c r="D540" t="inlineStr">
        <is>
          <t>PR</t>
        </is>
      </c>
      <c r="E540" t="inlineStr">
        <is>
          <t>SUL</t>
        </is>
      </c>
      <c r="F540" t="inlineStr">
        <is>
          <t>Cliente A - Refrigerador</t>
        </is>
      </c>
      <c r="G540" t="inlineStr">
        <is>
          <t>Chopeiras</t>
        </is>
      </c>
      <c r="H540" s="10" t="n">
        <v>85</v>
      </c>
      <c r="I540" s="10">
        <f>IFERROR(T540*H540,0)</f>
        <v/>
      </c>
      <c r="J540" s="11" t="n">
        <v>45997</v>
      </c>
      <c r="K540" s="11" t="n"/>
      <c r="L540" t="inlineStr">
        <is>
          <t>Em andamento</t>
        </is>
      </c>
      <c r="M540">
        <f>IF(L540="","",IFERROR(VLOOKUP(L540,mapGrupoStatus,2,0),"Outros"))</f>
        <v/>
      </c>
      <c r="N540">
        <f>IF(O540="","",IF(O540&lt;=30,"0-30 dias",IF(O540&lt;=60,"31-60 dias",IF(O540&lt;=90,"61-90 dias","Mais de 90 dias"))))</f>
        <v/>
      </c>
      <c r="O540">
        <f>IF(OR(M540="Pendente",M540="Em andamento"),IF(J540="","",TODAY()-J540),"")</f>
        <v/>
      </c>
      <c r="P540" t="n">
        <v>12724</v>
      </c>
      <c r="Q540" t="inlineStr">
        <is>
          <t>Cool Service &amp; Cia (12724)</t>
        </is>
      </c>
      <c r="R540" t="inlineStr">
        <is>
          <t>PC-0035</t>
        </is>
      </c>
      <c r="S540" t="inlineStr">
        <is>
          <t>Válvula extratora modelo 01</t>
        </is>
      </c>
      <c r="T540" t="n">
        <v>1</v>
      </c>
      <c r="U540" t="n">
        <v>150</v>
      </c>
      <c r="V540">
        <f>IF(J540="","",MONTH(J540))</f>
        <v/>
      </c>
      <c r="W540">
        <f>IF(J540="","",YEAR(J540))</f>
        <v/>
      </c>
      <c r="X540" t="inlineStr">
        <is>
          <t>EntregaJá</t>
        </is>
      </c>
      <c r="Y540">
        <f>IFERROR(INDEX(Rastreio!$H$2:$H$200,MATCH(X540&amp;"|"&amp;U540,Rastreio!$A$2:$A$200,0)),"")</f>
        <v/>
      </c>
    </row>
    <row r="541">
      <c r="A541">
        <f>IFERROR(INDEX(STAs!$G$2:$G$61,MATCH(P541,STAs!$F$2:$F$61,0))&amp;"","")</f>
        <v/>
      </c>
      <c r="B541" t="n">
        <v>20040820</v>
      </c>
      <c r="C541" t="inlineStr">
        <is>
          <t>Sim</t>
        </is>
      </c>
      <c r="D541" t="inlineStr">
        <is>
          <t>GO</t>
        </is>
      </c>
      <c r="E541" t="inlineStr">
        <is>
          <t>CENTRO OESTE</t>
        </is>
      </c>
      <c r="F541" t="inlineStr">
        <is>
          <t>Cliente C - Misturador</t>
        </is>
      </c>
      <c r="G541" t="inlineStr">
        <is>
          <t>Refrigeradores</t>
        </is>
      </c>
      <c r="H541" s="10" t="n">
        <v>45</v>
      </c>
      <c r="I541" s="10">
        <f>IFERROR(T541*H541,0)</f>
        <v/>
      </c>
      <c r="J541" s="11" t="n">
        <v>45997</v>
      </c>
      <c r="K541" s="11" t="n">
        <v>46017</v>
      </c>
      <c r="L541" t="inlineStr">
        <is>
          <t>Ok. Devolvida</t>
        </is>
      </c>
      <c r="M541">
        <f>IF(L541="","",IFERROR(VLOOKUP(L541,mapGrupoStatus,2,0),"Outros"))</f>
        <v/>
      </c>
      <c r="N541">
        <f>IF(O541="","",IF(O541&lt;=30,"0-30 dias",IF(O541&lt;=60,"31-60 dias",IF(O541&lt;=90,"61-90 dias","Mais de 90 dias"))))</f>
        <v/>
      </c>
      <c r="O541">
        <f>IF(OR(M541="Pendente",M541="Em andamento"),IF(J541="","",TODAY()-J541),"")</f>
        <v/>
      </c>
      <c r="P541" t="n">
        <v>11677</v>
      </c>
      <c r="Q541" t="inlineStr">
        <is>
          <t>Cool Service Manutenção (11677)</t>
        </is>
      </c>
      <c r="R541" t="inlineStr">
        <is>
          <t>PC-0018</t>
        </is>
      </c>
      <c r="S541" t="inlineStr">
        <is>
          <t>Gaxeta da porta modelo 01</t>
        </is>
      </c>
      <c r="T541" t="n">
        <v>1</v>
      </c>
      <c r="U541" t="n">
        <v>175</v>
      </c>
      <c r="V541">
        <f>IF(J541="","",MONTH(J541))</f>
        <v/>
      </c>
      <c r="W541">
        <f>IF(J541="","",YEAR(J541))</f>
        <v/>
      </c>
      <c r="X541" t="inlineStr">
        <is>
          <t>LogExpress</t>
        </is>
      </c>
      <c r="Y541">
        <f>IFERROR(INDEX(Rastreio!$H$2:$H$200,MATCH(X541&amp;"|"&amp;U541,Rastreio!$A$2:$A$200,0)),"")</f>
        <v/>
      </c>
    </row>
    <row r="542">
      <c r="A542">
        <f>IFERROR(INDEX(STAs!$G$2:$G$61,MATCH(P542,STAs!$F$2:$F$61,0))&amp;"","")</f>
        <v/>
      </c>
      <c r="B542" t="n">
        <v>20000287</v>
      </c>
      <c r="C542" t="inlineStr">
        <is>
          <t>Não</t>
        </is>
      </c>
      <c r="D542" t="inlineStr">
        <is>
          <t>MS</t>
        </is>
      </c>
      <c r="E542" t="inlineStr">
        <is>
          <t>CENTRO OESTE</t>
        </is>
      </c>
      <c r="F542" t="inlineStr">
        <is>
          <t>Cliente A - Refrigerador</t>
        </is>
      </c>
      <c r="G542" t="inlineStr">
        <is>
          <t>Refrigeradores</t>
        </is>
      </c>
      <c r="H542" s="10" t="n">
        <v>325</v>
      </c>
      <c r="I542" s="10">
        <f>IFERROR(T542*H542,0)</f>
        <v/>
      </c>
      <c r="J542" s="11" t="n">
        <v>45998</v>
      </c>
      <c r="K542" s="11" t="n">
        <v>46049</v>
      </c>
      <c r="L542" t="inlineStr">
        <is>
          <t>Ok. Devolvida</t>
        </is>
      </c>
      <c r="M542">
        <f>IF(L542="","",IFERROR(VLOOKUP(L542,mapGrupoStatus,2,0),"Outros"))</f>
        <v/>
      </c>
      <c r="N542">
        <f>IF(O542="","",IF(O542&lt;=30,"0-30 dias",IF(O542&lt;=60,"31-60 dias",IF(O542&lt;=90,"61-90 dias","Mais de 90 dias"))))</f>
        <v/>
      </c>
      <c r="O542">
        <f>IF(OR(M542="Pendente",M542="Em andamento"),IF(J542="","",TODAY()-J542),"")</f>
        <v/>
      </c>
      <c r="P542" t="n">
        <v>11726</v>
      </c>
      <c r="Q542" t="inlineStr">
        <is>
          <t>Norte Frio Refrigeração (11726)</t>
        </is>
      </c>
      <c r="R542" t="inlineStr">
        <is>
          <t>PC-0001</t>
        </is>
      </c>
      <c r="S542" t="inlineStr">
        <is>
          <t>Compressor modelo 01</t>
        </is>
      </c>
      <c r="T542" t="n">
        <v>1</v>
      </c>
      <c r="U542" t="n">
        <v>100</v>
      </c>
      <c r="V542">
        <f>IF(J542="","",MONTH(J542))</f>
        <v/>
      </c>
      <c r="W542">
        <f>IF(J542="","",YEAR(J542))</f>
        <v/>
      </c>
      <c r="X542" t="inlineStr">
        <is>
          <t>RotaSul</t>
        </is>
      </c>
      <c r="Y542">
        <f>IFERROR(INDEX(Rastreio!$H$2:$H$200,MATCH(X542&amp;"|"&amp;U542,Rastreio!$A$2:$A$200,0)),"")</f>
        <v/>
      </c>
    </row>
    <row r="543">
      <c r="A543">
        <f>IFERROR(INDEX(STAs!$G$2:$G$61,MATCH(P543,STAs!$F$2:$F$61,0))&amp;"","")</f>
        <v/>
      </c>
      <c r="B543" t="n">
        <v>20003524</v>
      </c>
      <c r="C543" t="inlineStr">
        <is>
          <t>Não</t>
        </is>
      </c>
      <c r="D543" t="inlineStr">
        <is>
          <t>PI</t>
        </is>
      </c>
      <c r="E543" t="inlineStr">
        <is>
          <t>NORDESTE</t>
        </is>
      </c>
      <c r="F543" t="inlineStr">
        <is>
          <t>Cliente B - Chopeira</t>
        </is>
      </c>
      <c r="G543" t="inlineStr">
        <is>
          <t>Misturadores</t>
        </is>
      </c>
      <c r="H543" s="10" t="n">
        <v>255</v>
      </c>
      <c r="I543" s="10">
        <f>IFERROR(T543*H543,0)</f>
        <v/>
      </c>
      <c r="J543" s="11" t="n">
        <v>45998</v>
      </c>
      <c r="K543" s="11" t="n"/>
      <c r="L543" t="inlineStr">
        <is>
          <t>Aguardando devolução</t>
        </is>
      </c>
      <c r="M543">
        <f>IF(L543="","",IFERROR(VLOOKUP(L543,mapGrupoStatus,2,0),"Outros"))</f>
        <v/>
      </c>
      <c r="N543">
        <f>IF(O543="","",IF(O543&lt;=30,"0-30 dias",IF(O543&lt;=60,"31-60 dias",IF(O543&lt;=90,"61-90 dias","Mais de 90 dias"))))</f>
        <v/>
      </c>
      <c r="O543">
        <f>IF(OR(M543="Pendente",M543="Em andamento"),IF(J543="","",TODAY()-J543),"")</f>
        <v/>
      </c>
      <c r="P543" t="n">
        <v>12936</v>
      </c>
      <c r="Q543" t="inlineStr">
        <is>
          <t>Frigo Técnica (12936)</t>
        </is>
      </c>
      <c r="R543" t="inlineStr">
        <is>
          <t>PC-0037</t>
        </is>
      </c>
      <c r="S543" t="inlineStr">
        <is>
          <t>Bomba de recirculação modelo 01</t>
        </is>
      </c>
      <c r="T543" t="n">
        <v>3</v>
      </c>
      <c r="U543" t="inlineStr"/>
      <c r="V543">
        <f>IF(J543="","",MONTH(J543))</f>
        <v/>
      </c>
      <c r="W543">
        <f>IF(J543="","",YEAR(J543))</f>
        <v/>
      </c>
      <c r="X543" t="inlineStr"/>
      <c r="Y543">
        <f>IFERROR(INDEX(Rastreio!$H$2:$H$200,MATCH(X543&amp;"|"&amp;U543,Rastreio!$A$2:$A$200,0)),"")</f>
        <v/>
      </c>
    </row>
    <row r="544">
      <c r="A544">
        <f>IFERROR(INDEX(STAs!$G$2:$G$61,MATCH(P544,STAs!$F$2:$F$61,0))&amp;"","")</f>
        <v/>
      </c>
      <c r="B544" t="n">
        <v>20003777</v>
      </c>
      <c r="C544" t="inlineStr">
        <is>
          <t>Não</t>
        </is>
      </c>
      <c r="D544" t="inlineStr">
        <is>
          <t>PB</t>
        </is>
      </c>
      <c r="E544" t="inlineStr">
        <is>
          <t>NORDESTE</t>
        </is>
      </c>
      <c r="F544" t="inlineStr">
        <is>
          <t>Cliente C - Misturador</t>
        </is>
      </c>
      <c r="G544" t="inlineStr">
        <is>
          <t>Misturadores</t>
        </is>
      </c>
      <c r="H544" s="10" t="n">
        <v>50</v>
      </c>
      <c r="I544" s="10">
        <f>IFERROR(T544*H544,0)</f>
        <v/>
      </c>
      <c r="J544" s="11" t="n">
        <v>45998</v>
      </c>
      <c r="K544" s="11" t="n">
        <v>46023</v>
      </c>
      <c r="L544" t="inlineStr">
        <is>
          <t>Ok. Devolvida</t>
        </is>
      </c>
      <c r="M544">
        <f>IF(L544="","",IFERROR(VLOOKUP(L544,mapGrupoStatus,2,0),"Outros"))</f>
        <v/>
      </c>
      <c r="N544">
        <f>IF(O544="","",IF(O544&lt;=30,"0-30 dias",IF(O544&lt;=60,"31-60 dias",IF(O544&lt;=90,"61-90 dias","Mais de 90 dias"))))</f>
        <v/>
      </c>
      <c r="O544">
        <f>IF(OR(M544="Pendente",M544="Em andamento"),IF(J544="","",TODAY()-J544),"")</f>
        <v/>
      </c>
      <c r="P544" t="n">
        <v>11741</v>
      </c>
      <c r="Q544" t="inlineStr">
        <is>
          <t>Clima Refrigeração (11741)</t>
        </is>
      </c>
      <c r="R544" t="inlineStr">
        <is>
          <t>PC-0045</t>
        </is>
      </c>
      <c r="S544" t="inlineStr">
        <is>
          <t>Sensor de nível modelo 01</t>
        </is>
      </c>
      <c r="T544" t="n">
        <v>1</v>
      </c>
      <c r="U544" t="n">
        <v>109</v>
      </c>
      <c r="V544">
        <f>IF(J544="","",MONTH(J544))</f>
        <v/>
      </c>
      <c r="W544">
        <f>IF(J544="","",YEAR(J544))</f>
        <v/>
      </c>
      <c r="X544" t="inlineStr">
        <is>
          <t>RotaSul</t>
        </is>
      </c>
      <c r="Y544">
        <f>IFERROR(INDEX(Rastreio!$H$2:$H$200,MATCH(X544&amp;"|"&amp;U544,Rastreio!$A$2:$A$200,0)),"")</f>
        <v/>
      </c>
    </row>
    <row r="545">
      <c r="A545">
        <f>IFERROR(INDEX(STAs!$G$2:$G$61,MATCH(P545,STAs!$F$2:$F$61,0))&amp;"","")</f>
        <v/>
      </c>
      <c r="B545" t="n">
        <v>20024087</v>
      </c>
      <c r="C545" t="inlineStr">
        <is>
          <t>Não</t>
        </is>
      </c>
      <c r="D545" t="inlineStr">
        <is>
          <t>SC</t>
        </is>
      </c>
      <c r="E545" t="inlineStr">
        <is>
          <t>SUL</t>
        </is>
      </c>
      <c r="F545" t="inlineStr">
        <is>
          <t>Cliente B - Chopeira</t>
        </is>
      </c>
      <c r="G545" t="inlineStr">
        <is>
          <t>Refrigeradores</t>
        </is>
      </c>
      <c r="H545" s="10" t="n">
        <v>185</v>
      </c>
      <c r="I545" s="10">
        <f>IFERROR(T545*H545,0)</f>
        <v/>
      </c>
      <c r="J545" s="11" t="n">
        <v>45998</v>
      </c>
      <c r="K545" s="11" t="n">
        <v>46011</v>
      </c>
      <c r="L545" t="inlineStr">
        <is>
          <t>Ok. Devolvida</t>
        </is>
      </c>
      <c r="M545">
        <f>IF(L545="","",IFERROR(VLOOKUP(L545,mapGrupoStatus,2,0),"Outros"))</f>
        <v/>
      </c>
      <c r="N545">
        <f>IF(O545="","",IF(O545&lt;=30,"0-30 dias",IF(O545&lt;=60,"31-60 dias",IF(O545&lt;=90,"61-90 dias","Mais de 90 dias"))))</f>
        <v/>
      </c>
      <c r="O545">
        <f>IF(OR(M545="Pendente",M545="Em andamento"),IF(J545="","",TODAY()-J545),"")</f>
        <v/>
      </c>
      <c r="P545" t="n">
        <v>12138</v>
      </c>
      <c r="Q545" t="inlineStr">
        <is>
          <t>Refrigeração Serviços (12138)</t>
        </is>
      </c>
      <c r="R545" t="inlineStr">
        <is>
          <t>PC-0013</t>
        </is>
      </c>
      <c r="S545" t="inlineStr">
        <is>
          <t>Placa eletrônica modelo 03</t>
        </is>
      </c>
      <c r="T545" t="n">
        <v>2</v>
      </c>
      <c r="U545" t="n">
        <v>139</v>
      </c>
      <c r="V545">
        <f>IF(J545="","",MONTH(J545))</f>
        <v/>
      </c>
      <c r="W545">
        <f>IF(J545="","",YEAR(J545))</f>
        <v/>
      </c>
      <c r="X545" t="inlineStr">
        <is>
          <t>RotaSul</t>
        </is>
      </c>
      <c r="Y545">
        <f>IFERROR(INDEX(Rastreio!$H$2:$H$200,MATCH(X545&amp;"|"&amp;U545,Rastreio!$A$2:$A$200,0)),"")</f>
        <v/>
      </c>
    </row>
    <row r="546">
      <c r="A546">
        <f>IFERROR(INDEX(STAs!$G$2:$G$61,MATCH(P546,STAs!$F$2:$F$61,0))&amp;"","")</f>
        <v/>
      </c>
      <c r="B546" t="n">
        <v>20025802</v>
      </c>
      <c r="C546" t="inlineStr">
        <is>
          <t>Sim</t>
        </is>
      </c>
      <c r="D546" t="inlineStr">
        <is>
          <t>CE</t>
        </is>
      </c>
      <c r="E546" t="inlineStr">
        <is>
          <t>NORDESTE</t>
        </is>
      </c>
      <c r="F546" t="inlineStr">
        <is>
          <t>Cliente C - Misturador</t>
        </is>
      </c>
      <c r="G546" t="inlineStr">
        <is>
          <t>Refrigeradores</t>
        </is>
      </c>
      <c r="H546" s="10" t="n">
        <v>35</v>
      </c>
      <c r="I546" s="10">
        <f>IFERROR(T546*H546,0)</f>
        <v/>
      </c>
      <c r="J546" s="11" t="n">
        <v>45998</v>
      </c>
      <c r="K546" s="11" t="n"/>
      <c r="L546" t="inlineStr">
        <is>
          <t>Não Devolve-Norte</t>
        </is>
      </c>
      <c r="M546">
        <f>IF(L546="","",IFERROR(VLOOKUP(L546,mapGrupoStatus,2,0),"Outros"))</f>
        <v/>
      </c>
      <c r="N546">
        <f>IF(O546="","",IF(O546&lt;=30,"0-30 dias",IF(O546&lt;=60,"31-60 dias",IF(O546&lt;=90,"61-90 dias","Mais de 90 dias"))))</f>
        <v/>
      </c>
      <c r="O546">
        <f>IF(OR(M546="Pendente",M546="Em andamento"),IF(J546="","",TODAY()-J546),"")</f>
        <v/>
      </c>
      <c r="P546" t="n">
        <v>10615</v>
      </c>
      <c r="Q546" t="inlineStr">
        <is>
          <t>Brisa Técnica (10615)</t>
        </is>
      </c>
      <c r="R546" t="inlineStr">
        <is>
          <t>PC-0023</t>
        </is>
      </c>
      <c r="S546" t="inlineStr">
        <is>
          <t>Relé de partida modelo 01</t>
        </is>
      </c>
      <c r="T546" t="n">
        <v>3</v>
      </c>
      <c r="U546" t="inlineStr"/>
      <c r="V546">
        <f>IF(J546="","",MONTH(J546))</f>
        <v/>
      </c>
      <c r="W546">
        <f>IF(J546="","",YEAR(J546))</f>
        <v/>
      </c>
      <c r="X546" t="inlineStr"/>
      <c r="Y546">
        <f>IFERROR(INDEX(Rastreio!$H$2:$H$200,MATCH(X546&amp;"|"&amp;U546,Rastreio!$A$2:$A$200,0)),"")</f>
        <v/>
      </c>
    </row>
    <row r="547">
      <c r="A547">
        <f>IFERROR(INDEX(STAs!$G$2:$G$61,MATCH(P547,STAs!$F$2:$F$61,0))&amp;"","")</f>
        <v/>
      </c>
      <c r="B547" t="n">
        <v>20040440</v>
      </c>
      <c r="C547" t="inlineStr">
        <is>
          <t>Não</t>
        </is>
      </c>
      <c r="D547" t="inlineStr">
        <is>
          <t>PE</t>
        </is>
      </c>
      <c r="E547" t="inlineStr">
        <is>
          <t>NORDESTE</t>
        </is>
      </c>
      <c r="F547" t="inlineStr">
        <is>
          <t>Cliente C - Misturador</t>
        </is>
      </c>
      <c r="G547" t="inlineStr">
        <is>
          <t>Refrigeradores</t>
        </is>
      </c>
      <c r="H547" s="10" t="n">
        <v>190</v>
      </c>
      <c r="I547" s="10">
        <f>IFERROR(T547*H547,0)</f>
        <v/>
      </c>
      <c r="J547" s="11" t="n">
        <v>45998</v>
      </c>
      <c r="K547" s="11" t="n"/>
      <c r="L547" t="inlineStr">
        <is>
          <t>Em transporte</t>
        </is>
      </c>
      <c r="M547">
        <f>IF(L547="","",IFERROR(VLOOKUP(L547,mapGrupoStatus,2,0),"Outros"))</f>
        <v/>
      </c>
      <c r="N547">
        <f>IF(O547="","",IF(O547&lt;=30,"0-30 dias",IF(O547&lt;=60,"31-60 dias",IF(O547&lt;=90,"61-90 dias","Mais de 90 dias"))))</f>
        <v/>
      </c>
      <c r="O547">
        <f>IF(OR(M547="Pendente",M547="Em andamento"),IF(J547="","",TODAY()-J547),"")</f>
        <v/>
      </c>
      <c r="P547" t="n">
        <v>11352</v>
      </c>
      <c r="Q547" t="inlineStr">
        <is>
          <t>Frio Express (11352)</t>
        </is>
      </c>
      <c r="R547" t="inlineStr">
        <is>
          <t>PC-0014</t>
        </is>
      </c>
      <c r="S547" t="inlineStr">
        <is>
          <t>Placa eletrônica modelo 04</t>
        </is>
      </c>
      <c r="T547" t="n">
        <v>1</v>
      </c>
      <c r="U547" t="n">
        <v>177</v>
      </c>
      <c r="V547">
        <f>IF(J547="","",MONTH(J547))</f>
        <v/>
      </c>
      <c r="W547">
        <f>IF(J547="","",YEAR(J547))</f>
        <v/>
      </c>
      <c r="X547" t="inlineStr">
        <is>
          <t>RotaSul</t>
        </is>
      </c>
      <c r="Y547">
        <f>IFERROR(INDEX(Rastreio!$H$2:$H$200,MATCH(X547&amp;"|"&amp;U547,Rastreio!$A$2:$A$200,0)),"")</f>
        <v/>
      </c>
    </row>
    <row r="548">
      <c r="A548">
        <f>IFERROR(INDEX(STAs!$G$2:$G$61,MATCH(P548,STAs!$F$2:$F$61,0))&amp;"","")</f>
        <v/>
      </c>
      <c r="B548" t="n">
        <v>20020501</v>
      </c>
      <c r="C548" t="inlineStr">
        <is>
          <t>Sim</t>
        </is>
      </c>
      <c r="D548" t="inlineStr">
        <is>
          <t>PR</t>
        </is>
      </c>
      <c r="E548" t="inlineStr">
        <is>
          <t>SUL</t>
        </is>
      </c>
      <c r="F548" t="inlineStr">
        <is>
          <t>Cliente C - Misturador</t>
        </is>
      </c>
      <c r="G548" t="inlineStr">
        <is>
          <t>Misturadores</t>
        </is>
      </c>
      <c r="H548" s="10" t="n">
        <v>50</v>
      </c>
      <c r="I548" s="10">
        <f>IFERROR(T548*H548,0)</f>
        <v/>
      </c>
      <c r="J548" s="11" t="n">
        <v>45999</v>
      </c>
      <c r="K548" s="11" t="n">
        <v>46043</v>
      </c>
      <c r="L548" t="inlineStr">
        <is>
          <t>Ok. Devolvida</t>
        </is>
      </c>
      <c r="M548">
        <f>IF(L548="","",IFERROR(VLOOKUP(L548,mapGrupoStatus,2,0),"Outros"))</f>
        <v/>
      </c>
      <c r="N548">
        <f>IF(O548="","",IF(O548&lt;=30,"0-30 dias",IF(O548&lt;=60,"31-60 dias",IF(O548&lt;=90,"61-90 dias","Mais de 90 dias"))))</f>
        <v/>
      </c>
      <c r="O548">
        <f>IF(OR(M548="Pendente",M548="Em andamento"),IF(J548="","",TODAY()-J548),"")</f>
        <v/>
      </c>
      <c r="P548" t="n">
        <v>10913</v>
      </c>
      <c r="Q548" t="inlineStr">
        <is>
          <t>Ice Tech &amp; Cia (10913)</t>
        </is>
      </c>
      <c r="R548" t="inlineStr">
        <is>
          <t>PC-0044</t>
        </is>
      </c>
      <c r="S548" t="inlineStr">
        <is>
          <t>Bico dosador modelo 03</t>
        </is>
      </c>
      <c r="T548" t="n">
        <v>1</v>
      </c>
      <c r="U548" t="n">
        <v>132</v>
      </c>
      <c r="V548">
        <f>IF(J548="","",MONTH(J548))</f>
        <v/>
      </c>
      <c r="W548">
        <f>IF(J548="","",YEAR(J548))</f>
        <v/>
      </c>
      <c r="X548" t="inlineStr">
        <is>
          <t>EntregaJá</t>
        </is>
      </c>
      <c r="Y548">
        <f>IFERROR(INDEX(Rastreio!$H$2:$H$200,MATCH(X548&amp;"|"&amp;U548,Rastreio!$A$2:$A$200,0)),"")</f>
        <v/>
      </c>
    </row>
    <row r="549">
      <c r="A549">
        <f>IFERROR(INDEX(STAs!$G$2:$G$61,MATCH(P549,STAs!$F$2:$F$61,0))&amp;"","")</f>
        <v/>
      </c>
      <c r="B549" t="n">
        <v>20030274</v>
      </c>
      <c r="C549" t="inlineStr">
        <is>
          <t>Não</t>
        </is>
      </c>
      <c r="D549" t="inlineStr">
        <is>
          <t>ES</t>
        </is>
      </c>
      <c r="E549" t="inlineStr">
        <is>
          <t>SUDESTE RJ e ES</t>
        </is>
      </c>
      <c r="F549" t="inlineStr">
        <is>
          <t>Cliente B - Chopeira</t>
        </is>
      </c>
      <c r="G549" t="inlineStr">
        <is>
          <t>Misturadores</t>
        </is>
      </c>
      <c r="H549" s="10" t="n">
        <v>185</v>
      </c>
      <c r="I549" s="10">
        <f>IFERROR(T549*H549,0)</f>
        <v/>
      </c>
      <c r="J549" s="11" t="n">
        <v>45999</v>
      </c>
      <c r="K549" s="11" t="n">
        <v>46056</v>
      </c>
      <c r="L549" t="inlineStr">
        <is>
          <t>Ok. Devolvida</t>
        </is>
      </c>
      <c r="M549">
        <f>IF(L549="","",IFERROR(VLOOKUP(L549,mapGrupoStatus,2,0),"Outros"))</f>
        <v/>
      </c>
      <c r="N549">
        <f>IF(O549="","",IF(O549&lt;=30,"0-30 dias",IF(O549&lt;=60,"31-60 dias",IF(O549&lt;=90,"61-90 dias","Mais de 90 dias"))))</f>
        <v/>
      </c>
      <c r="O549">
        <f>IF(OR(M549="Pendente",M549="Em andamento"),IF(J549="","",TODAY()-J549),"")</f>
        <v/>
      </c>
      <c r="P549" t="n">
        <v>11162</v>
      </c>
      <c r="Q549" t="inlineStr">
        <is>
          <t>Ártico Refrigeração (11162)</t>
        </is>
      </c>
      <c r="R549" t="inlineStr">
        <is>
          <t>PC-0041</t>
        </is>
      </c>
      <c r="S549" t="inlineStr">
        <is>
          <t>Motor agitador modelo 02</t>
        </is>
      </c>
      <c r="T549" t="n">
        <v>1</v>
      </c>
      <c r="U549" t="n">
        <v>154</v>
      </c>
      <c r="V549">
        <f>IF(J549="","",MONTH(J549))</f>
        <v/>
      </c>
      <c r="W549">
        <f>IF(J549="","",YEAR(J549))</f>
        <v/>
      </c>
      <c r="X549" t="inlineStr">
        <is>
          <t>RotaSul</t>
        </is>
      </c>
      <c r="Y549">
        <f>IFERROR(INDEX(Rastreio!$H$2:$H$200,MATCH(X549&amp;"|"&amp;U549,Rastreio!$A$2:$A$200,0)),"")</f>
        <v/>
      </c>
    </row>
    <row r="550">
      <c r="A550">
        <f>IFERROR(INDEX(STAs!$G$2:$G$61,MATCH(P550,STAs!$F$2:$F$61,0))&amp;"","")</f>
        <v/>
      </c>
      <c r="B550" t="n">
        <v>20013744</v>
      </c>
      <c r="C550" t="inlineStr">
        <is>
          <t>Não</t>
        </is>
      </c>
      <c r="D550" t="inlineStr">
        <is>
          <t>RJ</t>
        </is>
      </c>
      <c r="E550" t="inlineStr">
        <is>
          <t>SUDESTE RJ e ES</t>
        </is>
      </c>
      <c r="F550" t="inlineStr">
        <is>
          <t>Cliente A - Refrigerador</t>
        </is>
      </c>
      <c r="G550" t="inlineStr">
        <is>
          <t>Misturadores</t>
        </is>
      </c>
      <c r="H550" s="10" t="n">
        <v>60</v>
      </c>
      <c r="I550" s="10">
        <f>IFERROR(T550*H550,0)</f>
        <v/>
      </c>
      <c r="J550" s="11" t="n">
        <v>46000</v>
      </c>
      <c r="K550" s="11" t="n">
        <v>46006</v>
      </c>
      <c r="L550" t="inlineStr">
        <is>
          <t>Ok. Devolvida</t>
        </is>
      </c>
      <c r="M550">
        <f>IF(L550="","",IFERROR(VLOOKUP(L550,mapGrupoStatus,2,0),"Outros"))</f>
        <v/>
      </c>
      <c r="N550">
        <f>IF(O550="","",IF(O550&lt;=30,"0-30 dias",IF(O550&lt;=60,"31-60 dias",IF(O550&lt;=90,"61-90 dias","Mais de 90 dias"))))</f>
        <v/>
      </c>
      <c r="O550">
        <f>IF(OR(M550="Pendente",M550="Em andamento"),IF(J550="","",TODAY()-J550),"")</f>
        <v/>
      </c>
      <c r="P550" t="n">
        <v>10676</v>
      </c>
      <c r="Q550" t="inlineStr">
        <is>
          <t>Clima Serviços (10676)</t>
        </is>
      </c>
      <c r="R550" t="inlineStr">
        <is>
          <t>PC-0046</t>
        </is>
      </c>
      <c r="S550" t="inlineStr">
        <is>
          <t>Sensor de nível modelo 02</t>
        </is>
      </c>
      <c r="T550" t="n">
        <v>1</v>
      </c>
      <c r="U550" t="n">
        <v>121</v>
      </c>
      <c r="V550">
        <f>IF(J550="","",MONTH(J550))</f>
        <v/>
      </c>
      <c r="W550">
        <f>IF(J550="","",YEAR(J550))</f>
        <v/>
      </c>
      <c r="X550" t="inlineStr">
        <is>
          <t>RotaSul</t>
        </is>
      </c>
      <c r="Y550">
        <f>IFERROR(INDEX(Rastreio!$H$2:$H$200,MATCH(X550&amp;"|"&amp;U550,Rastreio!$A$2:$A$200,0)),"")</f>
        <v/>
      </c>
    </row>
    <row r="551">
      <c r="A551">
        <f>IFERROR(INDEX(STAs!$G$2:$G$61,MATCH(P551,STAs!$F$2:$F$61,0))&amp;"","")</f>
        <v/>
      </c>
      <c r="B551" t="n">
        <v>20014958</v>
      </c>
      <c r="C551" t="inlineStr">
        <is>
          <t>Não</t>
        </is>
      </c>
      <c r="D551" t="inlineStr">
        <is>
          <t>MG</t>
        </is>
      </c>
      <c r="E551" t="inlineStr">
        <is>
          <t>SUDESTE MG</t>
        </is>
      </c>
      <c r="F551" t="inlineStr">
        <is>
          <t>Cliente B - Chopeira</t>
        </is>
      </c>
      <c r="G551" t="inlineStr">
        <is>
          <t>Misturadores</t>
        </is>
      </c>
      <c r="H551" s="10" t="n">
        <v>50</v>
      </c>
      <c r="I551" s="10">
        <f>IFERROR(T551*H551,0)</f>
        <v/>
      </c>
      <c r="J551" s="11" t="n">
        <v>46000</v>
      </c>
      <c r="K551" s="11" t="n">
        <v>46048</v>
      </c>
      <c r="L551" t="inlineStr">
        <is>
          <t>Ok. Devolvida</t>
        </is>
      </c>
      <c r="M551">
        <f>IF(L551="","",IFERROR(VLOOKUP(L551,mapGrupoStatus,2,0),"Outros"))</f>
        <v/>
      </c>
      <c r="N551">
        <f>IF(O551="","",IF(O551&lt;=30,"0-30 dias",IF(O551&lt;=60,"31-60 dias",IF(O551&lt;=90,"61-90 dias","Mais de 90 dias"))))</f>
        <v/>
      </c>
      <c r="O551">
        <f>IF(OR(M551="Pendente",M551="Em andamento"),IF(J551="","",TODAY()-J551),"")</f>
        <v/>
      </c>
      <c r="P551" t="n">
        <v>12158</v>
      </c>
      <c r="Q551" t="inlineStr">
        <is>
          <t>Gelo Serviços (12158)</t>
        </is>
      </c>
      <c r="R551" t="inlineStr">
        <is>
          <t>PC-0044</t>
        </is>
      </c>
      <c r="S551" t="inlineStr">
        <is>
          <t>Bico dosador modelo 03</t>
        </is>
      </c>
      <c r="T551" t="n">
        <v>1</v>
      </c>
      <c r="U551" t="n">
        <v>125</v>
      </c>
      <c r="V551">
        <f>IF(J551="","",MONTH(J551))</f>
        <v/>
      </c>
      <c r="W551">
        <f>IF(J551="","",YEAR(J551))</f>
        <v/>
      </c>
      <c r="X551" t="inlineStr">
        <is>
          <t>EntregaJá</t>
        </is>
      </c>
      <c r="Y551">
        <f>IFERROR(INDEX(Rastreio!$H$2:$H$200,MATCH(X551&amp;"|"&amp;U551,Rastreio!$A$2:$A$200,0)),"")</f>
        <v/>
      </c>
    </row>
    <row r="552">
      <c r="A552">
        <f>IFERROR(INDEX(STAs!$G$2:$G$61,MATCH(P552,STAs!$F$2:$F$61,0))&amp;"","")</f>
        <v/>
      </c>
      <c r="B552" t="n">
        <v>20035694</v>
      </c>
      <c r="C552" t="inlineStr">
        <is>
          <t>Não</t>
        </is>
      </c>
      <c r="D552" t="inlineStr">
        <is>
          <t>SC</t>
        </is>
      </c>
      <c r="E552" t="inlineStr">
        <is>
          <t>SUL</t>
        </is>
      </c>
      <c r="F552" t="inlineStr">
        <is>
          <t>Cliente C - Misturador</t>
        </is>
      </c>
      <c r="G552" t="inlineStr">
        <is>
          <t>Refrigeradores</t>
        </is>
      </c>
      <c r="H552" s="10" t="n">
        <v>185</v>
      </c>
      <c r="I552" s="10">
        <f>IFERROR(T552*H552,0)</f>
        <v/>
      </c>
      <c r="J552" s="11" t="n">
        <v>46000</v>
      </c>
      <c r="K552" s="11" t="n"/>
      <c r="L552" t="inlineStr">
        <is>
          <t>Debitar do STA</t>
        </is>
      </c>
      <c r="M552">
        <f>IF(L552="","",IFERROR(VLOOKUP(L552,mapGrupoStatus,2,0),"Outros"))</f>
        <v/>
      </c>
      <c r="N552">
        <f>IF(O552="","",IF(O552&lt;=30,"0-30 dias",IF(O552&lt;=60,"31-60 dias",IF(O552&lt;=90,"61-90 dias","Mais de 90 dias"))))</f>
        <v/>
      </c>
      <c r="O552">
        <f>IF(OR(M552="Pendente",M552="Em andamento"),IF(J552="","",TODAY()-J552),"")</f>
        <v/>
      </c>
      <c r="P552" t="n">
        <v>12138</v>
      </c>
      <c r="Q552" t="inlineStr">
        <is>
          <t>Refrigeração Serviços (12138)</t>
        </is>
      </c>
      <c r="R552" t="inlineStr">
        <is>
          <t>PC-0013</t>
        </is>
      </c>
      <c r="S552" t="inlineStr">
        <is>
          <t>Placa eletrônica modelo 03</t>
        </is>
      </c>
      <c r="T552" t="n">
        <v>1</v>
      </c>
      <c r="U552" t="inlineStr"/>
      <c r="V552">
        <f>IF(J552="","",MONTH(J552))</f>
        <v/>
      </c>
      <c r="W552">
        <f>IF(J552="","",YEAR(J552))</f>
        <v/>
      </c>
      <c r="X552" t="inlineStr"/>
      <c r="Y552">
        <f>IFERROR(INDEX(Rastreio!$H$2:$H$200,MATCH(X552&amp;"|"&amp;U552,Rastreio!$A$2:$A$200,0)),"")</f>
        <v/>
      </c>
    </row>
    <row r="553">
      <c r="A553">
        <f>IFERROR(INDEX(STAs!$G$2:$G$61,MATCH(P553,STAs!$F$2:$F$61,0))&amp;"","")</f>
        <v/>
      </c>
      <c r="B553" t="n">
        <v>20036820</v>
      </c>
      <c r="C553" t="inlineStr">
        <is>
          <t>Não</t>
        </is>
      </c>
      <c r="D553" t="inlineStr">
        <is>
          <t>TO</t>
        </is>
      </c>
      <c r="E553" t="inlineStr">
        <is>
          <t>NORTE</t>
        </is>
      </c>
      <c r="F553" t="inlineStr">
        <is>
          <t>Cliente A - Refrigerador</t>
        </is>
      </c>
      <c r="G553" t="inlineStr">
        <is>
          <t>Misturadores</t>
        </is>
      </c>
      <c r="H553" s="10" t="n">
        <v>50</v>
      </c>
      <c r="I553" s="10">
        <f>IFERROR(T553*H553,0)</f>
        <v/>
      </c>
      <c r="J553" s="11" t="n">
        <v>46000</v>
      </c>
      <c r="K553" s="11" t="n">
        <v>46020</v>
      </c>
      <c r="L553" t="inlineStr">
        <is>
          <t>Ok. Devolvida</t>
        </is>
      </c>
      <c r="M553">
        <f>IF(L553="","",IFERROR(VLOOKUP(L553,mapGrupoStatus,2,0),"Outros"))</f>
        <v/>
      </c>
      <c r="N553">
        <f>IF(O553="","",IF(O553&lt;=30,"0-30 dias",IF(O553&lt;=60,"31-60 dias",IF(O553&lt;=90,"61-90 dias","Mais de 90 dias"))))</f>
        <v/>
      </c>
      <c r="O553">
        <f>IF(OR(M553="Pendente",M553="Em andamento"),IF(J553="","",TODAY()-J553),"")</f>
        <v/>
      </c>
      <c r="P553" t="n">
        <v>10939</v>
      </c>
      <c r="Q553" t="inlineStr">
        <is>
          <t>Zero Grau Manutenção (10939)</t>
        </is>
      </c>
      <c r="R553" t="inlineStr">
        <is>
          <t>PC-0047</t>
        </is>
      </c>
      <c r="S553" t="inlineStr">
        <is>
          <t>Sensor de nível modelo 03</t>
        </is>
      </c>
      <c r="T553" t="n">
        <v>1</v>
      </c>
      <c r="U553" t="n">
        <v>167</v>
      </c>
      <c r="V553">
        <f>IF(J553="","",MONTH(J553))</f>
        <v/>
      </c>
      <c r="W553">
        <f>IF(J553="","",YEAR(J553))</f>
        <v/>
      </c>
      <c r="X553" t="inlineStr">
        <is>
          <t>RotaSul</t>
        </is>
      </c>
      <c r="Y553">
        <f>IFERROR(INDEX(Rastreio!$H$2:$H$200,MATCH(X553&amp;"|"&amp;U553,Rastreio!$A$2:$A$200,0)),"")</f>
        <v/>
      </c>
    </row>
    <row r="554">
      <c r="A554">
        <f>IFERROR(INDEX(STAs!$G$2:$G$61,MATCH(P554,STAs!$F$2:$F$61,0))&amp;"","")</f>
        <v/>
      </c>
      <c r="B554" t="n">
        <v>20039527</v>
      </c>
      <c r="C554" t="inlineStr">
        <is>
          <t>Não</t>
        </is>
      </c>
      <c r="D554" t="inlineStr">
        <is>
          <t>PI</t>
        </is>
      </c>
      <c r="E554" t="inlineStr">
        <is>
          <t>NORDESTE</t>
        </is>
      </c>
      <c r="F554" t="inlineStr">
        <is>
          <t>Cliente C - Misturador</t>
        </is>
      </c>
      <c r="G554" t="inlineStr">
        <is>
          <t>Chopeiras</t>
        </is>
      </c>
      <c r="H554" s="10" t="n">
        <v>100</v>
      </c>
      <c r="I554" s="10">
        <f>IFERROR(T554*H554,0)</f>
        <v/>
      </c>
      <c r="J554" s="11" t="n">
        <v>46000</v>
      </c>
      <c r="K554" s="11" t="n">
        <v>46057</v>
      </c>
      <c r="L554" t="inlineStr">
        <is>
          <t>Ok. Devolvida</t>
        </is>
      </c>
      <c r="M554">
        <f>IF(L554="","",IFERROR(VLOOKUP(L554,mapGrupoStatus,2,0),"Outros"))</f>
        <v/>
      </c>
      <c r="N554">
        <f>IF(O554="","",IF(O554&lt;=30,"0-30 dias",IF(O554&lt;=60,"31-60 dias",IF(O554&lt;=90,"61-90 dias","Mais de 90 dias"))))</f>
        <v/>
      </c>
      <c r="O554">
        <f>IF(OR(M554="Pendente",M554="Em andamento"),IF(J554="","",TODAY()-J554),"")</f>
        <v/>
      </c>
      <c r="P554" t="n">
        <v>10562</v>
      </c>
      <c r="Q554" t="inlineStr">
        <is>
          <t>Clima &amp; Cia (10562)</t>
        </is>
      </c>
      <c r="R554" t="inlineStr">
        <is>
          <t>PC-0027</t>
        </is>
      </c>
      <c r="S554" t="inlineStr">
        <is>
          <t>Torneira de chopp modelo 02</t>
        </is>
      </c>
      <c r="T554" t="n">
        <v>1</v>
      </c>
      <c r="U554" t="n">
        <v>169</v>
      </c>
      <c r="V554">
        <f>IF(J554="","",MONTH(J554))</f>
        <v/>
      </c>
      <c r="W554">
        <f>IF(J554="","",YEAR(J554))</f>
        <v/>
      </c>
      <c r="X554" t="inlineStr">
        <is>
          <t>TransNorte</t>
        </is>
      </c>
      <c r="Y554">
        <f>IFERROR(INDEX(Rastreio!$H$2:$H$200,MATCH(X554&amp;"|"&amp;U554,Rastreio!$A$2:$A$200,0)),"")</f>
        <v/>
      </c>
    </row>
    <row r="555">
      <c r="A555">
        <f>IFERROR(INDEX(STAs!$G$2:$G$61,MATCH(P555,STAs!$F$2:$F$61,0))&amp;"","")</f>
        <v/>
      </c>
      <c r="B555" t="n">
        <v>20007117</v>
      </c>
      <c r="C555" t="inlineStr">
        <is>
          <t>Não</t>
        </is>
      </c>
      <c r="D555" t="inlineStr">
        <is>
          <t>RO</t>
        </is>
      </c>
      <c r="E555" t="inlineStr">
        <is>
          <t>NORTE</t>
        </is>
      </c>
      <c r="F555" t="inlineStr">
        <is>
          <t>Cliente C - Misturador</t>
        </is>
      </c>
      <c r="G555" t="inlineStr">
        <is>
          <t>Refrigeradores</t>
        </is>
      </c>
      <c r="H555" s="10" t="n">
        <v>25</v>
      </c>
      <c r="I555" s="10">
        <f>IFERROR(T555*H555,0)</f>
        <v/>
      </c>
      <c r="J555" s="11" t="n">
        <v>46002</v>
      </c>
      <c r="K555" s="11" t="n"/>
      <c r="L555" t="inlineStr">
        <is>
          <t>Não Devolve-Norte</t>
        </is>
      </c>
      <c r="M555">
        <f>IF(L555="","",IFERROR(VLOOKUP(L555,mapGrupoStatus,2,0),"Outros"))</f>
        <v/>
      </c>
      <c r="N555">
        <f>IF(O555="","",IF(O555&lt;=30,"0-30 dias",IF(O555&lt;=60,"31-60 dias",IF(O555&lt;=90,"61-90 dias","Mais de 90 dias"))))</f>
        <v/>
      </c>
      <c r="O555">
        <f>IF(OR(M555="Pendente",M555="Em andamento"),IF(J555="","",TODAY()-J555),"")</f>
        <v/>
      </c>
      <c r="P555" t="n">
        <v>10172</v>
      </c>
      <c r="Q555" t="inlineStr">
        <is>
          <t>Frigo Serviços (10172)</t>
        </is>
      </c>
      <c r="R555" t="inlineStr">
        <is>
          <t>PC-0015</t>
        </is>
      </c>
      <c r="S555" t="inlineStr">
        <is>
          <t>Filtro secador modelo 01</t>
        </is>
      </c>
      <c r="T555" t="n">
        <v>2</v>
      </c>
      <c r="U555" t="inlineStr"/>
      <c r="V555">
        <f>IF(J555="","",MONTH(J555))</f>
        <v/>
      </c>
      <c r="W555">
        <f>IF(J555="","",YEAR(J555))</f>
        <v/>
      </c>
      <c r="X555" t="inlineStr"/>
      <c r="Y555">
        <f>IFERROR(INDEX(Rastreio!$H$2:$H$200,MATCH(X555&amp;"|"&amp;U555,Rastreio!$A$2:$A$200,0)),"")</f>
        <v/>
      </c>
    </row>
    <row r="556">
      <c r="A556">
        <f>IFERROR(INDEX(STAs!$G$2:$G$61,MATCH(P556,STAs!$F$2:$F$61,0))&amp;"","")</f>
        <v/>
      </c>
      <c r="B556" t="n">
        <v>20022347</v>
      </c>
      <c r="C556" t="inlineStr">
        <is>
          <t>Não</t>
        </is>
      </c>
      <c r="D556" t="inlineStr">
        <is>
          <t>MG</t>
        </is>
      </c>
      <c r="E556" t="inlineStr">
        <is>
          <t>SUDESTE MG</t>
        </is>
      </c>
      <c r="F556" t="inlineStr">
        <is>
          <t>Cliente B - Chopeira</t>
        </is>
      </c>
      <c r="G556" t="inlineStr">
        <is>
          <t>Refrigeradores</t>
        </is>
      </c>
      <c r="H556" s="10" t="n">
        <v>35</v>
      </c>
      <c r="I556" s="10">
        <f>IFERROR(T556*H556,0)</f>
        <v/>
      </c>
      <c r="J556" s="11" t="n">
        <v>46002</v>
      </c>
      <c r="K556" s="11" t="n">
        <v>46018</v>
      </c>
      <c r="L556" t="inlineStr">
        <is>
          <t>Ok. Devolvida</t>
        </is>
      </c>
      <c r="M556">
        <f>IF(L556="","",IFERROR(VLOOKUP(L556,mapGrupoStatus,2,0),"Outros"))</f>
        <v/>
      </c>
      <c r="N556">
        <f>IF(O556="","",IF(O556&lt;=30,"0-30 dias",IF(O556&lt;=60,"31-60 dias",IF(O556&lt;=90,"61-90 dias","Mais de 90 dias"))))</f>
        <v/>
      </c>
      <c r="O556">
        <f>IF(OR(M556="Pendente",M556="Em andamento"),IF(J556="","",TODAY()-J556),"")</f>
        <v/>
      </c>
      <c r="P556" t="n">
        <v>11487</v>
      </c>
      <c r="Q556" t="inlineStr">
        <is>
          <t>Assistência Técnica Manutenção (11487)</t>
        </is>
      </c>
      <c r="R556" t="inlineStr">
        <is>
          <t>PC-0020</t>
        </is>
      </c>
      <c r="S556" t="inlineStr">
        <is>
          <t>Gaxeta da porta modelo 03</t>
        </is>
      </c>
      <c r="T556" t="n">
        <v>1</v>
      </c>
      <c r="U556" t="n">
        <v>140</v>
      </c>
      <c r="V556">
        <f>IF(J556="","",MONTH(J556))</f>
        <v/>
      </c>
      <c r="W556">
        <f>IF(J556="","",YEAR(J556))</f>
        <v/>
      </c>
      <c r="X556" t="inlineStr">
        <is>
          <t>CargoMax</t>
        </is>
      </c>
      <c r="Y556">
        <f>IFERROR(INDEX(Rastreio!$H$2:$H$200,MATCH(X556&amp;"|"&amp;U556,Rastreio!$A$2:$A$200,0)),"")</f>
        <v/>
      </c>
    </row>
    <row r="557">
      <c r="A557">
        <f>IFERROR(INDEX(STAs!$G$2:$G$61,MATCH(P557,STAs!$F$2:$F$61,0))&amp;"","")</f>
        <v/>
      </c>
      <c r="B557" t="n">
        <v>20030147</v>
      </c>
      <c r="C557" t="inlineStr">
        <is>
          <t>Não</t>
        </is>
      </c>
      <c r="D557" t="inlineStr">
        <is>
          <t>BA</t>
        </is>
      </c>
      <c r="E557" t="inlineStr">
        <is>
          <t>NORDESTE</t>
        </is>
      </c>
      <c r="F557" t="inlineStr">
        <is>
          <t>Cliente B - Chopeira</t>
        </is>
      </c>
      <c r="G557" t="inlineStr">
        <is>
          <t>Refrigeradores</t>
        </is>
      </c>
      <c r="H557" s="10" t="n">
        <v>55</v>
      </c>
      <c r="I557" s="10">
        <f>IFERROR(T557*H557,0)</f>
        <v/>
      </c>
      <c r="J557" s="11" t="n">
        <v>46002</v>
      </c>
      <c r="K557" s="11" t="n">
        <v>46014</v>
      </c>
      <c r="L557" t="inlineStr">
        <is>
          <t>Ok. Devolvida</t>
        </is>
      </c>
      <c r="M557">
        <f>IF(L557="","",IFERROR(VLOOKUP(L557,mapGrupoStatus,2,0),"Outros"))</f>
        <v/>
      </c>
      <c r="N557">
        <f>IF(O557="","",IF(O557&lt;=30,"0-30 dias",IF(O557&lt;=60,"31-60 dias",IF(O557&lt;=90,"61-90 dias","Mais de 90 dias"))))</f>
        <v/>
      </c>
      <c r="O557">
        <f>IF(OR(M557="Pendente",M557="Em andamento"),IF(J557="","",TODAY()-J557),"")</f>
        <v/>
      </c>
      <c r="P557" t="n">
        <v>12194</v>
      </c>
      <c r="Q557" t="inlineStr">
        <is>
          <t>Polar &amp; Cia (12194)</t>
        </is>
      </c>
      <c r="R557" t="inlineStr">
        <is>
          <t>PC-0008</t>
        </is>
      </c>
      <c r="S557" t="inlineStr">
        <is>
          <t>Ventilador modelo 02</t>
        </is>
      </c>
      <c r="T557" t="n">
        <v>1</v>
      </c>
      <c r="U557" t="n">
        <v>158</v>
      </c>
      <c r="V557">
        <f>IF(J557="","",MONTH(J557))</f>
        <v/>
      </c>
      <c r="W557">
        <f>IF(J557="","",YEAR(J557))</f>
        <v/>
      </c>
      <c r="X557" t="inlineStr">
        <is>
          <t>LogExpress</t>
        </is>
      </c>
      <c r="Y557">
        <f>IFERROR(INDEX(Rastreio!$H$2:$H$200,MATCH(X557&amp;"|"&amp;U557,Rastreio!$A$2:$A$200,0)),"")</f>
        <v/>
      </c>
    </row>
    <row r="558">
      <c r="A558">
        <f>IFERROR(INDEX(STAs!$G$2:$G$61,MATCH(P558,STAs!$F$2:$F$61,0))&amp;"","")</f>
        <v/>
      </c>
      <c r="B558" t="n">
        <v>20036882</v>
      </c>
      <c r="C558" t="inlineStr">
        <is>
          <t>Sim</t>
        </is>
      </c>
      <c r="D558" t="inlineStr">
        <is>
          <t>PR</t>
        </is>
      </c>
      <c r="E558" t="inlineStr">
        <is>
          <t>SUL</t>
        </is>
      </c>
      <c r="F558" t="inlineStr">
        <is>
          <t>Cliente C - Misturador</t>
        </is>
      </c>
      <c r="G558" t="inlineStr">
        <is>
          <t>Chopeiras</t>
        </is>
      </c>
      <c r="H558" s="10" t="n">
        <v>215</v>
      </c>
      <c r="I558" s="10">
        <f>IFERROR(T558*H558,0)</f>
        <v/>
      </c>
      <c r="J558" s="11" t="n">
        <v>46002</v>
      </c>
      <c r="K558" s="11" t="n"/>
      <c r="L558" t="inlineStr">
        <is>
          <t>Aguardando Transporte</t>
        </is>
      </c>
      <c r="M558">
        <f>IF(L558="","",IFERROR(VLOOKUP(L558,mapGrupoStatus,2,0),"Outros"))</f>
        <v/>
      </c>
      <c r="N558">
        <f>IF(O558="","",IF(O558&lt;=30,"0-30 dias",IF(O558&lt;=60,"31-60 dias",IF(O558&lt;=90,"61-90 dias","Mais de 90 dias"))))</f>
        <v/>
      </c>
      <c r="O558">
        <f>IF(OR(M558="Pendente",M558="Em andamento"),IF(J558="","",TODAY()-J558),"")</f>
        <v/>
      </c>
      <c r="P558" t="n">
        <v>10913</v>
      </c>
      <c r="Q558" t="inlineStr">
        <is>
          <t>Ice Tech &amp; Cia (10913)</t>
        </is>
      </c>
      <c r="R558" t="inlineStr">
        <is>
          <t>PC-0030</t>
        </is>
      </c>
      <c r="S558" t="inlineStr">
        <is>
          <t>Serpentina modelo 02</t>
        </is>
      </c>
      <c r="T558" t="n">
        <v>1</v>
      </c>
      <c r="U558" t="n">
        <v>169</v>
      </c>
      <c r="V558">
        <f>IF(J558="","",MONTH(J558))</f>
        <v/>
      </c>
      <c r="W558">
        <f>IF(J558="","",YEAR(J558))</f>
        <v/>
      </c>
      <c r="X558" t="inlineStr">
        <is>
          <t>RotaSul</t>
        </is>
      </c>
      <c r="Y558">
        <f>IFERROR(INDEX(Rastreio!$H$2:$H$200,MATCH(X558&amp;"|"&amp;U558,Rastreio!$A$2:$A$200,0)),"")</f>
        <v/>
      </c>
    </row>
    <row r="559">
      <c r="A559">
        <f>IFERROR(INDEX(STAs!$G$2:$G$61,MATCH(P559,STAs!$F$2:$F$61,0))&amp;"","")</f>
        <v/>
      </c>
      <c r="B559" t="n">
        <v>20008165</v>
      </c>
      <c r="C559" t="inlineStr">
        <is>
          <t>Não</t>
        </is>
      </c>
      <c r="D559" t="inlineStr">
        <is>
          <t>DF</t>
        </is>
      </c>
      <c r="E559" t="inlineStr">
        <is>
          <t>CENTRO OESTE</t>
        </is>
      </c>
      <c r="F559" t="inlineStr">
        <is>
          <t>Cliente A - Refrigerador</t>
        </is>
      </c>
      <c r="G559" t="inlineStr">
        <is>
          <t>Refrigeradores</t>
        </is>
      </c>
      <c r="H559" s="10" t="n">
        <v>175</v>
      </c>
      <c r="I559" s="10">
        <f>IFERROR(T559*H559,0)</f>
        <v/>
      </c>
      <c r="J559" s="11" t="n">
        <v>46003</v>
      </c>
      <c r="K559" s="11" t="n"/>
      <c r="L559" t="inlineStr">
        <is>
          <t>Aguardando devolução</t>
        </is>
      </c>
      <c r="M559">
        <f>IF(L559="","",IFERROR(VLOOKUP(L559,mapGrupoStatus,2,0),"Outros"))</f>
        <v/>
      </c>
      <c r="N559">
        <f>IF(O559="","",IF(O559&lt;=30,"0-30 dias",IF(O559&lt;=60,"31-60 dias",IF(O559&lt;=90,"61-90 dias","Mais de 90 dias"))))</f>
        <v/>
      </c>
      <c r="O559">
        <f>IF(OR(M559="Pendente",M559="Em andamento"),IF(J559="","",TODAY()-J559),"")</f>
        <v/>
      </c>
      <c r="P559" t="n">
        <v>10021</v>
      </c>
      <c r="Q559" t="inlineStr">
        <is>
          <t>Termotec Técnica (10021)</t>
        </is>
      </c>
      <c r="R559" t="inlineStr">
        <is>
          <t>PC-0012</t>
        </is>
      </c>
      <c r="S559" t="inlineStr">
        <is>
          <t>Placa eletrônica modelo 02</t>
        </is>
      </c>
      <c r="T559" t="n">
        <v>1</v>
      </c>
      <c r="U559" t="inlineStr"/>
      <c r="V559">
        <f>IF(J559="","",MONTH(J559))</f>
        <v/>
      </c>
      <c r="W559">
        <f>IF(J559="","",YEAR(J559))</f>
        <v/>
      </c>
      <c r="X559" t="inlineStr"/>
      <c r="Y559">
        <f>IFERROR(INDEX(Rastreio!$H$2:$H$200,MATCH(X559&amp;"|"&amp;U559,Rastreio!$A$2:$A$200,0)),"")</f>
        <v/>
      </c>
    </row>
    <row r="560">
      <c r="A560">
        <f>IFERROR(INDEX(STAs!$G$2:$G$61,MATCH(P560,STAs!$F$2:$F$61,0))&amp;"","")</f>
        <v/>
      </c>
      <c r="B560" t="n">
        <v>20011005</v>
      </c>
      <c r="C560" t="inlineStr">
        <is>
          <t>Não</t>
        </is>
      </c>
      <c r="D560" t="inlineStr">
        <is>
          <t>PE</t>
        </is>
      </c>
      <c r="E560" t="inlineStr">
        <is>
          <t>NORDESTE</t>
        </is>
      </c>
      <c r="F560" t="inlineStr">
        <is>
          <t>Cliente A - Refrigerador</t>
        </is>
      </c>
      <c r="G560" t="inlineStr">
        <is>
          <t>Chopeiras</t>
        </is>
      </c>
      <c r="H560" s="10" t="n">
        <v>85</v>
      </c>
      <c r="I560" s="10">
        <f>IFERROR(T560*H560,0)</f>
        <v/>
      </c>
      <c r="J560" s="11" t="n">
        <v>46003</v>
      </c>
      <c r="K560" s="11" t="n">
        <v>46055</v>
      </c>
      <c r="L560" t="inlineStr">
        <is>
          <t>Ok. Devolvida</t>
        </is>
      </c>
      <c r="M560">
        <f>IF(L560="","",IFERROR(VLOOKUP(L560,mapGrupoStatus,2,0),"Outros"))</f>
        <v/>
      </c>
      <c r="N560">
        <f>IF(O560="","",IF(O560&lt;=30,"0-30 dias",IF(O560&lt;=60,"31-60 dias",IF(O560&lt;=90,"61-90 dias","Mais de 90 dias"))))</f>
        <v/>
      </c>
      <c r="O560">
        <f>IF(OR(M560="Pendente",M560="Em andamento"),IF(J560="","",TODAY()-J560),"")</f>
        <v/>
      </c>
      <c r="P560" t="n">
        <v>11352</v>
      </c>
      <c r="Q560" t="inlineStr">
        <is>
          <t>Frio Express (11352)</t>
        </is>
      </c>
      <c r="R560" t="inlineStr">
        <is>
          <t>PC-0026</t>
        </is>
      </c>
      <c r="S560" t="inlineStr">
        <is>
          <t>Torneira de chopp modelo 01</t>
        </is>
      </c>
      <c r="T560" t="n">
        <v>1</v>
      </c>
      <c r="U560" t="n">
        <v>122</v>
      </c>
      <c r="V560">
        <f>IF(J560="","",MONTH(J560))</f>
        <v/>
      </c>
      <c r="W560">
        <f>IF(J560="","",YEAR(J560))</f>
        <v/>
      </c>
      <c r="X560" t="inlineStr">
        <is>
          <t>EntregaJá</t>
        </is>
      </c>
      <c r="Y560">
        <f>IFERROR(INDEX(Rastreio!$H$2:$H$200,MATCH(X560&amp;"|"&amp;U560,Rastreio!$A$2:$A$200,0)),"")</f>
        <v/>
      </c>
    </row>
    <row r="561">
      <c r="A561">
        <f>IFERROR(INDEX(STAs!$G$2:$G$61,MATCH(P561,STAs!$F$2:$F$61,0))&amp;"","")</f>
        <v/>
      </c>
      <c r="B561" t="n">
        <v>20024273</v>
      </c>
      <c r="C561" t="inlineStr">
        <is>
          <t>Não</t>
        </is>
      </c>
      <c r="D561" t="inlineStr">
        <is>
          <t>ES</t>
        </is>
      </c>
      <c r="E561" t="inlineStr">
        <is>
          <t>SUDESTE RJ e ES</t>
        </is>
      </c>
      <c r="F561" t="inlineStr">
        <is>
          <t>Cliente B - Chopeira</t>
        </is>
      </c>
      <c r="G561" t="inlineStr">
        <is>
          <t>Refrigeradores</t>
        </is>
      </c>
      <c r="H561" s="10" t="n">
        <v>315</v>
      </c>
      <c r="I561" s="10">
        <f>IFERROR(T561*H561,0)</f>
        <v/>
      </c>
      <c r="J561" s="11" t="n">
        <v>46003</v>
      </c>
      <c r="K561" s="11" t="n">
        <v>46011</v>
      </c>
      <c r="L561" t="inlineStr">
        <is>
          <t>Ok. Devolvida</t>
        </is>
      </c>
      <c r="M561">
        <f>IF(L561="","",IFERROR(VLOOKUP(L561,mapGrupoStatus,2,0),"Outros"))</f>
        <v/>
      </c>
      <c r="N561">
        <f>IF(O561="","",IF(O561&lt;=30,"0-30 dias",IF(O561&lt;=60,"31-60 dias",IF(O561&lt;=90,"61-90 dias","Mais de 90 dias"))))</f>
        <v/>
      </c>
      <c r="O561">
        <f>IF(OR(M561="Pendente",M561="Em andamento"),IF(J561="","",TODAY()-J561),"")</f>
        <v/>
      </c>
      <c r="P561" t="n">
        <v>11396</v>
      </c>
      <c r="Q561" t="inlineStr">
        <is>
          <t>Frio Manutenção (11396)</t>
        </is>
      </c>
      <c r="R561" t="inlineStr">
        <is>
          <t>PC-0002</t>
        </is>
      </c>
      <c r="S561" t="inlineStr">
        <is>
          <t>Compressor modelo 02</t>
        </is>
      </c>
      <c r="T561" t="n">
        <v>1</v>
      </c>
      <c r="U561" t="n">
        <v>140</v>
      </c>
      <c r="V561">
        <f>IF(J561="","",MONTH(J561))</f>
        <v/>
      </c>
      <c r="W561">
        <f>IF(J561="","",YEAR(J561))</f>
        <v/>
      </c>
      <c r="X561" t="inlineStr">
        <is>
          <t>RotaSul</t>
        </is>
      </c>
      <c r="Y561">
        <f>IFERROR(INDEX(Rastreio!$H$2:$H$200,MATCH(X561&amp;"|"&amp;U561,Rastreio!$A$2:$A$200,0)),"")</f>
        <v/>
      </c>
    </row>
    <row r="562">
      <c r="A562">
        <f>IFERROR(INDEX(STAs!$G$2:$G$61,MATCH(P562,STAs!$F$2:$F$61,0))&amp;"","")</f>
        <v/>
      </c>
      <c r="B562" t="n">
        <v>20036184</v>
      </c>
      <c r="C562" t="inlineStr">
        <is>
          <t>Não</t>
        </is>
      </c>
      <c r="D562" t="inlineStr">
        <is>
          <t>RO</t>
        </is>
      </c>
      <c r="E562" t="inlineStr">
        <is>
          <t>NORTE</t>
        </is>
      </c>
      <c r="F562" t="inlineStr">
        <is>
          <t>Cliente A - Refrigerador</t>
        </is>
      </c>
      <c r="G562" t="inlineStr">
        <is>
          <t>Misturadores</t>
        </is>
      </c>
      <c r="H562" s="10" t="n">
        <v>60</v>
      </c>
      <c r="I562" s="10">
        <f>IFERROR(T562*H562,0)</f>
        <v/>
      </c>
      <c r="J562" s="11" t="n">
        <v>46003</v>
      </c>
      <c r="K562" s="11" t="n"/>
      <c r="L562" t="inlineStr">
        <is>
          <t>Debitar do STA</t>
        </is>
      </c>
      <c r="M562">
        <f>IF(L562="","",IFERROR(VLOOKUP(L562,mapGrupoStatus,2,0),"Outros"))</f>
        <v/>
      </c>
      <c r="N562">
        <f>IF(O562="","",IF(O562&lt;=30,"0-30 dias",IF(O562&lt;=60,"31-60 dias",IF(O562&lt;=90,"61-90 dias","Mais de 90 dias"))))</f>
        <v/>
      </c>
      <c r="O562">
        <f>IF(OR(M562="Pendente",M562="Em andamento"),IF(J562="","",TODAY()-J562),"")</f>
        <v/>
      </c>
      <c r="P562" t="n">
        <v>10172</v>
      </c>
      <c r="Q562" t="inlineStr">
        <is>
          <t>Frigo Serviços (10172)</t>
        </is>
      </c>
      <c r="R562" t="inlineStr">
        <is>
          <t>PC-0046</t>
        </is>
      </c>
      <c r="S562" t="inlineStr">
        <is>
          <t>Sensor de nível modelo 02</t>
        </is>
      </c>
      <c r="T562" t="n">
        <v>1</v>
      </c>
      <c r="U562" t="inlineStr"/>
      <c r="V562">
        <f>IF(J562="","",MONTH(J562))</f>
        <v/>
      </c>
      <c r="W562">
        <f>IF(J562="","",YEAR(J562))</f>
        <v/>
      </c>
      <c r="X562" t="inlineStr"/>
      <c r="Y562">
        <f>IFERROR(INDEX(Rastreio!$H$2:$H$200,MATCH(X562&amp;"|"&amp;U562,Rastreio!$A$2:$A$200,0)),"")</f>
        <v/>
      </c>
    </row>
    <row r="563">
      <c r="A563">
        <f>IFERROR(INDEX(STAs!$G$2:$G$61,MATCH(P563,STAs!$F$2:$F$61,0))&amp;"","")</f>
        <v/>
      </c>
      <c r="B563" t="n">
        <v>20037066</v>
      </c>
      <c r="C563" t="inlineStr">
        <is>
          <t>Não</t>
        </is>
      </c>
      <c r="D563" t="inlineStr">
        <is>
          <t>MS</t>
        </is>
      </c>
      <c r="E563" t="inlineStr">
        <is>
          <t>CENTRO OESTE</t>
        </is>
      </c>
      <c r="F563" t="inlineStr">
        <is>
          <t>Cliente B - Chopeira</t>
        </is>
      </c>
      <c r="G563" t="inlineStr">
        <is>
          <t>Refrigeradores</t>
        </is>
      </c>
      <c r="H563" s="10" t="n">
        <v>40</v>
      </c>
      <c r="I563" s="10">
        <f>IFERROR(T563*H563,0)</f>
        <v/>
      </c>
      <c r="J563" s="11" t="n">
        <v>46003</v>
      </c>
      <c r="K563" s="11" t="n"/>
      <c r="L563" t="inlineStr">
        <is>
          <t>Em transporte</t>
        </is>
      </c>
      <c r="M563">
        <f>IF(L563="","",IFERROR(VLOOKUP(L563,mapGrupoStatus,2,0),"Outros"))</f>
        <v/>
      </c>
      <c r="N563">
        <f>IF(O563="","",IF(O563&lt;=30,"0-30 dias",IF(O563&lt;=60,"31-60 dias",IF(O563&lt;=90,"61-90 dias","Mais de 90 dias"))))</f>
        <v/>
      </c>
      <c r="O563">
        <f>IF(OR(M563="Pendente",M563="Em andamento"),IF(J563="","",TODAY()-J563),"")</f>
        <v/>
      </c>
      <c r="P563" t="n">
        <v>11726</v>
      </c>
      <c r="Q563" t="inlineStr">
        <is>
          <t>Norte Frio Refrigeração (11726)</t>
        </is>
      </c>
      <c r="R563" t="inlineStr">
        <is>
          <t>PC-0005</t>
        </is>
      </c>
      <c r="S563" t="inlineStr">
        <is>
          <t>Termostato modelo 02</t>
        </is>
      </c>
      <c r="T563" t="n">
        <v>1</v>
      </c>
      <c r="U563" t="n">
        <v>165</v>
      </c>
      <c r="V563">
        <f>IF(J563="","",MONTH(J563))</f>
        <v/>
      </c>
      <c r="W563">
        <f>IF(J563="","",YEAR(J563))</f>
        <v/>
      </c>
      <c r="X563" t="inlineStr">
        <is>
          <t>TransNorte</t>
        </is>
      </c>
      <c r="Y563">
        <f>IFERROR(INDEX(Rastreio!$H$2:$H$200,MATCH(X563&amp;"|"&amp;U563,Rastreio!$A$2:$A$200,0)),"")</f>
        <v/>
      </c>
    </row>
    <row r="564">
      <c r="A564">
        <f>IFERROR(INDEX(STAs!$G$2:$G$61,MATCH(P564,STAs!$F$2:$F$61,0))&amp;"","")</f>
        <v/>
      </c>
      <c r="B564" t="n">
        <v>20037210</v>
      </c>
      <c r="C564" t="inlineStr">
        <is>
          <t>Não</t>
        </is>
      </c>
      <c r="D564" t="inlineStr">
        <is>
          <t>RR</t>
        </is>
      </c>
      <c r="E564" t="inlineStr">
        <is>
          <t>NORTE</t>
        </is>
      </c>
      <c r="F564" t="inlineStr">
        <is>
          <t>Cliente B - Chopeira</t>
        </is>
      </c>
      <c r="G564" t="inlineStr">
        <is>
          <t>Refrigeradores</t>
        </is>
      </c>
      <c r="H564" s="10" t="n">
        <v>55</v>
      </c>
      <c r="I564" s="10">
        <f>IFERROR(T564*H564,0)</f>
        <v/>
      </c>
      <c r="J564" s="11" t="n">
        <v>46003</v>
      </c>
      <c r="K564" s="11" t="n"/>
      <c r="L564" t="inlineStr">
        <is>
          <t>Aguardando devolução</t>
        </is>
      </c>
      <c r="M564">
        <f>IF(L564="","",IFERROR(VLOOKUP(L564,mapGrupoStatus,2,0),"Outros"))</f>
        <v/>
      </c>
      <c r="N564">
        <f>IF(O564="","",IF(O564&lt;=30,"0-30 dias",IF(O564&lt;=60,"31-60 dias",IF(O564&lt;=90,"61-90 dias","Mais de 90 dias"))))</f>
        <v/>
      </c>
      <c r="O564">
        <f>IF(OR(M564="Pendente",M564="Em andamento"),IF(J564="","",TODAY()-J564),"")</f>
        <v/>
      </c>
      <c r="P564" t="n">
        <v>12422</v>
      </c>
      <c r="Q564" t="inlineStr">
        <is>
          <t>Assistência Técnica Refrigeração (12422)</t>
        </is>
      </c>
      <c r="R564" t="inlineStr">
        <is>
          <t>PC-0007</t>
        </is>
      </c>
      <c r="S564" t="inlineStr">
        <is>
          <t>Ventilador modelo 01</t>
        </is>
      </c>
      <c r="T564" t="n">
        <v>2</v>
      </c>
      <c r="U564" t="inlineStr"/>
      <c r="V564">
        <f>IF(J564="","",MONTH(J564))</f>
        <v/>
      </c>
      <c r="W564">
        <f>IF(J564="","",YEAR(J564))</f>
        <v/>
      </c>
      <c r="X564" t="inlineStr"/>
      <c r="Y564">
        <f>IFERROR(INDEX(Rastreio!$H$2:$H$200,MATCH(X564&amp;"|"&amp;U564,Rastreio!$A$2:$A$200,0)),"")</f>
        <v/>
      </c>
    </row>
    <row r="565">
      <c r="A565">
        <f>IFERROR(INDEX(STAs!$G$2:$G$61,MATCH(P565,STAs!$F$2:$F$61,0))&amp;"","")</f>
        <v/>
      </c>
      <c r="B565" t="n">
        <v>20041031</v>
      </c>
      <c r="C565" t="inlineStr">
        <is>
          <t>Não</t>
        </is>
      </c>
      <c r="D565" t="inlineStr">
        <is>
          <t>GO</t>
        </is>
      </c>
      <c r="E565" t="inlineStr">
        <is>
          <t>CENTRO OESTE</t>
        </is>
      </c>
      <c r="F565" t="inlineStr">
        <is>
          <t>Cliente B - Chopeira</t>
        </is>
      </c>
      <c r="G565" t="inlineStr">
        <is>
          <t>Refrigeradores</t>
        </is>
      </c>
      <c r="H565" s="10" t="n">
        <v>25</v>
      </c>
      <c r="I565" s="10">
        <f>IFERROR(T565*H565,0)</f>
        <v/>
      </c>
      <c r="J565" s="11" t="n">
        <v>46003</v>
      </c>
      <c r="K565" s="11" t="n"/>
      <c r="L565" t="inlineStr">
        <is>
          <t>Em andamento</t>
        </is>
      </c>
      <c r="M565">
        <f>IF(L565="","",IFERROR(VLOOKUP(L565,mapGrupoStatus,2,0),"Outros"))</f>
        <v/>
      </c>
      <c r="N565">
        <f>IF(O565="","",IF(O565&lt;=30,"0-30 dias",IF(O565&lt;=60,"31-60 dias",IF(O565&lt;=90,"61-90 dias","Mais de 90 dias"))))</f>
        <v/>
      </c>
      <c r="O565">
        <f>IF(OR(M565="Pendente",M565="Em andamento"),IF(J565="","",TODAY()-J565),"")</f>
        <v/>
      </c>
      <c r="P565" t="n">
        <v>12007</v>
      </c>
      <c r="Q565" t="inlineStr">
        <is>
          <t>Refrigel Ltda (12007)</t>
        </is>
      </c>
      <c r="R565" t="inlineStr">
        <is>
          <t>PC-0015</t>
        </is>
      </c>
      <c r="S565" t="inlineStr">
        <is>
          <t>Filtro secador modelo 01</t>
        </is>
      </c>
      <c r="T565" t="n">
        <v>1</v>
      </c>
      <c r="U565" t="n">
        <v>160</v>
      </c>
      <c r="V565">
        <f>IF(J565="","",MONTH(J565))</f>
        <v/>
      </c>
      <c r="W565">
        <f>IF(J565="","",YEAR(J565))</f>
        <v/>
      </c>
      <c r="X565" t="inlineStr">
        <is>
          <t>ViaCargo</t>
        </is>
      </c>
      <c r="Y565">
        <f>IFERROR(INDEX(Rastreio!$H$2:$H$200,MATCH(X565&amp;"|"&amp;U565,Rastreio!$A$2:$A$200,0)),"")</f>
        <v/>
      </c>
    </row>
    <row r="566">
      <c r="A566">
        <f>IFERROR(INDEX(STAs!$G$2:$G$61,MATCH(P566,STAs!$F$2:$F$61,0))&amp;"","")</f>
        <v/>
      </c>
      <c r="B566" t="n">
        <v>20007011</v>
      </c>
      <c r="C566" t="inlineStr">
        <is>
          <t>Sim</t>
        </is>
      </c>
      <c r="D566" t="inlineStr">
        <is>
          <t>PR</t>
        </is>
      </c>
      <c r="E566" t="inlineStr">
        <is>
          <t>SUL</t>
        </is>
      </c>
      <c r="F566" t="inlineStr">
        <is>
          <t>Cliente A - Refrigerador</t>
        </is>
      </c>
      <c r="G566" t="inlineStr">
        <is>
          <t>Refrigeradores</t>
        </is>
      </c>
      <c r="H566" s="10" t="n">
        <v>25</v>
      </c>
      <c r="I566" s="10">
        <f>IFERROR(T566*H566,0)</f>
        <v/>
      </c>
      <c r="J566" s="11" t="n">
        <v>46004</v>
      </c>
      <c r="K566" s="11" t="n">
        <v>46058</v>
      </c>
      <c r="L566" t="inlineStr">
        <is>
          <t>Ok. Devolvida</t>
        </is>
      </c>
      <c r="M566">
        <f>IF(L566="","",IFERROR(VLOOKUP(L566,mapGrupoStatus,2,0),"Outros"))</f>
        <v/>
      </c>
      <c r="N566">
        <f>IF(O566="","",IF(O566&lt;=30,"0-30 dias",IF(O566&lt;=60,"31-60 dias",IF(O566&lt;=90,"61-90 dias","Mais de 90 dias"))))</f>
        <v/>
      </c>
      <c r="O566">
        <f>IF(OR(M566="Pendente",M566="Em andamento"),IF(J566="","",TODAY()-J566),"")</f>
        <v/>
      </c>
      <c r="P566" t="n">
        <v>10913</v>
      </c>
      <c r="Q566" t="inlineStr">
        <is>
          <t>Ice Tech &amp; Cia (10913)</t>
        </is>
      </c>
      <c r="R566" t="inlineStr">
        <is>
          <t>PC-0015</t>
        </is>
      </c>
      <c r="S566" t="inlineStr">
        <is>
          <t>Filtro secador modelo 01</t>
        </is>
      </c>
      <c r="T566" t="n">
        <v>1</v>
      </c>
      <c r="U566" t="n">
        <v>112</v>
      </c>
      <c r="V566">
        <f>IF(J566="","",MONTH(J566))</f>
        <v/>
      </c>
      <c r="W566">
        <f>IF(J566="","",YEAR(J566))</f>
        <v/>
      </c>
      <c r="X566" t="inlineStr">
        <is>
          <t>CargoMax</t>
        </is>
      </c>
      <c r="Y566">
        <f>IFERROR(INDEX(Rastreio!$H$2:$H$200,MATCH(X566&amp;"|"&amp;U566,Rastreio!$A$2:$A$200,0)),"")</f>
        <v/>
      </c>
    </row>
    <row r="567">
      <c r="A567">
        <f>IFERROR(INDEX(STAs!$G$2:$G$61,MATCH(P567,STAs!$F$2:$F$61,0))&amp;"","")</f>
        <v/>
      </c>
      <c r="B567" t="n">
        <v>20010547</v>
      </c>
      <c r="C567" t="inlineStr">
        <is>
          <t>Não</t>
        </is>
      </c>
      <c r="D567" t="inlineStr">
        <is>
          <t>SP</t>
        </is>
      </c>
      <c r="E567" t="inlineStr">
        <is>
          <t>SUDESTE SP</t>
        </is>
      </c>
      <c r="F567" t="inlineStr">
        <is>
          <t>Cliente A - Refrigerador</t>
        </is>
      </c>
      <c r="G567" t="inlineStr">
        <is>
          <t>Refrigeradores</t>
        </is>
      </c>
      <c r="H567" s="10" t="n">
        <v>55</v>
      </c>
      <c r="I567" s="10">
        <f>IFERROR(T567*H567,0)</f>
        <v/>
      </c>
      <c r="J567" s="11" t="n">
        <v>46004</v>
      </c>
      <c r="K567" s="11" t="n">
        <v>46041</v>
      </c>
      <c r="L567" t="inlineStr">
        <is>
          <t>Ok. Devolvida</t>
        </is>
      </c>
      <c r="M567">
        <f>IF(L567="","",IFERROR(VLOOKUP(L567,mapGrupoStatus,2,0),"Outros"))</f>
        <v/>
      </c>
      <c r="N567">
        <f>IF(O567="","",IF(O567&lt;=30,"0-30 dias",IF(O567&lt;=60,"31-60 dias",IF(O567&lt;=90,"61-90 dias","Mais de 90 dias"))))</f>
        <v/>
      </c>
      <c r="O567">
        <f>IF(OR(M567="Pendente",M567="Em andamento"),IF(J567="","",TODAY()-J567),"")</f>
        <v/>
      </c>
      <c r="P567" t="n">
        <v>10413</v>
      </c>
      <c r="Q567" t="inlineStr">
        <is>
          <t>Polar Manutenção (10413)</t>
        </is>
      </c>
      <c r="R567" t="inlineStr">
        <is>
          <t>PC-0007</t>
        </is>
      </c>
      <c r="S567" t="inlineStr">
        <is>
          <t>Ventilador modelo 01</t>
        </is>
      </c>
      <c r="T567" t="n">
        <v>1</v>
      </c>
      <c r="U567" t="n">
        <v>121</v>
      </c>
      <c r="V567">
        <f>IF(J567="","",MONTH(J567))</f>
        <v/>
      </c>
      <c r="W567">
        <f>IF(J567="","",YEAR(J567))</f>
        <v/>
      </c>
      <c r="X567" t="inlineStr">
        <is>
          <t>EntregaJá</t>
        </is>
      </c>
      <c r="Y567">
        <f>IFERROR(INDEX(Rastreio!$H$2:$H$200,MATCH(X567&amp;"|"&amp;U567,Rastreio!$A$2:$A$200,0)),"")</f>
        <v/>
      </c>
    </row>
    <row r="568">
      <c r="A568">
        <f>IFERROR(INDEX(STAs!$G$2:$G$61,MATCH(P568,STAs!$F$2:$F$61,0))&amp;"","")</f>
        <v/>
      </c>
      <c r="B568" t="n">
        <v>20013478</v>
      </c>
      <c r="C568" t="inlineStr">
        <is>
          <t>Não</t>
        </is>
      </c>
      <c r="D568" t="inlineStr">
        <is>
          <t>SP</t>
        </is>
      </c>
      <c r="E568" t="inlineStr">
        <is>
          <t>SUDESTE SP</t>
        </is>
      </c>
      <c r="F568" t="inlineStr">
        <is>
          <t>Cliente B - Chopeira</t>
        </is>
      </c>
      <c r="G568" t="inlineStr">
        <is>
          <t>Refrigeradores</t>
        </is>
      </c>
      <c r="H568" s="10" t="n">
        <v>55</v>
      </c>
      <c r="I568" s="10">
        <f>IFERROR(T568*H568,0)</f>
        <v/>
      </c>
      <c r="J568" s="11" t="n">
        <v>46004</v>
      </c>
      <c r="K568" s="11" t="n">
        <v>46057</v>
      </c>
      <c r="L568" t="inlineStr">
        <is>
          <t>Ok. Devolvida</t>
        </is>
      </c>
      <c r="M568">
        <f>IF(L568="","",IFERROR(VLOOKUP(L568,mapGrupoStatus,2,0),"Outros"))</f>
        <v/>
      </c>
      <c r="N568">
        <f>IF(O568="","",IF(O568&lt;=30,"0-30 dias",IF(O568&lt;=60,"31-60 dias",IF(O568&lt;=90,"61-90 dias","Mais de 90 dias"))))</f>
        <v/>
      </c>
      <c r="O568">
        <f>IF(OR(M568="Pendente",M568="Em andamento"),IF(J568="","",TODAY()-J568),"")</f>
        <v/>
      </c>
      <c r="P568" t="n">
        <v>10538</v>
      </c>
      <c r="Q568" t="inlineStr">
        <is>
          <t>Frio Refrigeração (10538)</t>
        </is>
      </c>
      <c r="R568" t="inlineStr">
        <is>
          <t>PC-0008</t>
        </is>
      </c>
      <c r="S568" t="inlineStr">
        <is>
          <t>Ventilador modelo 02</t>
        </is>
      </c>
      <c r="T568" t="n">
        <v>2</v>
      </c>
      <c r="U568" t="n">
        <v>126</v>
      </c>
      <c r="V568">
        <f>IF(J568="","",MONTH(J568))</f>
        <v/>
      </c>
      <c r="W568">
        <f>IF(J568="","",YEAR(J568))</f>
        <v/>
      </c>
      <c r="X568" t="inlineStr">
        <is>
          <t>ViaCargo</t>
        </is>
      </c>
      <c r="Y568">
        <f>IFERROR(INDEX(Rastreio!$H$2:$H$200,MATCH(X568&amp;"|"&amp;U568,Rastreio!$A$2:$A$200,0)),"")</f>
        <v/>
      </c>
    </row>
    <row r="569">
      <c r="A569">
        <f>IFERROR(INDEX(STAs!$G$2:$G$61,MATCH(P569,STAs!$F$2:$F$61,0))&amp;"","")</f>
        <v/>
      </c>
      <c r="B569" t="n">
        <v>20019078</v>
      </c>
      <c r="C569" t="inlineStr">
        <is>
          <t>Não</t>
        </is>
      </c>
      <c r="D569" t="inlineStr">
        <is>
          <t>RS</t>
        </is>
      </c>
      <c r="E569" t="inlineStr">
        <is>
          <t>SUL</t>
        </is>
      </c>
      <c r="F569" t="inlineStr">
        <is>
          <t>Cliente A - Refrigerador</t>
        </is>
      </c>
      <c r="G569" t="inlineStr">
        <is>
          <t>Misturadores</t>
        </is>
      </c>
      <c r="H569" s="10" t="n">
        <v>265</v>
      </c>
      <c r="I569" s="10">
        <f>IFERROR(T569*H569,0)</f>
        <v/>
      </c>
      <c r="J569" s="11" t="n">
        <v>46004</v>
      </c>
      <c r="K569" s="11" t="n">
        <v>46062</v>
      </c>
      <c r="L569" t="inlineStr">
        <is>
          <t>Ok. Devolvida</t>
        </is>
      </c>
      <c r="M569">
        <f>IF(L569="","",IFERROR(VLOOKUP(L569,mapGrupoStatus,2,0),"Outros"))</f>
        <v/>
      </c>
      <c r="N569">
        <f>IF(O569="","",IF(O569&lt;=30,"0-30 dias",IF(O569&lt;=60,"31-60 dias",IF(O569&lt;=90,"61-90 dias","Mais de 90 dias"))))</f>
        <v/>
      </c>
      <c r="O569">
        <f>IF(OR(M569="Pendente",M569="Em andamento"),IF(J569="","",TODAY()-J569),"")</f>
        <v/>
      </c>
      <c r="P569" t="n">
        <v>11459</v>
      </c>
      <c r="Q569" t="inlineStr">
        <is>
          <t>Frio ME (11459)</t>
        </is>
      </c>
      <c r="R569" t="inlineStr">
        <is>
          <t>PC-0038</t>
        </is>
      </c>
      <c r="S569" t="inlineStr">
        <is>
          <t>Bomba de recirculação modelo 02</t>
        </is>
      </c>
      <c r="T569" t="n">
        <v>1</v>
      </c>
      <c r="U569" t="n">
        <v>127</v>
      </c>
      <c r="V569">
        <f>IF(J569="","",MONTH(J569))</f>
        <v/>
      </c>
      <c r="W569">
        <f>IF(J569="","",YEAR(J569))</f>
        <v/>
      </c>
      <c r="X569" t="inlineStr">
        <is>
          <t>RotaSul</t>
        </is>
      </c>
      <c r="Y569">
        <f>IFERROR(INDEX(Rastreio!$H$2:$H$200,MATCH(X569&amp;"|"&amp;U569,Rastreio!$A$2:$A$200,0)),"")</f>
        <v/>
      </c>
    </row>
    <row r="570">
      <c r="A570">
        <f>IFERROR(INDEX(STAs!$G$2:$G$61,MATCH(P570,STAs!$F$2:$F$61,0))&amp;"","")</f>
        <v/>
      </c>
      <c r="B570" t="n">
        <v>20024714</v>
      </c>
      <c r="C570" t="inlineStr">
        <is>
          <t>Não</t>
        </is>
      </c>
      <c r="D570" t="inlineStr">
        <is>
          <t>RS</t>
        </is>
      </c>
      <c r="E570" t="inlineStr">
        <is>
          <t>SUL</t>
        </is>
      </c>
      <c r="F570" t="inlineStr">
        <is>
          <t>Cliente A - Refrigerador</t>
        </is>
      </c>
      <c r="G570" t="inlineStr">
        <is>
          <t>Misturadores</t>
        </is>
      </c>
      <c r="H570" s="10" t="n">
        <v>60</v>
      </c>
      <c r="I570" s="10">
        <f>IFERROR(T570*H570,0)</f>
        <v/>
      </c>
      <c r="J570" s="11" t="n">
        <v>46004</v>
      </c>
      <c r="K570" s="11" t="n">
        <v>46057</v>
      </c>
      <c r="L570" t="inlineStr">
        <is>
          <t>Ok. Devolvida</t>
        </is>
      </c>
      <c r="M570">
        <f>IF(L570="","",IFERROR(VLOOKUP(L570,mapGrupoStatus,2,0),"Outros"))</f>
        <v/>
      </c>
      <c r="N570">
        <f>IF(O570="","",IF(O570&lt;=30,"0-30 dias",IF(O570&lt;=60,"31-60 dias",IF(O570&lt;=90,"61-90 dias","Mais de 90 dias"))))</f>
        <v/>
      </c>
      <c r="O570">
        <f>IF(OR(M570="Pendente",M570="Em andamento"),IF(J570="","",TODAY()-J570),"")</f>
        <v/>
      </c>
      <c r="P570" t="n">
        <v>12617</v>
      </c>
      <c r="Q570" t="inlineStr">
        <is>
          <t>Gelo Manutenção (12617)</t>
        </is>
      </c>
      <c r="R570" t="inlineStr">
        <is>
          <t>PC-0046</t>
        </is>
      </c>
      <c r="S570" t="inlineStr">
        <is>
          <t>Sensor de nível modelo 02</t>
        </is>
      </c>
      <c r="T570" t="n">
        <v>1</v>
      </c>
      <c r="U570" t="n">
        <v>142</v>
      </c>
      <c r="V570">
        <f>IF(J570="","",MONTH(J570))</f>
        <v/>
      </c>
      <c r="W570">
        <f>IF(J570="","",YEAR(J570))</f>
        <v/>
      </c>
      <c r="X570" t="inlineStr">
        <is>
          <t>CargoMax</t>
        </is>
      </c>
      <c r="Y570">
        <f>IFERROR(INDEX(Rastreio!$H$2:$H$200,MATCH(X570&amp;"|"&amp;U570,Rastreio!$A$2:$A$200,0)),"")</f>
        <v/>
      </c>
    </row>
    <row r="571">
      <c r="A571">
        <f>IFERROR(INDEX(STAs!$G$2:$G$61,MATCH(P571,STAs!$F$2:$F$61,0))&amp;"","")</f>
        <v/>
      </c>
      <c r="B571" t="n">
        <v>20026847</v>
      </c>
      <c r="C571" t="inlineStr">
        <is>
          <t>Não</t>
        </is>
      </c>
      <c r="D571" t="inlineStr">
        <is>
          <t>MG</t>
        </is>
      </c>
      <c r="E571" t="inlineStr">
        <is>
          <t>SUDESTE MG</t>
        </is>
      </c>
      <c r="F571" t="inlineStr">
        <is>
          <t>Cliente A - Refrigerador</t>
        </is>
      </c>
      <c r="G571" t="inlineStr">
        <is>
          <t>Misturadores</t>
        </is>
      </c>
      <c r="H571" s="10" t="n">
        <v>200</v>
      </c>
      <c r="I571" s="10">
        <f>IFERROR(T571*H571,0)</f>
        <v/>
      </c>
      <c r="J571" s="11" t="n">
        <v>46004</v>
      </c>
      <c r="K571" s="11" t="n"/>
      <c r="L571" t="inlineStr">
        <is>
          <t>Aguardando devolução</t>
        </is>
      </c>
      <c r="M571">
        <f>IF(L571="","",IFERROR(VLOOKUP(L571,mapGrupoStatus,2,0),"Outros"))</f>
        <v/>
      </c>
      <c r="N571">
        <f>IF(O571="","",IF(O571&lt;=30,"0-30 dias",IF(O571&lt;=60,"31-60 dias",IF(O571&lt;=90,"61-90 dias","Mais de 90 dias"))))</f>
        <v/>
      </c>
      <c r="O571">
        <f>IF(OR(M571="Pendente",M571="Em andamento"),IF(J571="","",TODAY()-J571),"")</f>
        <v/>
      </c>
      <c r="P571" t="n">
        <v>12689</v>
      </c>
      <c r="Q571" t="inlineStr">
        <is>
          <t>Norte Frio Manutenção (12689)</t>
        </is>
      </c>
      <c r="R571" t="inlineStr">
        <is>
          <t>PC-0040</t>
        </is>
      </c>
      <c r="S571" t="inlineStr">
        <is>
          <t>Motor agitador modelo 01</t>
        </is>
      </c>
      <c r="T571" t="n">
        <v>1</v>
      </c>
      <c r="U571" t="inlineStr"/>
      <c r="V571">
        <f>IF(J571="","",MONTH(J571))</f>
        <v/>
      </c>
      <c r="W571">
        <f>IF(J571="","",YEAR(J571))</f>
        <v/>
      </c>
      <c r="X571" t="inlineStr"/>
      <c r="Y571">
        <f>IFERROR(INDEX(Rastreio!$H$2:$H$200,MATCH(X571&amp;"|"&amp;U571,Rastreio!$A$2:$A$200,0)),"")</f>
        <v/>
      </c>
    </row>
    <row r="572">
      <c r="A572">
        <f>IFERROR(INDEX(STAs!$G$2:$G$61,MATCH(P572,STAs!$F$2:$F$61,0))&amp;"","")</f>
        <v/>
      </c>
      <c r="B572" t="n">
        <v>20035896</v>
      </c>
      <c r="C572" t="inlineStr">
        <is>
          <t>Não</t>
        </is>
      </c>
      <c r="D572" t="inlineStr">
        <is>
          <t>MS</t>
        </is>
      </c>
      <c r="E572" t="inlineStr">
        <is>
          <t>CENTRO OESTE</t>
        </is>
      </c>
      <c r="F572" t="inlineStr">
        <is>
          <t>Cliente A - Refrigerador</t>
        </is>
      </c>
      <c r="G572" t="inlineStr">
        <is>
          <t>Refrigeradores</t>
        </is>
      </c>
      <c r="H572" s="10" t="n">
        <v>155</v>
      </c>
      <c r="I572" s="10">
        <f>IFERROR(T572*H572,0)</f>
        <v/>
      </c>
      <c r="J572" s="11" t="n">
        <v>46004</v>
      </c>
      <c r="K572" s="11" t="n"/>
      <c r="L572" t="inlineStr">
        <is>
          <t>Aguardando Transporte</t>
        </is>
      </c>
      <c r="M572">
        <f>IF(L572="","",IFERROR(VLOOKUP(L572,mapGrupoStatus,2,0),"Outros"))</f>
        <v/>
      </c>
      <c r="N572">
        <f>IF(O572="","",IF(O572&lt;=30,"0-30 dias",IF(O572&lt;=60,"31-60 dias",IF(O572&lt;=90,"61-90 dias","Mais de 90 dias"))))</f>
        <v/>
      </c>
      <c r="O572">
        <f>IF(OR(M572="Pendente",M572="Em andamento"),IF(J572="","",TODAY()-J572),"")</f>
        <v/>
      </c>
      <c r="P572" t="n">
        <v>10302</v>
      </c>
      <c r="Q572" t="inlineStr">
        <is>
          <t>Ice Tech Express (10302)</t>
        </is>
      </c>
      <c r="R572" t="inlineStr">
        <is>
          <t>PC-0021</t>
        </is>
      </c>
      <c r="S572" t="inlineStr">
        <is>
          <t>Controlador digital modelo 01</t>
        </is>
      </c>
      <c r="T572" t="n">
        <v>1</v>
      </c>
      <c r="U572" t="n">
        <v>163</v>
      </c>
      <c r="V572">
        <f>IF(J572="","",MONTH(J572))</f>
        <v/>
      </c>
      <c r="W572">
        <f>IF(J572="","",YEAR(J572))</f>
        <v/>
      </c>
      <c r="X572" t="inlineStr">
        <is>
          <t>TransNorte</t>
        </is>
      </c>
      <c r="Y572">
        <f>IFERROR(INDEX(Rastreio!$H$2:$H$200,MATCH(X572&amp;"|"&amp;U572,Rastreio!$A$2:$A$200,0)),"")</f>
        <v/>
      </c>
    </row>
    <row r="573">
      <c r="A573">
        <f>IFERROR(INDEX(STAs!$G$2:$G$61,MATCH(P573,STAs!$F$2:$F$61,0))&amp;"","")</f>
        <v/>
      </c>
      <c r="B573" t="n">
        <v>20004781</v>
      </c>
      <c r="C573" t="inlineStr">
        <is>
          <t>Não</t>
        </is>
      </c>
      <c r="D573" t="inlineStr">
        <is>
          <t>GO</t>
        </is>
      </c>
      <c r="E573" t="inlineStr">
        <is>
          <t>CENTRO OESTE</t>
        </is>
      </c>
      <c r="F573" t="inlineStr">
        <is>
          <t>Cliente A - Refrigerador</t>
        </is>
      </c>
      <c r="G573" t="inlineStr">
        <is>
          <t>Refrigeradores</t>
        </is>
      </c>
      <c r="H573" s="10" t="n">
        <v>35</v>
      </c>
      <c r="I573" s="10">
        <f>IFERROR(T573*H573,0)</f>
        <v/>
      </c>
      <c r="J573" s="11" t="n">
        <v>46005</v>
      </c>
      <c r="K573" s="11" t="n">
        <v>46015</v>
      </c>
      <c r="L573" t="inlineStr">
        <is>
          <t>Ok. Devolvida</t>
        </is>
      </c>
      <c r="M573">
        <f>IF(L573="","",IFERROR(VLOOKUP(L573,mapGrupoStatus,2,0),"Outros"))</f>
        <v/>
      </c>
      <c r="N573">
        <f>IF(O573="","",IF(O573&lt;=30,"0-30 dias",IF(O573&lt;=60,"31-60 dias",IF(O573&lt;=90,"61-90 dias","Mais de 90 dias"))))</f>
        <v/>
      </c>
      <c r="O573">
        <f>IF(OR(M573="Pendente",M573="Em andamento"),IF(J573="","",TODAY()-J573),"")</f>
        <v/>
      </c>
      <c r="P573" t="n">
        <v>11293</v>
      </c>
      <c r="Q573" t="inlineStr">
        <is>
          <t>Assistência Técnica Ltda (11293)</t>
        </is>
      </c>
      <c r="R573" t="inlineStr">
        <is>
          <t>PC-0016</t>
        </is>
      </c>
      <c r="S573" t="inlineStr">
        <is>
          <t>Filtro secador modelo 02</t>
        </is>
      </c>
      <c r="T573" t="n">
        <v>1</v>
      </c>
      <c r="U573" t="n">
        <v>110</v>
      </c>
      <c r="V573">
        <f>IF(J573="","",MONTH(J573))</f>
        <v/>
      </c>
      <c r="W573">
        <f>IF(J573="","",YEAR(J573))</f>
        <v/>
      </c>
      <c r="X573" t="inlineStr">
        <is>
          <t>RotaSul</t>
        </is>
      </c>
      <c r="Y573">
        <f>IFERROR(INDEX(Rastreio!$H$2:$H$200,MATCH(X573&amp;"|"&amp;U573,Rastreio!$A$2:$A$200,0)),"")</f>
        <v/>
      </c>
    </row>
    <row r="574">
      <c r="A574">
        <f>IFERROR(INDEX(STAs!$G$2:$G$61,MATCH(P574,STAs!$F$2:$F$61,0))&amp;"","")</f>
        <v/>
      </c>
      <c r="B574" t="n">
        <v>20006634</v>
      </c>
      <c r="C574" t="inlineStr">
        <is>
          <t>Não</t>
        </is>
      </c>
      <c r="D574" t="inlineStr">
        <is>
          <t>AC</t>
        </is>
      </c>
      <c r="E574" t="inlineStr">
        <is>
          <t>NORTE</t>
        </is>
      </c>
      <c r="F574" t="inlineStr">
        <is>
          <t>Cliente B - Chopeira</t>
        </is>
      </c>
      <c r="G574" t="inlineStr">
        <is>
          <t>Refrigeradores</t>
        </is>
      </c>
      <c r="H574" s="10" t="n">
        <v>50</v>
      </c>
      <c r="I574" s="10">
        <f>IFERROR(T574*H574,0)</f>
        <v/>
      </c>
      <c r="J574" s="11" t="n">
        <v>46005</v>
      </c>
      <c r="K574" s="11" t="n"/>
      <c r="L574" t="inlineStr">
        <is>
          <t>Não Devolve-Norte</t>
        </is>
      </c>
      <c r="M574">
        <f>IF(L574="","",IFERROR(VLOOKUP(L574,mapGrupoStatus,2,0),"Outros"))</f>
        <v/>
      </c>
      <c r="N574">
        <f>IF(O574="","",IF(O574&lt;=30,"0-30 dias",IF(O574&lt;=60,"31-60 dias",IF(O574&lt;=90,"61-90 dias","Mais de 90 dias"))))</f>
        <v/>
      </c>
      <c r="O574">
        <f>IF(OR(M574="Pendente",M574="Em andamento"),IF(J574="","",TODAY()-J574),"")</f>
        <v/>
      </c>
      <c r="P574" t="n">
        <v>11022</v>
      </c>
      <c r="Q574" t="inlineStr">
        <is>
          <t>Brisa Ltda (11022)</t>
        </is>
      </c>
      <c r="R574" t="inlineStr">
        <is>
          <t>PC-0006</t>
        </is>
      </c>
      <c r="S574" t="inlineStr">
        <is>
          <t>Termostato modelo 03</t>
        </is>
      </c>
      <c r="T574" t="n">
        <v>1</v>
      </c>
      <c r="U574" t="inlineStr"/>
      <c r="V574">
        <f>IF(J574="","",MONTH(J574))</f>
        <v/>
      </c>
      <c r="W574">
        <f>IF(J574="","",YEAR(J574))</f>
        <v/>
      </c>
      <c r="X574" t="inlineStr"/>
      <c r="Y574">
        <f>IFERROR(INDEX(Rastreio!$H$2:$H$200,MATCH(X574&amp;"|"&amp;U574,Rastreio!$A$2:$A$200,0)),"")</f>
        <v/>
      </c>
    </row>
    <row r="575">
      <c r="A575">
        <f>IFERROR(INDEX(STAs!$G$2:$G$61,MATCH(P575,STAs!$F$2:$F$61,0))&amp;"","")</f>
        <v/>
      </c>
      <c r="B575" t="n">
        <v>20013268</v>
      </c>
      <c r="C575" t="inlineStr">
        <is>
          <t>Não</t>
        </is>
      </c>
      <c r="D575" t="inlineStr">
        <is>
          <t>SP</t>
        </is>
      </c>
      <c r="E575" t="inlineStr">
        <is>
          <t>SUDESTE SP</t>
        </is>
      </c>
      <c r="F575" t="inlineStr">
        <is>
          <t>Cliente B - Chopeira</t>
        </is>
      </c>
      <c r="G575" t="inlineStr">
        <is>
          <t>Refrigeradores</t>
        </is>
      </c>
      <c r="H575" s="10" t="n">
        <v>25</v>
      </c>
      <c r="I575" s="10">
        <f>IFERROR(T575*H575,0)</f>
        <v/>
      </c>
      <c r="J575" s="11" t="n">
        <v>46005</v>
      </c>
      <c r="K575" s="11" t="n">
        <v>46038</v>
      </c>
      <c r="L575" t="inlineStr">
        <is>
          <t>Ok. Devolvida</t>
        </is>
      </c>
      <c r="M575">
        <f>IF(L575="","",IFERROR(VLOOKUP(L575,mapGrupoStatus,2,0),"Outros"))</f>
        <v/>
      </c>
      <c r="N575">
        <f>IF(O575="","",IF(O575&lt;=30,"0-30 dias",IF(O575&lt;=60,"31-60 dias",IF(O575&lt;=90,"61-90 dias","Mais de 90 dias"))))</f>
        <v/>
      </c>
      <c r="O575">
        <f>IF(OR(M575="Pendente",M575="Em andamento"),IF(J575="","",TODAY()-J575),"")</f>
        <v/>
      </c>
      <c r="P575" t="n">
        <v>11365</v>
      </c>
      <c r="Q575" t="inlineStr">
        <is>
          <t>Ártico Express (11365)</t>
        </is>
      </c>
      <c r="R575" t="inlineStr">
        <is>
          <t>PC-0015</t>
        </is>
      </c>
      <c r="S575" t="inlineStr">
        <is>
          <t>Filtro secador modelo 01</t>
        </is>
      </c>
      <c r="T575" t="n">
        <v>2</v>
      </c>
      <c r="U575" t="n">
        <v>125</v>
      </c>
      <c r="V575">
        <f>IF(J575="","",MONTH(J575))</f>
        <v/>
      </c>
      <c r="W575">
        <f>IF(J575="","",YEAR(J575))</f>
        <v/>
      </c>
      <c r="X575" t="inlineStr">
        <is>
          <t>CargoMax</t>
        </is>
      </c>
      <c r="Y575">
        <f>IFERROR(INDEX(Rastreio!$H$2:$H$200,MATCH(X575&amp;"|"&amp;U575,Rastreio!$A$2:$A$200,0)),"")</f>
        <v/>
      </c>
    </row>
    <row r="576">
      <c r="A576">
        <f>IFERROR(INDEX(STAs!$G$2:$G$61,MATCH(P576,STAs!$F$2:$F$61,0))&amp;"","")</f>
        <v/>
      </c>
      <c r="B576" t="n">
        <v>20024665</v>
      </c>
      <c r="C576" t="inlineStr">
        <is>
          <t>Não</t>
        </is>
      </c>
      <c r="D576" t="inlineStr">
        <is>
          <t>RJ</t>
        </is>
      </c>
      <c r="E576" t="inlineStr">
        <is>
          <t>SUDESTE RJ e ES</t>
        </is>
      </c>
      <c r="F576" t="inlineStr">
        <is>
          <t>Cliente A - Refrigerador</t>
        </is>
      </c>
      <c r="G576" t="inlineStr">
        <is>
          <t>Refrigeradores</t>
        </is>
      </c>
      <c r="H576" s="10" t="n">
        <v>155</v>
      </c>
      <c r="I576" s="10">
        <f>IFERROR(T576*H576,0)</f>
        <v/>
      </c>
      <c r="J576" s="11" t="n">
        <v>46005</v>
      </c>
      <c r="K576" s="11" t="n"/>
      <c r="L576" t="inlineStr">
        <is>
          <t>Em transporte</t>
        </is>
      </c>
      <c r="M576">
        <f>IF(L576="","",IFERROR(VLOOKUP(L576,mapGrupoStatus,2,0),"Outros"))</f>
        <v/>
      </c>
      <c r="N576">
        <f>IF(O576="","",IF(O576&lt;=30,"0-30 dias",IF(O576&lt;=60,"31-60 dias",IF(O576&lt;=90,"61-90 dias","Mais de 90 dias"))))</f>
        <v/>
      </c>
      <c r="O576">
        <f>IF(OR(M576="Pendente",M576="Em andamento"),IF(J576="","",TODAY()-J576),"")</f>
        <v/>
      </c>
      <c r="P576" t="n">
        <v>10676</v>
      </c>
      <c r="Q576" t="inlineStr">
        <is>
          <t>Clima Serviços (10676)</t>
        </is>
      </c>
      <c r="R576" t="inlineStr">
        <is>
          <t>PC-0021</t>
        </is>
      </c>
      <c r="S576" t="inlineStr">
        <is>
          <t>Controlador digital modelo 01</t>
        </is>
      </c>
      <c r="T576" t="n">
        <v>1</v>
      </c>
      <c r="U576" t="n">
        <v>141</v>
      </c>
      <c r="V576">
        <f>IF(J576="","",MONTH(J576))</f>
        <v/>
      </c>
      <c r="W576">
        <f>IF(J576="","",YEAR(J576))</f>
        <v/>
      </c>
      <c r="X576" t="inlineStr">
        <is>
          <t>RotaSul</t>
        </is>
      </c>
      <c r="Y576">
        <f>IFERROR(INDEX(Rastreio!$H$2:$H$200,MATCH(X576&amp;"|"&amp;U576,Rastreio!$A$2:$A$200,0)),"")</f>
        <v/>
      </c>
    </row>
    <row r="577">
      <c r="A577">
        <f>IFERROR(INDEX(STAs!$G$2:$G$61,MATCH(P577,STAs!$F$2:$F$61,0))&amp;"","")</f>
        <v/>
      </c>
      <c r="B577" t="n">
        <v>20028120</v>
      </c>
      <c r="C577" t="inlineStr">
        <is>
          <t>Não</t>
        </is>
      </c>
      <c r="D577" t="inlineStr">
        <is>
          <t>DF</t>
        </is>
      </c>
      <c r="E577" t="inlineStr">
        <is>
          <t>CENTRO OESTE</t>
        </is>
      </c>
      <c r="F577" t="inlineStr">
        <is>
          <t>Cliente B - Chopeira</t>
        </is>
      </c>
      <c r="G577" t="inlineStr">
        <is>
          <t>Misturadores</t>
        </is>
      </c>
      <c r="H577" s="10" t="n">
        <v>185</v>
      </c>
      <c r="I577" s="10">
        <f>IFERROR(T577*H577,0)</f>
        <v/>
      </c>
      <c r="J577" s="11" t="n">
        <v>46005</v>
      </c>
      <c r="K577" s="11" t="n">
        <v>46018</v>
      </c>
      <c r="L577" t="inlineStr">
        <is>
          <t>Ok. Devolvida</t>
        </is>
      </c>
      <c r="M577">
        <f>IF(L577="","",IFERROR(VLOOKUP(L577,mapGrupoStatus,2,0),"Outros"))</f>
        <v/>
      </c>
      <c r="N577">
        <f>IF(O577="","",IF(O577&lt;=30,"0-30 dias",IF(O577&lt;=60,"31-60 dias",IF(O577&lt;=90,"61-90 dias","Mais de 90 dias"))))</f>
        <v/>
      </c>
      <c r="O577">
        <f>IF(OR(M577="Pendente",M577="Em andamento"),IF(J577="","",TODAY()-J577),"")</f>
        <v/>
      </c>
      <c r="P577" t="n">
        <v>10021</v>
      </c>
      <c r="Q577" t="inlineStr">
        <is>
          <t>Termotec Técnica (10021)</t>
        </is>
      </c>
      <c r="R577" t="inlineStr">
        <is>
          <t>PC-0041</t>
        </is>
      </c>
      <c r="S577" t="inlineStr">
        <is>
          <t>Motor agitador modelo 02</t>
        </is>
      </c>
      <c r="T577" t="n">
        <v>1</v>
      </c>
      <c r="U577" t="n">
        <v>150</v>
      </c>
      <c r="V577">
        <f>IF(J577="","",MONTH(J577))</f>
        <v/>
      </c>
      <c r="W577">
        <f>IF(J577="","",YEAR(J577))</f>
        <v/>
      </c>
      <c r="X577" t="inlineStr">
        <is>
          <t>LogExpress</t>
        </is>
      </c>
      <c r="Y577">
        <f>IFERROR(INDEX(Rastreio!$H$2:$H$200,MATCH(X577&amp;"|"&amp;U577,Rastreio!$A$2:$A$200,0)),"")</f>
        <v/>
      </c>
    </row>
    <row r="578">
      <c r="A578">
        <f>IFERROR(INDEX(STAs!$G$2:$G$61,MATCH(P578,STAs!$F$2:$F$61,0))&amp;"","")</f>
        <v/>
      </c>
      <c r="B578" t="n">
        <v>20028263</v>
      </c>
      <c r="C578" t="inlineStr">
        <is>
          <t>Sim</t>
        </is>
      </c>
      <c r="D578" t="inlineStr">
        <is>
          <t>PR</t>
        </is>
      </c>
      <c r="E578" t="inlineStr">
        <is>
          <t>SUL</t>
        </is>
      </c>
      <c r="F578" t="inlineStr">
        <is>
          <t>Cliente C - Misturador</t>
        </is>
      </c>
      <c r="G578" t="inlineStr">
        <is>
          <t>Refrigeradores</t>
        </is>
      </c>
      <c r="H578" s="10" t="n">
        <v>40</v>
      </c>
      <c r="I578" s="10">
        <f>IFERROR(T578*H578,0)</f>
        <v/>
      </c>
      <c r="J578" s="11" t="n">
        <v>46005</v>
      </c>
      <c r="K578" s="11" t="n">
        <v>46056</v>
      </c>
      <c r="L578" t="inlineStr">
        <is>
          <t>Ok. Devolvida</t>
        </is>
      </c>
      <c r="M578">
        <f>IF(L578="","",IFERROR(VLOOKUP(L578,mapGrupoStatus,2,0),"Outros"))</f>
        <v/>
      </c>
      <c r="N578">
        <f>IF(O578="","",IF(O578&lt;=30,"0-30 dias",IF(O578&lt;=60,"31-60 dias",IF(O578&lt;=90,"61-90 dias","Mais de 90 dias"))))</f>
        <v/>
      </c>
      <c r="O578">
        <f>IF(OR(M578="Pendente",M578="Em andamento"),IF(J578="","",TODAY()-J578),"")</f>
        <v/>
      </c>
      <c r="P578" t="n">
        <v>12724</v>
      </c>
      <c r="Q578" t="inlineStr">
        <is>
          <t>Cool Service &amp; Cia (12724)</t>
        </is>
      </c>
      <c r="R578" t="inlineStr">
        <is>
          <t>PC-0004</t>
        </is>
      </c>
      <c r="S578" t="inlineStr">
        <is>
          <t>Termostato modelo 01</t>
        </is>
      </c>
      <c r="T578" t="n">
        <v>2</v>
      </c>
      <c r="U578" t="n">
        <v>143</v>
      </c>
      <c r="V578">
        <f>IF(J578="","",MONTH(J578))</f>
        <v/>
      </c>
      <c r="W578">
        <f>IF(J578="","",YEAR(J578))</f>
        <v/>
      </c>
      <c r="X578" t="inlineStr">
        <is>
          <t>ViaCargo</t>
        </is>
      </c>
      <c r="Y578">
        <f>IFERROR(INDEX(Rastreio!$H$2:$H$200,MATCH(X578&amp;"|"&amp;U578,Rastreio!$A$2:$A$200,0)),"")</f>
        <v/>
      </c>
    </row>
    <row r="579">
      <c r="A579">
        <f>IFERROR(INDEX(STAs!$G$2:$G$61,MATCH(P579,STAs!$F$2:$F$61,0))&amp;"","")</f>
        <v/>
      </c>
      <c r="B579" t="n">
        <v>20035265</v>
      </c>
      <c r="C579" t="inlineStr">
        <is>
          <t>Não</t>
        </is>
      </c>
      <c r="D579" t="inlineStr">
        <is>
          <t>SC</t>
        </is>
      </c>
      <c r="E579" t="inlineStr">
        <is>
          <t>SUL</t>
        </is>
      </c>
      <c r="F579" t="inlineStr">
        <is>
          <t>Cliente C - Misturador</t>
        </is>
      </c>
      <c r="G579" t="inlineStr">
        <is>
          <t>Misturadores</t>
        </is>
      </c>
      <c r="H579" s="10" t="n">
        <v>185</v>
      </c>
      <c r="I579" s="10">
        <f>IFERROR(T579*H579,0)</f>
        <v/>
      </c>
      <c r="J579" s="11" t="n">
        <v>46005</v>
      </c>
      <c r="K579" s="11" t="n"/>
      <c r="L579" t="inlineStr">
        <is>
          <t>Debitar do STA</t>
        </is>
      </c>
      <c r="M579">
        <f>IF(L579="","",IFERROR(VLOOKUP(L579,mapGrupoStatus,2,0),"Outros"))</f>
        <v/>
      </c>
      <c r="N579">
        <f>IF(O579="","",IF(O579&lt;=30,"0-30 dias",IF(O579&lt;=60,"31-60 dias",IF(O579&lt;=90,"61-90 dias","Mais de 90 dias"))))</f>
        <v/>
      </c>
      <c r="O579">
        <f>IF(OR(M579="Pendente",M579="Em andamento"),IF(J579="","",TODAY()-J579),"")</f>
        <v/>
      </c>
      <c r="P579" t="n">
        <v>12138</v>
      </c>
      <c r="Q579" t="inlineStr">
        <is>
          <t>Refrigeração Serviços (12138)</t>
        </is>
      </c>
      <c r="R579" t="inlineStr">
        <is>
          <t>PC-0041</t>
        </is>
      </c>
      <c r="S579" t="inlineStr">
        <is>
          <t>Motor agitador modelo 02</t>
        </is>
      </c>
      <c r="T579" t="n">
        <v>1</v>
      </c>
      <c r="U579" t="inlineStr"/>
      <c r="V579">
        <f>IF(J579="","",MONTH(J579))</f>
        <v/>
      </c>
      <c r="W579">
        <f>IF(J579="","",YEAR(J579))</f>
        <v/>
      </c>
      <c r="X579" t="inlineStr"/>
      <c r="Y579">
        <f>IFERROR(INDEX(Rastreio!$H$2:$H$200,MATCH(X579&amp;"|"&amp;U579,Rastreio!$A$2:$A$200,0)),"")</f>
        <v/>
      </c>
    </row>
    <row r="580">
      <c r="A580">
        <f>IFERROR(INDEX(STAs!$G$2:$G$61,MATCH(P580,STAs!$F$2:$F$61,0))&amp;"","")</f>
        <v/>
      </c>
      <c r="B580" t="n">
        <v>20004577</v>
      </c>
      <c r="C580" t="inlineStr">
        <is>
          <t>Não</t>
        </is>
      </c>
      <c r="D580" t="inlineStr">
        <is>
          <t>PI</t>
        </is>
      </c>
      <c r="E580" t="inlineStr">
        <is>
          <t>NORDESTE</t>
        </is>
      </c>
      <c r="F580" t="inlineStr">
        <is>
          <t>Cliente C - Misturador</t>
        </is>
      </c>
      <c r="G580" t="inlineStr">
        <is>
          <t>Refrigeradores</t>
        </is>
      </c>
      <c r="H580" s="10" t="n">
        <v>315</v>
      </c>
      <c r="I580" s="10">
        <f>IFERROR(T580*H580,0)</f>
        <v/>
      </c>
      <c r="J580" s="11" t="n">
        <v>46006</v>
      </c>
      <c r="K580" s="11" t="n">
        <v>46049</v>
      </c>
      <c r="L580" t="inlineStr">
        <is>
          <t>Ok. Devolvida</t>
        </is>
      </c>
      <c r="M580">
        <f>IF(L580="","",IFERROR(VLOOKUP(L580,mapGrupoStatus,2,0),"Outros"))</f>
        <v/>
      </c>
      <c r="N580">
        <f>IF(O580="","",IF(O580&lt;=30,"0-30 dias",IF(O580&lt;=60,"31-60 dias",IF(O580&lt;=90,"61-90 dias","Mais de 90 dias"))))</f>
        <v/>
      </c>
      <c r="O580">
        <f>IF(OR(M580="Pendente",M580="Em andamento"),IF(J580="","",TODAY()-J580),"")</f>
        <v/>
      </c>
      <c r="P580" t="n">
        <v>12936</v>
      </c>
      <c r="Q580" t="inlineStr">
        <is>
          <t>Frigo Técnica (12936)</t>
        </is>
      </c>
      <c r="R580" t="inlineStr">
        <is>
          <t>PC-0002</t>
        </is>
      </c>
      <c r="S580" t="inlineStr">
        <is>
          <t>Compressor modelo 02</t>
        </is>
      </c>
      <c r="T580" t="n">
        <v>1</v>
      </c>
      <c r="U580" t="n">
        <v>106</v>
      </c>
      <c r="V580">
        <f>IF(J580="","",MONTH(J580))</f>
        <v/>
      </c>
      <c r="W580">
        <f>IF(J580="","",YEAR(J580))</f>
        <v/>
      </c>
      <c r="X580" t="inlineStr">
        <is>
          <t>LogExpress</t>
        </is>
      </c>
      <c r="Y580">
        <f>IFERROR(INDEX(Rastreio!$H$2:$H$200,MATCH(X580&amp;"|"&amp;U580,Rastreio!$A$2:$A$200,0)),"")</f>
        <v/>
      </c>
    </row>
    <row r="581">
      <c r="A581">
        <f>IFERROR(INDEX(STAs!$G$2:$G$61,MATCH(P581,STAs!$F$2:$F$61,0))&amp;"","")</f>
        <v/>
      </c>
      <c r="B581" t="n">
        <v>20005811</v>
      </c>
      <c r="C581" t="inlineStr">
        <is>
          <t>Não</t>
        </is>
      </c>
      <c r="D581" t="inlineStr">
        <is>
          <t>AC</t>
        </is>
      </c>
      <c r="E581" t="inlineStr">
        <is>
          <t>NORTE</t>
        </is>
      </c>
      <c r="F581" t="inlineStr">
        <is>
          <t>Cliente A - Refrigerador</t>
        </is>
      </c>
      <c r="G581" t="inlineStr">
        <is>
          <t>Refrigeradores</t>
        </is>
      </c>
      <c r="H581" s="10" t="n">
        <v>155</v>
      </c>
      <c r="I581" s="10">
        <f>IFERROR(T581*H581,0)</f>
        <v/>
      </c>
      <c r="J581" s="11" t="n">
        <v>46006</v>
      </c>
      <c r="K581" s="11" t="n"/>
      <c r="L581" t="inlineStr">
        <is>
          <t>Não Devolve-Norte</t>
        </is>
      </c>
      <c r="M581">
        <f>IF(L581="","",IFERROR(VLOOKUP(L581,mapGrupoStatus,2,0),"Outros"))</f>
        <v/>
      </c>
      <c r="N581">
        <f>IF(O581="","",IF(O581&lt;=30,"0-30 dias",IF(O581&lt;=60,"31-60 dias",IF(O581&lt;=90,"61-90 dias","Mais de 90 dias"))))</f>
        <v/>
      </c>
      <c r="O581">
        <f>IF(OR(M581="Pendente",M581="Em andamento"),IF(J581="","",TODAY()-J581),"")</f>
        <v/>
      </c>
      <c r="P581" t="n">
        <v>11022</v>
      </c>
      <c r="Q581" t="inlineStr">
        <is>
          <t>Brisa Ltda (11022)</t>
        </is>
      </c>
      <c r="R581" t="inlineStr">
        <is>
          <t>PC-0022</t>
        </is>
      </c>
      <c r="S581" t="inlineStr">
        <is>
          <t>Controlador digital modelo 02</t>
        </is>
      </c>
      <c r="T581" t="n">
        <v>1</v>
      </c>
      <c r="U581" t="inlineStr"/>
      <c r="V581">
        <f>IF(J581="","",MONTH(J581))</f>
        <v/>
      </c>
      <c r="W581">
        <f>IF(J581="","",YEAR(J581))</f>
        <v/>
      </c>
      <c r="X581" t="inlineStr"/>
      <c r="Y581">
        <f>IFERROR(INDEX(Rastreio!$H$2:$H$200,MATCH(X581&amp;"|"&amp;U581,Rastreio!$A$2:$A$200,0)),"")</f>
        <v/>
      </c>
    </row>
    <row r="582">
      <c r="A582">
        <f>IFERROR(INDEX(STAs!$G$2:$G$61,MATCH(P582,STAs!$F$2:$F$61,0))&amp;"","")</f>
        <v/>
      </c>
      <c r="B582" t="n">
        <v>20019404</v>
      </c>
      <c r="C582" t="inlineStr">
        <is>
          <t>Não</t>
        </is>
      </c>
      <c r="D582" t="inlineStr">
        <is>
          <t>PR</t>
        </is>
      </c>
      <c r="E582" t="inlineStr">
        <is>
          <t>SUL</t>
        </is>
      </c>
      <c r="F582" t="inlineStr">
        <is>
          <t>Cliente A - Refrigerador</t>
        </is>
      </c>
      <c r="G582" t="inlineStr">
        <is>
          <t>Misturadores</t>
        </is>
      </c>
      <c r="H582" s="10" t="n">
        <v>185</v>
      </c>
      <c r="I582" s="10">
        <f>IFERROR(T582*H582,0)</f>
        <v/>
      </c>
      <c r="J582" s="11" t="n">
        <v>46006</v>
      </c>
      <c r="K582" s="11" t="n"/>
      <c r="L582" t="inlineStr">
        <is>
          <t>Debitar do STA</t>
        </is>
      </c>
      <c r="M582">
        <f>IF(L582="","",IFERROR(VLOOKUP(L582,mapGrupoStatus,2,0),"Outros"))</f>
        <v/>
      </c>
      <c r="N582">
        <f>IF(O582="","",IF(O582&lt;=30,"0-30 dias",IF(O582&lt;=60,"31-60 dias",IF(O582&lt;=90,"61-90 dias","Mais de 90 dias"))))</f>
        <v/>
      </c>
      <c r="O582">
        <f>IF(OR(M582="Pendente",M582="Em andamento"),IF(J582="","",TODAY()-J582),"")</f>
        <v/>
      </c>
      <c r="P582" t="n">
        <v>10504</v>
      </c>
      <c r="Q582" t="inlineStr">
        <is>
          <t>Zero Grau Ltda (10504)</t>
        </is>
      </c>
      <c r="R582" t="inlineStr">
        <is>
          <t>PC-0041</t>
        </is>
      </c>
      <c r="S582" t="inlineStr">
        <is>
          <t>Motor agitador modelo 02</t>
        </is>
      </c>
      <c r="T582" t="n">
        <v>1</v>
      </c>
      <c r="U582" t="inlineStr"/>
      <c r="V582">
        <f>IF(J582="","",MONTH(J582))</f>
        <v/>
      </c>
      <c r="W582">
        <f>IF(J582="","",YEAR(J582))</f>
        <v/>
      </c>
      <c r="X582" t="inlineStr"/>
      <c r="Y582">
        <f>IFERROR(INDEX(Rastreio!$H$2:$H$200,MATCH(X582&amp;"|"&amp;U582,Rastreio!$A$2:$A$200,0)),"")</f>
        <v/>
      </c>
    </row>
    <row r="583">
      <c r="A583">
        <f>IFERROR(INDEX(STAs!$G$2:$G$61,MATCH(P583,STAs!$F$2:$F$61,0))&amp;"","")</f>
        <v/>
      </c>
      <c r="B583" t="n">
        <v>20031920</v>
      </c>
      <c r="C583" t="inlineStr">
        <is>
          <t>Não</t>
        </is>
      </c>
      <c r="D583" t="inlineStr">
        <is>
          <t>TO</t>
        </is>
      </c>
      <c r="E583" t="inlineStr">
        <is>
          <t>NORTE</t>
        </is>
      </c>
      <c r="F583" t="inlineStr">
        <is>
          <t>Cliente C - Misturador</t>
        </is>
      </c>
      <c r="G583" t="inlineStr">
        <is>
          <t>Refrigeradores</t>
        </is>
      </c>
      <c r="H583" s="10" t="n">
        <v>40</v>
      </c>
      <c r="I583" s="10">
        <f>IFERROR(T583*H583,0)</f>
        <v/>
      </c>
      <c r="J583" s="11" t="n">
        <v>46006</v>
      </c>
      <c r="K583" s="11" t="n"/>
      <c r="L583" t="inlineStr">
        <is>
          <t>Não Devolve-Norte</t>
        </is>
      </c>
      <c r="M583">
        <f>IF(L583="","",IFERROR(VLOOKUP(L583,mapGrupoStatus,2,0),"Outros"))</f>
        <v/>
      </c>
      <c r="N583">
        <f>IF(O583="","",IF(O583&lt;=30,"0-30 dias",IF(O583&lt;=60,"31-60 dias",IF(O583&lt;=90,"61-90 dias","Mais de 90 dias"))))</f>
        <v/>
      </c>
      <c r="O583">
        <f>IF(OR(M583="Pendente",M583="Em andamento"),IF(J583="","",TODAY()-J583),"")</f>
        <v/>
      </c>
      <c r="P583" t="n">
        <v>10939</v>
      </c>
      <c r="Q583" t="inlineStr">
        <is>
          <t>Zero Grau Manutenção (10939)</t>
        </is>
      </c>
      <c r="R583" t="inlineStr">
        <is>
          <t>PC-0005</t>
        </is>
      </c>
      <c r="S583" t="inlineStr">
        <is>
          <t>Termostato modelo 02</t>
        </is>
      </c>
      <c r="T583" t="n">
        <v>1</v>
      </c>
      <c r="U583" t="inlineStr"/>
      <c r="V583">
        <f>IF(J583="","",MONTH(J583))</f>
        <v/>
      </c>
      <c r="W583">
        <f>IF(J583="","",YEAR(J583))</f>
        <v/>
      </c>
      <c r="X583" t="inlineStr"/>
      <c r="Y583">
        <f>IFERROR(INDEX(Rastreio!$H$2:$H$200,MATCH(X583&amp;"|"&amp;U583,Rastreio!$A$2:$A$200,0)),"")</f>
        <v/>
      </c>
    </row>
    <row r="584">
      <c r="A584">
        <f>IFERROR(INDEX(STAs!$G$2:$G$61,MATCH(P584,STAs!$F$2:$F$61,0))&amp;"","")</f>
        <v/>
      </c>
      <c r="B584" t="n">
        <v>20033913</v>
      </c>
      <c r="C584" t="inlineStr">
        <is>
          <t>Não</t>
        </is>
      </c>
      <c r="D584" t="inlineStr">
        <is>
          <t>RR</t>
        </is>
      </c>
      <c r="E584" t="inlineStr">
        <is>
          <t>NORTE</t>
        </is>
      </c>
      <c r="F584" t="inlineStr">
        <is>
          <t>Cliente A - Refrigerador</t>
        </is>
      </c>
      <c r="G584" t="inlineStr">
        <is>
          <t>Misturadores</t>
        </is>
      </c>
      <c r="H584" s="10" t="n">
        <v>50</v>
      </c>
      <c r="I584" s="10">
        <f>IFERROR(T584*H584,0)</f>
        <v/>
      </c>
      <c r="J584" s="11" t="n">
        <v>46006</v>
      </c>
      <c r="K584" s="11" t="n">
        <v>46059</v>
      </c>
      <c r="L584" t="inlineStr">
        <is>
          <t>Ok. Devolvida</t>
        </is>
      </c>
      <c r="M584">
        <f>IF(L584="","",IFERROR(VLOOKUP(L584,mapGrupoStatus,2,0),"Outros"))</f>
        <v/>
      </c>
      <c r="N584">
        <f>IF(O584="","",IF(O584&lt;=30,"0-30 dias",IF(O584&lt;=60,"31-60 dias",IF(O584&lt;=90,"61-90 dias","Mais de 90 dias"))))</f>
        <v/>
      </c>
      <c r="O584">
        <f>IF(OR(M584="Pendente",M584="Em andamento"),IF(J584="","",TODAY()-J584),"")</f>
        <v/>
      </c>
      <c r="P584" t="n">
        <v>11818</v>
      </c>
      <c r="Q584" t="inlineStr">
        <is>
          <t>Termotec Ltda (11818)</t>
        </is>
      </c>
      <c r="R584" t="inlineStr">
        <is>
          <t>PC-0044</t>
        </is>
      </c>
      <c r="S584" t="inlineStr">
        <is>
          <t>Bico dosador modelo 03</t>
        </is>
      </c>
      <c r="T584" t="n">
        <v>1</v>
      </c>
      <c r="U584" t="n">
        <v>153</v>
      </c>
      <c r="V584">
        <f>IF(J584="","",MONTH(J584))</f>
        <v/>
      </c>
      <c r="W584">
        <f>IF(J584="","",YEAR(J584))</f>
        <v/>
      </c>
      <c r="X584" t="inlineStr">
        <is>
          <t>ViaCargo</t>
        </is>
      </c>
      <c r="Y584">
        <f>IFERROR(INDEX(Rastreio!$H$2:$H$200,MATCH(X584&amp;"|"&amp;U584,Rastreio!$A$2:$A$200,0)),"")</f>
        <v/>
      </c>
    </row>
    <row r="585">
      <c r="A585">
        <f>IFERROR(INDEX(STAs!$G$2:$G$61,MATCH(P585,STAs!$F$2:$F$61,0))&amp;"","")</f>
        <v/>
      </c>
      <c r="B585" t="n">
        <v>20035204</v>
      </c>
      <c r="C585" t="inlineStr">
        <is>
          <t>Não</t>
        </is>
      </c>
      <c r="D585" t="inlineStr">
        <is>
          <t>SC</t>
        </is>
      </c>
      <c r="E585" t="inlineStr">
        <is>
          <t>SUL</t>
        </is>
      </c>
      <c r="F585" t="inlineStr">
        <is>
          <t>Cliente B - Chopeira</t>
        </is>
      </c>
      <c r="G585" t="inlineStr">
        <is>
          <t>Refrigeradores</t>
        </is>
      </c>
      <c r="H585" s="10" t="n">
        <v>190</v>
      </c>
      <c r="I585" s="10">
        <f>IFERROR(T585*H585,0)</f>
        <v/>
      </c>
      <c r="J585" s="11" t="n">
        <v>46006</v>
      </c>
      <c r="K585" s="11" t="n"/>
      <c r="L585" t="inlineStr">
        <is>
          <t>Em transporte</t>
        </is>
      </c>
      <c r="M585">
        <f>IF(L585="","",IFERROR(VLOOKUP(L585,mapGrupoStatus,2,0),"Outros"))</f>
        <v/>
      </c>
      <c r="N585">
        <f>IF(O585="","",IF(O585&lt;=30,"0-30 dias",IF(O585&lt;=60,"31-60 dias",IF(O585&lt;=90,"61-90 dias","Mais de 90 dias"))))</f>
        <v/>
      </c>
      <c r="O585">
        <f>IF(OR(M585="Pendente",M585="Em andamento"),IF(J585="","",TODAY()-J585),"")</f>
        <v/>
      </c>
      <c r="P585" t="n">
        <v>12138</v>
      </c>
      <c r="Q585" t="inlineStr">
        <is>
          <t>Refrigeração Serviços (12138)</t>
        </is>
      </c>
      <c r="R585" t="inlineStr">
        <is>
          <t>PC-0014</t>
        </is>
      </c>
      <c r="S585" t="inlineStr">
        <is>
          <t>Placa eletrônica modelo 04</t>
        </is>
      </c>
      <c r="T585" t="n">
        <v>1</v>
      </c>
      <c r="U585" t="n">
        <v>162</v>
      </c>
      <c r="V585">
        <f>IF(J585="","",MONTH(J585))</f>
        <v/>
      </c>
      <c r="W585">
        <f>IF(J585="","",YEAR(J585))</f>
        <v/>
      </c>
      <c r="X585" t="inlineStr">
        <is>
          <t>CargoMax</t>
        </is>
      </c>
      <c r="Y585">
        <f>IFERROR(INDEX(Rastreio!$H$2:$H$200,MATCH(X585&amp;"|"&amp;U585,Rastreio!$A$2:$A$200,0)),"")</f>
        <v/>
      </c>
    </row>
    <row r="586">
      <c r="A586">
        <f>IFERROR(INDEX(STAs!$G$2:$G$61,MATCH(P586,STAs!$F$2:$F$61,0))&amp;"","")</f>
        <v/>
      </c>
      <c r="B586" t="n">
        <v>20005164</v>
      </c>
      <c r="C586" t="inlineStr">
        <is>
          <t>Não</t>
        </is>
      </c>
      <c r="D586" t="inlineStr">
        <is>
          <t>SP</t>
        </is>
      </c>
      <c r="E586" t="inlineStr">
        <is>
          <t>SUDESTE SP</t>
        </is>
      </c>
      <c r="F586" t="inlineStr">
        <is>
          <t>Cliente A - Refrigerador</t>
        </is>
      </c>
      <c r="G586" t="inlineStr">
        <is>
          <t>Refrigeradores</t>
        </is>
      </c>
      <c r="H586" s="10" t="n">
        <v>155</v>
      </c>
      <c r="I586" s="10">
        <f>IFERROR(T586*H586,0)</f>
        <v/>
      </c>
      <c r="J586" s="11" t="n">
        <v>46007</v>
      </c>
      <c r="K586" s="11" t="n"/>
      <c r="L586" t="inlineStr">
        <is>
          <t>Em transporte</t>
        </is>
      </c>
      <c r="M586">
        <f>IF(L586="","",IFERROR(VLOOKUP(L586,mapGrupoStatus,2,0),"Outros"))</f>
        <v/>
      </c>
      <c r="N586">
        <f>IF(O586="","",IF(O586&lt;=30,"0-30 dias",IF(O586&lt;=60,"31-60 dias",IF(O586&lt;=90,"61-90 dias","Mais de 90 dias"))))</f>
        <v/>
      </c>
      <c r="O586">
        <f>IF(OR(M586="Pendente",M586="Em andamento"),IF(J586="","",TODAY()-J586),"")</f>
        <v/>
      </c>
      <c r="P586" t="n">
        <v>10538</v>
      </c>
      <c r="Q586" t="inlineStr">
        <is>
          <t>Frio Refrigeração (10538)</t>
        </is>
      </c>
      <c r="R586" t="inlineStr">
        <is>
          <t>PC-0021</t>
        </is>
      </c>
      <c r="S586" t="inlineStr">
        <is>
          <t>Controlador digital modelo 01</t>
        </is>
      </c>
      <c r="T586" t="n">
        <v>1</v>
      </c>
      <c r="U586" t="n">
        <v>108</v>
      </c>
      <c r="V586">
        <f>IF(J586="","",MONTH(J586))</f>
        <v/>
      </c>
      <c r="W586">
        <f>IF(J586="","",YEAR(J586))</f>
        <v/>
      </c>
      <c r="X586" t="inlineStr">
        <is>
          <t>EntregaJá</t>
        </is>
      </c>
      <c r="Y586">
        <f>IFERROR(INDEX(Rastreio!$H$2:$H$200,MATCH(X586&amp;"|"&amp;U586,Rastreio!$A$2:$A$200,0)),"")</f>
        <v/>
      </c>
    </row>
    <row r="587">
      <c r="A587">
        <f>IFERROR(INDEX(STAs!$G$2:$G$61,MATCH(P587,STAs!$F$2:$F$61,0))&amp;"","")</f>
        <v/>
      </c>
      <c r="B587" t="n">
        <v>20033180</v>
      </c>
      <c r="C587" t="inlineStr">
        <is>
          <t>Não</t>
        </is>
      </c>
      <c r="D587" t="inlineStr">
        <is>
          <t>GO</t>
        </is>
      </c>
      <c r="E587" t="inlineStr">
        <is>
          <t>CENTRO OESTE</t>
        </is>
      </c>
      <c r="F587" t="inlineStr">
        <is>
          <t>Cliente A - Refrigerador</t>
        </is>
      </c>
      <c r="G587" t="inlineStr">
        <is>
          <t>Refrigeradores</t>
        </is>
      </c>
      <c r="H587" s="10" t="n">
        <v>315</v>
      </c>
      <c r="I587" s="10">
        <f>IFERROR(T587*H587,0)</f>
        <v/>
      </c>
      <c r="J587" s="11" t="n">
        <v>46007</v>
      </c>
      <c r="K587" s="11" t="n">
        <v>46040</v>
      </c>
      <c r="L587" t="inlineStr">
        <is>
          <t>Ok. Devolvida</t>
        </is>
      </c>
      <c r="M587">
        <f>IF(L587="","",IFERROR(VLOOKUP(L587,mapGrupoStatus,2,0),"Outros"))</f>
        <v/>
      </c>
      <c r="N587">
        <f>IF(O587="","",IF(O587&lt;=30,"0-30 dias",IF(O587&lt;=60,"31-60 dias",IF(O587&lt;=90,"61-90 dias","Mais de 90 dias"))))</f>
        <v/>
      </c>
      <c r="O587">
        <f>IF(OR(M587="Pendente",M587="Em andamento"),IF(J587="","",TODAY()-J587),"")</f>
        <v/>
      </c>
      <c r="P587" t="n">
        <v>11293</v>
      </c>
      <c r="Q587" t="inlineStr">
        <is>
          <t>Assistência Técnica Ltda (11293)</t>
        </is>
      </c>
      <c r="R587" t="inlineStr">
        <is>
          <t>PC-0002</t>
        </is>
      </c>
      <c r="S587" t="inlineStr">
        <is>
          <t>Compressor modelo 02</t>
        </is>
      </c>
      <c r="T587" t="n">
        <v>1</v>
      </c>
      <c r="U587" t="n">
        <v>159</v>
      </c>
      <c r="V587">
        <f>IF(J587="","",MONTH(J587))</f>
        <v/>
      </c>
      <c r="W587">
        <f>IF(J587="","",YEAR(J587))</f>
        <v/>
      </c>
      <c r="X587" t="inlineStr">
        <is>
          <t>RotaSul</t>
        </is>
      </c>
      <c r="Y587">
        <f>IFERROR(INDEX(Rastreio!$H$2:$H$200,MATCH(X587&amp;"|"&amp;U587,Rastreio!$A$2:$A$200,0)),"")</f>
        <v/>
      </c>
    </row>
    <row r="588">
      <c r="A588">
        <f>IFERROR(INDEX(STAs!$G$2:$G$61,MATCH(P588,STAs!$F$2:$F$61,0))&amp;"","")</f>
        <v/>
      </c>
      <c r="B588" t="n">
        <v>20010409</v>
      </c>
      <c r="C588" t="inlineStr">
        <is>
          <t>Não</t>
        </is>
      </c>
      <c r="D588" t="inlineStr">
        <is>
          <t>SP</t>
        </is>
      </c>
      <c r="E588" t="inlineStr">
        <is>
          <t>SUDESTE SP</t>
        </is>
      </c>
      <c r="F588" t="inlineStr">
        <is>
          <t>Cliente A - Refrigerador</t>
        </is>
      </c>
      <c r="G588" t="inlineStr">
        <is>
          <t>Chopeiras</t>
        </is>
      </c>
      <c r="H588" s="10" t="n">
        <v>205</v>
      </c>
      <c r="I588" s="10">
        <f>IFERROR(T588*H588,0)</f>
        <v/>
      </c>
      <c r="J588" s="11" t="n">
        <v>46008</v>
      </c>
      <c r="K588" s="11" t="n"/>
      <c r="L588" t="inlineStr">
        <is>
          <t>Em transporte</t>
        </is>
      </c>
      <c r="M588">
        <f>IF(L588="","",IFERROR(VLOOKUP(L588,mapGrupoStatus,2,0),"Outros"))</f>
        <v/>
      </c>
      <c r="N588">
        <f>IF(O588="","",IF(O588&lt;=30,"0-30 dias",IF(O588&lt;=60,"31-60 dias",IF(O588&lt;=90,"61-90 dias","Mais de 90 dias"))))</f>
        <v/>
      </c>
      <c r="O588">
        <f>IF(OR(M588="Pendente",M588="Em andamento"),IF(J588="","",TODAY()-J588),"")</f>
        <v/>
      </c>
      <c r="P588" t="n">
        <v>12052</v>
      </c>
      <c r="Q588" t="inlineStr">
        <is>
          <t>Brisa Refrigeração (12052)</t>
        </is>
      </c>
      <c r="R588" t="inlineStr">
        <is>
          <t>PC-0031</t>
        </is>
      </c>
      <c r="S588" t="inlineStr">
        <is>
          <t>Serpentina modelo 03</t>
        </is>
      </c>
      <c r="T588" t="n">
        <v>1</v>
      </c>
      <c r="U588" t="n">
        <v>121</v>
      </c>
      <c r="V588">
        <f>IF(J588="","",MONTH(J588))</f>
        <v/>
      </c>
      <c r="W588">
        <f>IF(J588="","",YEAR(J588))</f>
        <v/>
      </c>
      <c r="X588" t="inlineStr">
        <is>
          <t>EntregaJá</t>
        </is>
      </c>
      <c r="Y588">
        <f>IFERROR(INDEX(Rastreio!$H$2:$H$200,MATCH(X588&amp;"|"&amp;U588,Rastreio!$A$2:$A$200,0)),"")</f>
        <v/>
      </c>
    </row>
    <row r="589">
      <c r="A589">
        <f>IFERROR(INDEX(STAs!$G$2:$G$61,MATCH(P589,STAs!$F$2:$F$61,0))&amp;"","")</f>
        <v/>
      </c>
      <c r="B589" t="n">
        <v>20011314</v>
      </c>
      <c r="C589" t="inlineStr">
        <is>
          <t>Não</t>
        </is>
      </c>
      <c r="D589" t="inlineStr">
        <is>
          <t>SP</t>
        </is>
      </c>
      <c r="E589" t="inlineStr">
        <is>
          <t>SUDESTE SP</t>
        </is>
      </c>
      <c r="F589" t="inlineStr">
        <is>
          <t>Cliente B - Chopeira</t>
        </is>
      </c>
      <c r="G589" t="inlineStr">
        <is>
          <t>Chopeiras</t>
        </is>
      </c>
      <c r="H589" s="10" t="n">
        <v>120</v>
      </c>
      <c r="I589" s="10">
        <f>IFERROR(T589*H589,0)</f>
        <v/>
      </c>
      <c r="J589" s="11" t="n">
        <v>46008</v>
      </c>
      <c r="K589" s="11" t="n">
        <v>46061</v>
      </c>
      <c r="L589" t="inlineStr">
        <is>
          <t>Ok. Devolvida</t>
        </is>
      </c>
      <c r="M589">
        <f>IF(L589="","",IFERROR(VLOOKUP(L589,mapGrupoStatus,2,0),"Outros"))</f>
        <v/>
      </c>
      <c r="N589">
        <f>IF(O589="","",IF(O589&lt;=30,"0-30 dias",IF(O589&lt;=60,"31-60 dias",IF(O589&lt;=90,"61-90 dias","Mais de 90 dias"))))</f>
        <v/>
      </c>
      <c r="O589">
        <f>IF(OR(M589="Pendente",M589="Em andamento"),IF(J589="","",TODAY()-J589),"")</f>
        <v/>
      </c>
      <c r="P589" t="n">
        <v>10538</v>
      </c>
      <c r="Q589" t="inlineStr">
        <is>
          <t>Frio Refrigeração (10538)</t>
        </is>
      </c>
      <c r="R589" t="inlineStr">
        <is>
          <t>PC-0032</t>
        </is>
      </c>
      <c r="S589" t="inlineStr">
        <is>
          <t>Regulador de pressão modelo 01</t>
        </is>
      </c>
      <c r="T589" t="n">
        <v>1</v>
      </c>
      <c r="U589" t="n">
        <v>125</v>
      </c>
      <c r="V589">
        <f>IF(J589="","",MONTH(J589))</f>
        <v/>
      </c>
      <c r="W589">
        <f>IF(J589="","",YEAR(J589))</f>
        <v/>
      </c>
      <c r="X589" t="inlineStr">
        <is>
          <t>ViaCargo</t>
        </is>
      </c>
      <c r="Y589">
        <f>IFERROR(INDEX(Rastreio!$H$2:$H$200,MATCH(X589&amp;"|"&amp;U589,Rastreio!$A$2:$A$200,0)),"")</f>
        <v/>
      </c>
    </row>
    <row r="590">
      <c r="A590">
        <f>IFERROR(INDEX(STAs!$G$2:$G$61,MATCH(P590,STAs!$F$2:$F$61,0))&amp;"","")</f>
        <v/>
      </c>
      <c r="B590" t="n">
        <v>20011548</v>
      </c>
      <c r="C590" t="inlineStr">
        <is>
          <t>Não</t>
        </is>
      </c>
      <c r="D590" t="inlineStr">
        <is>
          <t>BA</t>
        </is>
      </c>
      <c r="E590" t="inlineStr">
        <is>
          <t>NORDESTE</t>
        </is>
      </c>
      <c r="F590" t="inlineStr">
        <is>
          <t>Cliente B - Chopeira</t>
        </is>
      </c>
      <c r="G590" t="inlineStr">
        <is>
          <t>Misturadores</t>
        </is>
      </c>
      <c r="H590" s="10" t="n">
        <v>50</v>
      </c>
      <c r="I590" s="10">
        <f>IFERROR(T590*H590,0)</f>
        <v/>
      </c>
      <c r="J590" s="11" t="n">
        <v>46008</v>
      </c>
      <c r="K590" s="11" t="n">
        <v>46019</v>
      </c>
      <c r="L590" t="inlineStr">
        <is>
          <t>Ok. Devolvida</t>
        </is>
      </c>
      <c r="M590">
        <f>IF(L590="","",IFERROR(VLOOKUP(L590,mapGrupoStatus,2,0),"Outros"))</f>
        <v/>
      </c>
      <c r="N590">
        <f>IF(O590="","",IF(O590&lt;=30,"0-30 dias",IF(O590&lt;=60,"31-60 dias",IF(O590&lt;=90,"61-90 dias","Mais de 90 dias"))))</f>
        <v/>
      </c>
      <c r="O590">
        <f>IF(OR(M590="Pendente",M590="Em andamento"),IF(J590="","",TODAY()-J590),"")</f>
        <v/>
      </c>
      <c r="P590" t="n">
        <v>12194</v>
      </c>
      <c r="Q590" t="inlineStr">
        <is>
          <t>Polar &amp; Cia (12194)</t>
        </is>
      </c>
      <c r="R590" t="inlineStr">
        <is>
          <t>PC-0045</t>
        </is>
      </c>
      <c r="S590" t="inlineStr">
        <is>
          <t>Sensor de nível modelo 01</t>
        </is>
      </c>
      <c r="T590" t="n">
        <v>1</v>
      </c>
      <c r="U590" t="n">
        <v>122</v>
      </c>
      <c r="V590">
        <f>IF(J590="","",MONTH(J590))</f>
        <v/>
      </c>
      <c r="W590">
        <f>IF(J590="","",YEAR(J590))</f>
        <v/>
      </c>
      <c r="X590" t="inlineStr">
        <is>
          <t>LogExpress</t>
        </is>
      </c>
      <c r="Y590">
        <f>IFERROR(INDEX(Rastreio!$H$2:$H$200,MATCH(X590&amp;"|"&amp;U590,Rastreio!$A$2:$A$200,0)),"")</f>
        <v/>
      </c>
    </row>
    <row r="591">
      <c r="A591">
        <f>IFERROR(INDEX(STAs!$G$2:$G$61,MATCH(P591,STAs!$F$2:$F$61,0))&amp;"","")</f>
        <v/>
      </c>
      <c r="B591" t="n">
        <v>20016827</v>
      </c>
      <c r="C591" t="inlineStr">
        <is>
          <t>Não</t>
        </is>
      </c>
      <c r="D591" t="inlineStr">
        <is>
          <t>RJ</t>
        </is>
      </c>
      <c r="E591" t="inlineStr">
        <is>
          <t>SUDESTE RJ e ES</t>
        </is>
      </c>
      <c r="F591" t="inlineStr">
        <is>
          <t>Cliente A - Refrigerador</t>
        </is>
      </c>
      <c r="G591" t="inlineStr">
        <is>
          <t>Refrigeradores</t>
        </is>
      </c>
      <c r="H591" s="10" t="n">
        <v>35</v>
      </c>
      <c r="I591" s="10">
        <f>IFERROR(T591*H591,0)</f>
        <v/>
      </c>
      <c r="J591" s="11" t="n">
        <v>46008</v>
      </c>
      <c r="K591" s="11" t="n">
        <v>46018</v>
      </c>
      <c r="L591" t="inlineStr">
        <is>
          <t>Ok. Devolvida</t>
        </is>
      </c>
      <c r="M591">
        <f>IF(L591="","",IFERROR(VLOOKUP(L591,mapGrupoStatus,2,0),"Outros"))</f>
        <v/>
      </c>
      <c r="N591">
        <f>IF(O591="","",IF(O591&lt;=30,"0-30 dias",IF(O591&lt;=60,"31-60 dias",IF(O591&lt;=90,"61-90 dias","Mais de 90 dias"))))</f>
        <v/>
      </c>
      <c r="O591">
        <f>IF(OR(M591="Pendente",M591="Em andamento"),IF(J591="","",TODAY()-J591),"")</f>
        <v/>
      </c>
      <c r="P591" t="n">
        <v>10676</v>
      </c>
      <c r="Q591" t="inlineStr">
        <is>
          <t>Clima Serviços (10676)</t>
        </is>
      </c>
      <c r="R591" t="inlineStr">
        <is>
          <t>PC-0020</t>
        </is>
      </c>
      <c r="S591" t="inlineStr">
        <is>
          <t>Gaxeta da porta modelo 03</t>
        </is>
      </c>
      <c r="T591" t="n">
        <v>1</v>
      </c>
      <c r="U591" t="n">
        <v>122</v>
      </c>
      <c r="V591">
        <f>IF(J591="","",MONTH(J591))</f>
        <v/>
      </c>
      <c r="W591">
        <f>IF(J591="","",YEAR(J591))</f>
        <v/>
      </c>
      <c r="X591" t="inlineStr">
        <is>
          <t>RotaSul</t>
        </is>
      </c>
      <c r="Y591">
        <f>IFERROR(INDEX(Rastreio!$H$2:$H$200,MATCH(X591&amp;"|"&amp;U591,Rastreio!$A$2:$A$200,0)),"")</f>
        <v/>
      </c>
    </row>
    <row r="592">
      <c r="A592">
        <f>IFERROR(INDEX(STAs!$G$2:$G$61,MATCH(P592,STAs!$F$2:$F$61,0))&amp;"","")</f>
        <v/>
      </c>
      <c r="B592" t="n">
        <v>20024989</v>
      </c>
      <c r="C592" t="inlineStr">
        <is>
          <t>Não</t>
        </is>
      </c>
      <c r="D592" t="inlineStr">
        <is>
          <t>MS</t>
        </is>
      </c>
      <c r="E592" t="inlineStr">
        <is>
          <t>CENTRO OESTE</t>
        </is>
      </c>
      <c r="F592" t="inlineStr">
        <is>
          <t>Cliente A - Refrigerador</t>
        </is>
      </c>
      <c r="G592" t="inlineStr">
        <is>
          <t>Chopeiras</t>
        </is>
      </c>
      <c r="H592" s="10" t="n">
        <v>100</v>
      </c>
      <c r="I592" s="10">
        <f>IFERROR(T592*H592,0)</f>
        <v/>
      </c>
      <c r="J592" s="11" t="n">
        <v>46008</v>
      </c>
      <c r="K592" s="11" t="n"/>
      <c r="L592" t="inlineStr">
        <is>
          <t>Aguardando devolução</t>
        </is>
      </c>
      <c r="M592">
        <f>IF(L592="","",IFERROR(VLOOKUP(L592,mapGrupoStatus,2,0),"Outros"))</f>
        <v/>
      </c>
      <c r="N592">
        <f>IF(O592="","",IF(O592&lt;=30,"0-30 dias",IF(O592&lt;=60,"31-60 dias",IF(O592&lt;=90,"61-90 dias","Mais de 90 dias"))))</f>
        <v/>
      </c>
      <c r="O592">
        <f>IF(OR(M592="Pendente",M592="Em andamento"),IF(J592="","",TODAY()-J592),"")</f>
        <v/>
      </c>
      <c r="P592" t="n">
        <v>11726</v>
      </c>
      <c r="Q592" t="inlineStr">
        <is>
          <t>Norte Frio Refrigeração (11726)</t>
        </is>
      </c>
      <c r="R592" t="inlineStr">
        <is>
          <t>PC-0027</t>
        </is>
      </c>
      <c r="S592" t="inlineStr">
        <is>
          <t>Torneira de chopp modelo 02</t>
        </is>
      </c>
      <c r="T592" t="n">
        <v>1</v>
      </c>
      <c r="U592" t="inlineStr"/>
      <c r="V592">
        <f>IF(J592="","",MONTH(J592))</f>
        <v/>
      </c>
      <c r="W592">
        <f>IF(J592="","",YEAR(J592))</f>
        <v/>
      </c>
      <c r="X592" t="inlineStr"/>
      <c r="Y592">
        <f>IFERROR(INDEX(Rastreio!$H$2:$H$200,MATCH(X592&amp;"|"&amp;U592,Rastreio!$A$2:$A$200,0)),"")</f>
        <v/>
      </c>
    </row>
    <row r="593">
      <c r="A593">
        <f>IFERROR(INDEX(STAs!$G$2:$G$61,MATCH(P593,STAs!$F$2:$F$61,0))&amp;"","")</f>
        <v/>
      </c>
      <c r="B593" t="n">
        <v>20032599</v>
      </c>
      <c r="C593" t="inlineStr">
        <is>
          <t>Não</t>
        </is>
      </c>
      <c r="D593" t="inlineStr">
        <is>
          <t>SP</t>
        </is>
      </c>
      <c r="E593" t="inlineStr">
        <is>
          <t>SUDESTE SP</t>
        </is>
      </c>
      <c r="F593" t="inlineStr">
        <is>
          <t>Cliente A - Refrigerador</t>
        </is>
      </c>
      <c r="G593" t="inlineStr">
        <is>
          <t>Refrigeradores</t>
        </is>
      </c>
      <c r="H593" s="10" t="n">
        <v>35</v>
      </c>
      <c r="I593" s="10">
        <f>IFERROR(T593*H593,0)</f>
        <v/>
      </c>
      <c r="J593" s="11" t="n">
        <v>46008</v>
      </c>
      <c r="K593" s="11" t="n"/>
      <c r="L593" t="inlineStr">
        <is>
          <t>Em transporte</t>
        </is>
      </c>
      <c r="M593">
        <f>IF(L593="","",IFERROR(VLOOKUP(L593,mapGrupoStatus,2,0),"Outros"))</f>
        <v/>
      </c>
      <c r="N593">
        <f>IF(O593="","",IF(O593&lt;=30,"0-30 dias",IF(O593&lt;=60,"31-60 dias",IF(O593&lt;=90,"61-90 dias","Mais de 90 dias"))))</f>
        <v/>
      </c>
      <c r="O593">
        <f>IF(OR(M593="Pendente",M593="Em andamento"),IF(J593="","",TODAY()-J593),"")</f>
        <v/>
      </c>
      <c r="P593" t="n">
        <v>12052</v>
      </c>
      <c r="Q593" t="inlineStr">
        <is>
          <t>Brisa Refrigeração (12052)</t>
        </is>
      </c>
      <c r="R593" t="inlineStr">
        <is>
          <t>PC-0020</t>
        </is>
      </c>
      <c r="S593" t="inlineStr">
        <is>
          <t>Gaxeta da porta modelo 03</t>
        </is>
      </c>
      <c r="T593" t="n">
        <v>1</v>
      </c>
      <c r="U593" t="n">
        <v>158</v>
      </c>
      <c r="V593">
        <f>IF(J593="","",MONTH(J593))</f>
        <v/>
      </c>
      <c r="W593">
        <f>IF(J593="","",YEAR(J593))</f>
        <v/>
      </c>
      <c r="X593" t="inlineStr">
        <is>
          <t>TransNorte</t>
        </is>
      </c>
      <c r="Y593">
        <f>IFERROR(INDEX(Rastreio!$H$2:$H$200,MATCH(X593&amp;"|"&amp;U593,Rastreio!$A$2:$A$200,0)),"")</f>
        <v/>
      </c>
    </row>
    <row r="594">
      <c r="A594">
        <f>IFERROR(INDEX(STAs!$G$2:$G$61,MATCH(P594,STAs!$F$2:$F$61,0))&amp;"","")</f>
        <v/>
      </c>
      <c r="B594" t="n">
        <v>20039925</v>
      </c>
      <c r="C594" t="inlineStr">
        <is>
          <t>Sim</t>
        </is>
      </c>
      <c r="D594" t="inlineStr">
        <is>
          <t>PR</t>
        </is>
      </c>
      <c r="E594" t="inlineStr">
        <is>
          <t>SUL</t>
        </is>
      </c>
      <c r="F594" t="inlineStr">
        <is>
          <t>Cliente A - Refrigerador</t>
        </is>
      </c>
      <c r="G594" t="inlineStr">
        <is>
          <t>Refrigeradores</t>
        </is>
      </c>
      <c r="H594" s="10" t="n">
        <v>35</v>
      </c>
      <c r="I594" s="10">
        <f>IFERROR(T594*H594,0)</f>
        <v/>
      </c>
      <c r="J594" s="11" t="n">
        <v>46008</v>
      </c>
      <c r="K594" s="11" t="n">
        <v>46022</v>
      </c>
      <c r="L594" t="inlineStr">
        <is>
          <t>Ok. Devolvida</t>
        </is>
      </c>
      <c r="M594">
        <f>IF(L594="","",IFERROR(VLOOKUP(L594,mapGrupoStatus,2,0),"Outros"))</f>
        <v/>
      </c>
      <c r="N594">
        <f>IF(O594="","",IF(O594&lt;=30,"0-30 dias",IF(O594&lt;=60,"31-60 dias",IF(O594&lt;=90,"61-90 dias","Mais de 90 dias"))))</f>
        <v/>
      </c>
      <c r="O594">
        <f>IF(OR(M594="Pendente",M594="Em andamento"),IF(J594="","",TODAY()-J594),"")</f>
        <v/>
      </c>
      <c r="P594" t="n">
        <v>10753</v>
      </c>
      <c r="Q594" t="inlineStr">
        <is>
          <t>Refrigel &amp; Cia (10753)</t>
        </is>
      </c>
      <c r="R594" t="inlineStr">
        <is>
          <t>PC-0020</t>
        </is>
      </c>
      <c r="S594" t="inlineStr">
        <is>
          <t>Gaxeta da porta modelo 03</t>
        </is>
      </c>
      <c r="T594" t="n">
        <v>1</v>
      </c>
      <c r="U594" t="n">
        <v>158</v>
      </c>
      <c r="V594">
        <f>IF(J594="","",MONTH(J594))</f>
        <v/>
      </c>
      <c r="W594">
        <f>IF(J594="","",YEAR(J594))</f>
        <v/>
      </c>
      <c r="X594" t="inlineStr">
        <is>
          <t>EntregaJá</t>
        </is>
      </c>
      <c r="Y594">
        <f>IFERROR(INDEX(Rastreio!$H$2:$H$200,MATCH(X594&amp;"|"&amp;U594,Rastreio!$A$2:$A$200,0)),"")</f>
        <v/>
      </c>
    </row>
    <row r="595">
      <c r="A595">
        <f>IFERROR(INDEX(STAs!$G$2:$G$61,MATCH(P595,STAs!$F$2:$F$61,0))&amp;"","")</f>
        <v/>
      </c>
      <c r="B595" t="n">
        <v>20005159</v>
      </c>
      <c r="C595" t="inlineStr">
        <is>
          <t>Não</t>
        </is>
      </c>
      <c r="D595" t="inlineStr">
        <is>
          <t>SP</t>
        </is>
      </c>
      <c r="E595" t="inlineStr">
        <is>
          <t>SUDESTE SP</t>
        </is>
      </c>
      <c r="F595" t="inlineStr">
        <is>
          <t>Cliente C - Misturador</t>
        </is>
      </c>
      <c r="G595" t="inlineStr">
        <is>
          <t>Refrigeradores</t>
        </is>
      </c>
      <c r="H595" s="10" t="n">
        <v>330</v>
      </c>
      <c r="I595" s="10">
        <f>IFERROR(T595*H595,0)</f>
        <v/>
      </c>
      <c r="J595" s="11" t="n">
        <v>46009</v>
      </c>
      <c r="K595" s="11" t="n"/>
      <c r="L595" t="inlineStr">
        <is>
          <t>NF Vencida</t>
        </is>
      </c>
      <c r="M595">
        <f>IF(L595="","",IFERROR(VLOOKUP(L595,mapGrupoStatus,2,0),"Outros"))</f>
        <v/>
      </c>
      <c r="N595">
        <f>IF(O595="","",IF(O595&lt;=30,"0-30 dias",IF(O595&lt;=60,"31-60 dias",IF(O595&lt;=90,"61-90 dias","Mais de 90 dias"))))</f>
        <v/>
      </c>
      <c r="O595">
        <f>IF(OR(M595="Pendente",M595="Em andamento"),IF(J595="","",TODAY()-J595),"")</f>
        <v/>
      </c>
      <c r="P595" t="n">
        <v>12901</v>
      </c>
      <c r="Q595" t="inlineStr">
        <is>
          <t>Frio Serviços (12901)</t>
        </is>
      </c>
      <c r="R595" t="inlineStr">
        <is>
          <t>PC-0003</t>
        </is>
      </c>
      <c r="S595" t="inlineStr">
        <is>
          <t>Compressor modelo 03</t>
        </is>
      </c>
      <c r="T595" t="n">
        <v>2</v>
      </c>
      <c r="U595" t="inlineStr"/>
      <c r="V595">
        <f>IF(J595="","",MONTH(J595))</f>
        <v/>
      </c>
      <c r="W595">
        <f>IF(J595="","",YEAR(J595))</f>
        <v/>
      </c>
      <c r="X595" t="inlineStr"/>
      <c r="Y595">
        <f>IFERROR(INDEX(Rastreio!$H$2:$H$200,MATCH(X595&amp;"|"&amp;U595,Rastreio!$A$2:$A$200,0)),"")</f>
        <v/>
      </c>
    </row>
    <row r="596">
      <c r="A596">
        <f>IFERROR(INDEX(STAs!$G$2:$G$61,MATCH(P596,STAs!$F$2:$F$61,0))&amp;"","")</f>
        <v/>
      </c>
      <c r="B596" t="n">
        <v>20012858</v>
      </c>
      <c r="C596" t="inlineStr">
        <is>
          <t>Sim</t>
        </is>
      </c>
      <c r="D596" t="inlineStr">
        <is>
          <t>CE</t>
        </is>
      </c>
      <c r="E596" t="inlineStr">
        <is>
          <t>NORDESTE</t>
        </is>
      </c>
      <c r="F596" t="inlineStr">
        <is>
          <t>Cliente C - Misturador</t>
        </is>
      </c>
      <c r="G596" t="inlineStr">
        <is>
          <t>Misturadores</t>
        </is>
      </c>
      <c r="H596" s="10" t="n">
        <v>60</v>
      </c>
      <c r="I596" s="10">
        <f>IFERROR(T596*H596,0)</f>
        <v/>
      </c>
      <c r="J596" s="11" t="n">
        <v>46009</v>
      </c>
      <c r="K596" s="11" t="n">
        <v>46047</v>
      </c>
      <c r="L596" t="inlineStr">
        <is>
          <t>Ok. Devolvida</t>
        </is>
      </c>
      <c r="M596">
        <f>IF(L596="","",IFERROR(VLOOKUP(L596,mapGrupoStatus,2,0),"Outros"))</f>
        <v/>
      </c>
      <c r="N596">
        <f>IF(O596="","",IF(O596&lt;=30,"0-30 dias",IF(O596&lt;=60,"31-60 dias",IF(O596&lt;=90,"61-90 dias","Mais de 90 dias"))))</f>
        <v/>
      </c>
      <c r="O596">
        <f>IF(OR(M596="Pendente",M596="Em andamento"),IF(J596="","",TODAY()-J596),"")</f>
        <v/>
      </c>
      <c r="P596" t="n">
        <v>10615</v>
      </c>
      <c r="Q596" t="inlineStr">
        <is>
          <t>Brisa Técnica (10615)</t>
        </is>
      </c>
      <c r="R596" t="inlineStr">
        <is>
          <t>PC-0048</t>
        </is>
      </c>
      <c r="S596" t="inlineStr">
        <is>
          <t>Sensor de nível modelo 04</t>
        </is>
      </c>
      <c r="T596" t="n">
        <v>1</v>
      </c>
      <c r="U596" t="n">
        <v>125</v>
      </c>
      <c r="V596">
        <f>IF(J596="","",MONTH(J596))</f>
        <v/>
      </c>
      <c r="W596">
        <f>IF(J596="","",YEAR(J596))</f>
        <v/>
      </c>
      <c r="X596" t="inlineStr">
        <is>
          <t>ViaCargo</t>
        </is>
      </c>
      <c r="Y596">
        <f>IFERROR(INDEX(Rastreio!$H$2:$H$200,MATCH(X596&amp;"|"&amp;U596,Rastreio!$A$2:$A$200,0)),"")</f>
        <v/>
      </c>
    </row>
    <row r="597">
      <c r="A597">
        <f>IFERROR(INDEX(STAs!$G$2:$G$61,MATCH(P597,STAs!$F$2:$F$61,0))&amp;"","")</f>
        <v/>
      </c>
      <c r="B597" t="n">
        <v>20025115</v>
      </c>
      <c r="C597" t="inlineStr">
        <is>
          <t>Sim</t>
        </is>
      </c>
      <c r="D597" t="inlineStr">
        <is>
          <t>GO</t>
        </is>
      </c>
      <c r="E597" t="inlineStr">
        <is>
          <t>CENTRO OESTE</t>
        </is>
      </c>
      <c r="F597" t="inlineStr">
        <is>
          <t>Cliente C - Misturador</t>
        </is>
      </c>
      <c r="G597" t="inlineStr">
        <is>
          <t>Refrigeradores</t>
        </is>
      </c>
      <c r="H597" s="10" t="n">
        <v>30</v>
      </c>
      <c r="I597" s="10">
        <f>IFERROR(T597*H597,0)</f>
        <v/>
      </c>
      <c r="J597" s="11" t="n">
        <v>46009</v>
      </c>
      <c r="K597" s="11" t="n">
        <v>46017</v>
      </c>
      <c r="L597" t="inlineStr">
        <is>
          <t>Ok. Devolvida</t>
        </is>
      </c>
      <c r="M597">
        <f>IF(L597="","",IFERROR(VLOOKUP(L597,mapGrupoStatus,2,0),"Outros"))</f>
        <v/>
      </c>
      <c r="N597">
        <f>IF(O597="","",IF(O597&lt;=30,"0-30 dias",IF(O597&lt;=60,"31-60 dias",IF(O597&lt;=90,"61-90 dias","Mais de 90 dias"))))</f>
        <v/>
      </c>
      <c r="O597">
        <f>IF(OR(M597="Pendente",M597="Em andamento"),IF(J597="","",TODAY()-J597),"")</f>
        <v/>
      </c>
      <c r="P597" t="n">
        <v>11677</v>
      </c>
      <c r="Q597" t="inlineStr">
        <is>
          <t>Cool Service Manutenção (11677)</t>
        </is>
      </c>
      <c r="R597" t="inlineStr">
        <is>
          <t>PC-0025</t>
        </is>
      </c>
      <c r="S597" t="inlineStr">
        <is>
          <t>Relé de partida modelo 03</t>
        </is>
      </c>
      <c r="T597" t="n">
        <v>3</v>
      </c>
      <c r="U597" t="n">
        <v>143</v>
      </c>
      <c r="V597">
        <f>IF(J597="","",MONTH(J597))</f>
        <v/>
      </c>
      <c r="W597">
        <f>IF(J597="","",YEAR(J597))</f>
        <v/>
      </c>
      <c r="X597" t="inlineStr">
        <is>
          <t>TransNorte</t>
        </is>
      </c>
      <c r="Y597">
        <f>IFERROR(INDEX(Rastreio!$H$2:$H$200,MATCH(X597&amp;"|"&amp;U597,Rastreio!$A$2:$A$200,0)),"")</f>
        <v/>
      </c>
    </row>
    <row r="598">
      <c r="A598">
        <f>IFERROR(INDEX(STAs!$G$2:$G$61,MATCH(P598,STAs!$F$2:$F$61,0))&amp;"","")</f>
        <v/>
      </c>
      <c r="B598" t="n">
        <v>20026530</v>
      </c>
      <c r="C598" t="inlineStr">
        <is>
          <t>Não</t>
        </is>
      </c>
      <c r="D598" t="inlineStr">
        <is>
          <t>GO</t>
        </is>
      </c>
      <c r="E598" t="inlineStr">
        <is>
          <t>CENTRO OESTE</t>
        </is>
      </c>
      <c r="F598" t="inlineStr">
        <is>
          <t>Cliente C - Misturador</t>
        </is>
      </c>
      <c r="G598" t="inlineStr">
        <is>
          <t>Refrigeradores</t>
        </is>
      </c>
      <c r="H598" s="10" t="n">
        <v>45</v>
      </c>
      <c r="I598" s="10">
        <f>IFERROR(T598*H598,0)</f>
        <v/>
      </c>
      <c r="J598" s="11" t="n">
        <v>46009</v>
      </c>
      <c r="K598" s="11" t="n">
        <v>46020</v>
      </c>
      <c r="L598" t="inlineStr">
        <is>
          <t>Ok. Devolvida</t>
        </is>
      </c>
      <c r="M598">
        <f>IF(L598="","",IFERROR(VLOOKUP(L598,mapGrupoStatus,2,0),"Outros"))</f>
        <v/>
      </c>
      <c r="N598">
        <f>IF(O598="","",IF(O598&lt;=30,"0-30 dias",IF(O598&lt;=60,"31-60 dias",IF(O598&lt;=90,"61-90 dias","Mais de 90 dias"))))</f>
        <v/>
      </c>
      <c r="O598">
        <f>IF(OR(M598="Pendente",M598="Em andamento"),IF(J598="","",TODAY()-J598),"")</f>
        <v/>
      </c>
      <c r="P598" t="n">
        <v>11293</v>
      </c>
      <c r="Q598" t="inlineStr">
        <is>
          <t>Assistência Técnica Ltda (11293)</t>
        </is>
      </c>
      <c r="R598" t="inlineStr">
        <is>
          <t>PC-0019</t>
        </is>
      </c>
      <c r="S598" t="inlineStr">
        <is>
          <t>Gaxeta da porta modelo 02</t>
        </is>
      </c>
      <c r="T598" t="n">
        <v>2</v>
      </c>
      <c r="U598" t="n">
        <v>144</v>
      </c>
      <c r="V598">
        <f>IF(J598="","",MONTH(J598))</f>
        <v/>
      </c>
      <c r="W598">
        <f>IF(J598="","",YEAR(J598))</f>
        <v/>
      </c>
      <c r="X598" t="inlineStr">
        <is>
          <t>CargoMax</t>
        </is>
      </c>
      <c r="Y598">
        <f>IFERROR(INDEX(Rastreio!$H$2:$H$200,MATCH(X598&amp;"|"&amp;U598,Rastreio!$A$2:$A$200,0)),"")</f>
        <v/>
      </c>
    </row>
    <row r="599">
      <c r="A599">
        <f>IFERROR(INDEX(STAs!$G$2:$G$61,MATCH(P599,STAs!$F$2:$F$61,0))&amp;"","")</f>
        <v/>
      </c>
      <c r="B599" t="n">
        <v>20021105</v>
      </c>
      <c r="C599" t="inlineStr">
        <is>
          <t>Não</t>
        </is>
      </c>
      <c r="D599" t="inlineStr">
        <is>
          <t>RJ</t>
        </is>
      </c>
      <c r="E599" t="inlineStr">
        <is>
          <t>SUDESTE RJ e ES</t>
        </is>
      </c>
      <c r="F599" t="inlineStr">
        <is>
          <t>Cliente B - Chopeira</t>
        </is>
      </c>
      <c r="G599" t="inlineStr">
        <is>
          <t>Chopeiras</t>
        </is>
      </c>
      <c r="H599" s="10" t="n">
        <v>215</v>
      </c>
      <c r="I599" s="10">
        <f>IFERROR(T599*H599,0)</f>
        <v/>
      </c>
      <c r="J599" s="11" t="n">
        <v>46010</v>
      </c>
      <c r="K599" s="11" t="n">
        <v>46062</v>
      </c>
      <c r="L599" t="inlineStr">
        <is>
          <t>Ok. Devolvida</t>
        </is>
      </c>
      <c r="M599">
        <f>IF(L599="","",IFERROR(VLOOKUP(L599,mapGrupoStatus,2,0),"Outros"))</f>
        <v/>
      </c>
      <c r="N599">
        <f>IF(O599="","",IF(O599&lt;=30,"0-30 dias",IF(O599&lt;=60,"31-60 dias",IF(O599&lt;=90,"61-90 dias","Mais de 90 dias"))))</f>
        <v/>
      </c>
      <c r="O599">
        <f>IF(OR(M599="Pendente",M599="Em andamento"),IF(J599="","",TODAY()-J599),"")</f>
        <v/>
      </c>
      <c r="P599" t="n">
        <v>10676</v>
      </c>
      <c r="Q599" t="inlineStr">
        <is>
          <t>Clima Serviços (10676)</t>
        </is>
      </c>
      <c r="R599" t="inlineStr">
        <is>
          <t>PC-0030</t>
        </is>
      </c>
      <c r="S599" t="inlineStr">
        <is>
          <t>Serpentina modelo 02</t>
        </is>
      </c>
      <c r="T599" t="n">
        <v>1</v>
      </c>
      <c r="U599" t="n">
        <v>137</v>
      </c>
      <c r="V599">
        <f>IF(J599="","",MONTH(J599))</f>
        <v/>
      </c>
      <c r="W599">
        <f>IF(J599="","",YEAR(J599))</f>
        <v/>
      </c>
      <c r="X599" t="inlineStr">
        <is>
          <t>ViaCargo</t>
        </is>
      </c>
      <c r="Y599">
        <f>IFERROR(INDEX(Rastreio!$H$2:$H$200,MATCH(X599&amp;"|"&amp;U599,Rastreio!$A$2:$A$200,0)),"")</f>
        <v/>
      </c>
    </row>
    <row r="600">
      <c r="A600">
        <f>IFERROR(INDEX(STAs!$G$2:$G$61,MATCH(P600,STAs!$F$2:$F$61,0))&amp;"","")</f>
        <v/>
      </c>
      <c r="B600" t="n">
        <v>20024007</v>
      </c>
      <c r="C600" t="inlineStr">
        <is>
          <t>Não</t>
        </is>
      </c>
      <c r="D600" t="inlineStr">
        <is>
          <t>MG</t>
        </is>
      </c>
      <c r="E600" t="inlineStr">
        <is>
          <t>SUDESTE MG</t>
        </is>
      </c>
      <c r="F600" t="inlineStr">
        <is>
          <t>Cliente B - Chopeira</t>
        </is>
      </c>
      <c r="G600" t="inlineStr">
        <is>
          <t>Refrigeradores</t>
        </is>
      </c>
      <c r="H600" s="10" t="n">
        <v>45</v>
      </c>
      <c r="I600" s="10">
        <f>IFERROR(T600*H600,0)</f>
        <v/>
      </c>
      <c r="J600" s="11" t="n">
        <v>46010</v>
      </c>
      <c r="K600" s="11" t="n">
        <v>46055</v>
      </c>
      <c r="L600" t="inlineStr">
        <is>
          <t>Ok. Devolvida</t>
        </is>
      </c>
      <c r="M600">
        <f>IF(L600="","",IFERROR(VLOOKUP(L600,mapGrupoStatus,2,0),"Outros"))</f>
        <v/>
      </c>
      <c r="N600">
        <f>IF(O600="","",IF(O600&lt;=30,"0-30 dias",IF(O600&lt;=60,"31-60 dias",IF(O600&lt;=90,"61-90 dias","Mais de 90 dias"))))</f>
        <v/>
      </c>
      <c r="O600">
        <f>IF(OR(M600="Pendente",M600="Em andamento"),IF(J600="","",TODAY()-J600),"")</f>
        <v/>
      </c>
      <c r="P600" t="n">
        <v>11494</v>
      </c>
      <c r="Q600" t="inlineStr">
        <is>
          <t>Clima Técnica (11494)</t>
        </is>
      </c>
      <c r="R600" t="inlineStr">
        <is>
          <t>PC-0019</t>
        </is>
      </c>
      <c r="S600" t="inlineStr">
        <is>
          <t>Gaxeta da porta modelo 02</t>
        </is>
      </c>
      <c r="T600" t="n">
        <v>2</v>
      </c>
      <c r="U600" t="n">
        <v>142</v>
      </c>
      <c r="V600">
        <f>IF(J600="","",MONTH(J600))</f>
        <v/>
      </c>
      <c r="W600">
        <f>IF(J600="","",YEAR(J600))</f>
        <v/>
      </c>
      <c r="X600" t="inlineStr">
        <is>
          <t>CargoMax</t>
        </is>
      </c>
      <c r="Y600">
        <f>IFERROR(INDEX(Rastreio!$H$2:$H$200,MATCH(X600&amp;"|"&amp;U600,Rastreio!$A$2:$A$200,0)),"")</f>
        <v/>
      </c>
    </row>
    <row r="601">
      <c r="A601">
        <f>IFERROR(INDEX(STAs!$G$2:$G$61,MATCH(P601,STAs!$F$2:$F$61,0))&amp;"","")</f>
        <v/>
      </c>
      <c r="B601" t="n">
        <v>20029524</v>
      </c>
      <c r="C601" t="inlineStr">
        <is>
          <t>Não</t>
        </is>
      </c>
      <c r="D601" t="inlineStr">
        <is>
          <t>PA</t>
        </is>
      </c>
      <c r="E601" t="inlineStr">
        <is>
          <t>NORTE</t>
        </is>
      </c>
      <c r="F601" t="inlineStr">
        <is>
          <t>Cliente C - Misturador</t>
        </is>
      </c>
      <c r="G601" t="inlineStr">
        <is>
          <t>Refrigeradores</t>
        </is>
      </c>
      <c r="H601" s="10" t="n">
        <v>50</v>
      </c>
      <c r="I601" s="10">
        <f>IFERROR(T601*H601,0)</f>
        <v/>
      </c>
      <c r="J601" s="11" t="n">
        <v>46010</v>
      </c>
      <c r="K601" s="11" t="n"/>
      <c r="L601" t="inlineStr">
        <is>
          <t>Não Devolve-Norte</t>
        </is>
      </c>
      <c r="M601">
        <f>IF(L601="","",IFERROR(VLOOKUP(L601,mapGrupoStatus,2,0),"Outros"))</f>
        <v/>
      </c>
      <c r="N601">
        <f>IF(O601="","",IF(O601&lt;=30,"0-30 dias",IF(O601&lt;=60,"31-60 dias",IF(O601&lt;=90,"61-90 dias","Mais de 90 dias"))))</f>
        <v/>
      </c>
      <c r="O601">
        <f>IF(OR(M601="Pendente",M601="Em andamento"),IF(J601="","",TODAY()-J601),"")</f>
        <v/>
      </c>
      <c r="P601" t="n">
        <v>11986</v>
      </c>
      <c r="Q601" t="inlineStr">
        <is>
          <t>Polar Serviços (11986)</t>
        </is>
      </c>
      <c r="R601" t="inlineStr">
        <is>
          <t>PC-0006</t>
        </is>
      </c>
      <c r="S601" t="inlineStr">
        <is>
          <t>Termostato modelo 03</t>
        </is>
      </c>
      <c r="T601" t="n">
        <v>1</v>
      </c>
      <c r="U601" t="inlineStr"/>
      <c r="V601">
        <f>IF(J601="","",MONTH(J601))</f>
        <v/>
      </c>
      <c r="W601">
        <f>IF(J601="","",YEAR(J601))</f>
        <v/>
      </c>
      <c r="X601" t="inlineStr"/>
      <c r="Y601">
        <f>IFERROR(INDEX(Rastreio!$H$2:$H$200,MATCH(X601&amp;"|"&amp;U601,Rastreio!$A$2:$A$200,0)),"")</f>
        <v/>
      </c>
    </row>
    <row r="602">
      <c r="A602">
        <f>IFERROR(INDEX(STAs!$G$2:$G$61,MATCH(P602,STAs!$F$2:$F$61,0))&amp;"","")</f>
        <v/>
      </c>
      <c r="B602" t="n">
        <v>20030484</v>
      </c>
      <c r="C602" t="inlineStr">
        <is>
          <t>Não</t>
        </is>
      </c>
      <c r="D602" t="inlineStr">
        <is>
          <t>ES</t>
        </is>
      </c>
      <c r="E602" t="inlineStr">
        <is>
          <t>SUDESTE RJ e ES</t>
        </is>
      </c>
      <c r="F602" t="inlineStr">
        <is>
          <t>Cliente A - Refrigerador</t>
        </is>
      </c>
      <c r="G602" t="inlineStr">
        <is>
          <t>Misturadores</t>
        </is>
      </c>
      <c r="H602" s="10" t="n">
        <v>50</v>
      </c>
      <c r="I602" s="10">
        <f>IFERROR(T602*H602,0)</f>
        <v/>
      </c>
      <c r="J602" s="11" t="n">
        <v>46010</v>
      </c>
      <c r="K602" s="11" t="n"/>
      <c r="L602" t="inlineStr">
        <is>
          <t>Em transporte</t>
        </is>
      </c>
      <c r="M602">
        <f>IF(L602="","",IFERROR(VLOOKUP(L602,mapGrupoStatus,2,0),"Outros"))</f>
        <v/>
      </c>
      <c r="N602">
        <f>IF(O602="","",IF(O602&lt;=30,"0-30 dias",IF(O602&lt;=60,"31-60 dias",IF(O602&lt;=90,"61-90 dias","Mais de 90 dias"))))</f>
        <v/>
      </c>
      <c r="O602">
        <f>IF(OR(M602="Pendente",M602="Em andamento"),IF(J602="","",TODAY()-J602),"")</f>
        <v/>
      </c>
      <c r="P602" t="n">
        <v>11162</v>
      </c>
      <c r="Q602" t="inlineStr">
        <is>
          <t>Ártico Refrigeração (11162)</t>
        </is>
      </c>
      <c r="R602" t="inlineStr">
        <is>
          <t>PC-0047</t>
        </is>
      </c>
      <c r="S602" t="inlineStr">
        <is>
          <t>Sensor de nível modelo 03</t>
        </is>
      </c>
      <c r="T602" t="n">
        <v>2</v>
      </c>
      <c r="U602" t="n">
        <v>153</v>
      </c>
      <c r="V602">
        <f>IF(J602="","",MONTH(J602))</f>
        <v/>
      </c>
      <c r="W602">
        <f>IF(J602="","",YEAR(J602))</f>
        <v/>
      </c>
      <c r="X602" t="inlineStr">
        <is>
          <t>TransNorte</t>
        </is>
      </c>
      <c r="Y602">
        <f>IFERROR(INDEX(Rastreio!$H$2:$H$200,MATCH(X602&amp;"|"&amp;U602,Rastreio!$A$2:$A$200,0)),"")</f>
        <v/>
      </c>
    </row>
    <row r="603">
      <c r="A603">
        <f>IFERROR(INDEX(STAs!$G$2:$G$61,MATCH(P603,STAs!$F$2:$F$61,0))&amp;"","")</f>
        <v/>
      </c>
      <c r="B603" t="n">
        <v>20006573</v>
      </c>
      <c r="C603" t="inlineStr">
        <is>
          <t>Não</t>
        </is>
      </c>
      <c r="D603" t="inlineStr">
        <is>
          <t>MT</t>
        </is>
      </c>
      <c r="E603" t="inlineStr">
        <is>
          <t>CENTRO OESTE</t>
        </is>
      </c>
      <c r="F603" t="inlineStr">
        <is>
          <t>Cliente C - Misturador</t>
        </is>
      </c>
      <c r="G603" t="inlineStr">
        <is>
          <t>Refrigeradores</t>
        </is>
      </c>
      <c r="H603" s="10" t="n">
        <v>325</v>
      </c>
      <c r="I603" s="10">
        <f>IFERROR(T603*H603,0)</f>
        <v/>
      </c>
      <c r="J603" s="11" t="n">
        <v>46011</v>
      </c>
      <c r="K603" s="11" t="n">
        <v>46019</v>
      </c>
      <c r="L603" t="inlineStr">
        <is>
          <t>Ok. Devolvida</t>
        </is>
      </c>
      <c r="M603">
        <f>IF(L603="","",IFERROR(VLOOKUP(L603,mapGrupoStatus,2,0),"Outros"))</f>
        <v/>
      </c>
      <c r="N603">
        <f>IF(O603="","",IF(O603&lt;=30,"0-30 dias",IF(O603&lt;=60,"31-60 dias",IF(O603&lt;=90,"61-90 dias","Mais de 90 dias"))))</f>
        <v/>
      </c>
      <c r="O603">
        <f>IF(OR(M603="Pendente",M603="Em andamento"),IF(J603="","",TODAY()-J603),"")</f>
        <v/>
      </c>
      <c r="P603" t="n">
        <v>10227</v>
      </c>
      <c r="Q603" t="inlineStr">
        <is>
          <t>Assistência Técnica ME (10227)</t>
        </is>
      </c>
      <c r="R603" t="inlineStr">
        <is>
          <t>PC-0001</t>
        </is>
      </c>
      <c r="S603" t="inlineStr">
        <is>
          <t>Compressor modelo 01</t>
        </is>
      </c>
      <c r="T603" t="n">
        <v>1</v>
      </c>
      <c r="U603" t="n">
        <v>111</v>
      </c>
      <c r="V603">
        <f>IF(J603="","",MONTH(J603))</f>
        <v/>
      </c>
      <c r="W603">
        <f>IF(J603="","",YEAR(J603))</f>
        <v/>
      </c>
      <c r="X603" t="inlineStr">
        <is>
          <t>RotaSul</t>
        </is>
      </c>
      <c r="Y603">
        <f>IFERROR(INDEX(Rastreio!$H$2:$H$200,MATCH(X603&amp;"|"&amp;U603,Rastreio!$A$2:$A$200,0)),"")</f>
        <v/>
      </c>
    </row>
    <row r="604">
      <c r="A604">
        <f>IFERROR(INDEX(STAs!$G$2:$G$61,MATCH(P604,STAs!$F$2:$F$61,0))&amp;"","")</f>
        <v/>
      </c>
      <c r="B604" t="n">
        <v>20011369</v>
      </c>
      <c r="C604" t="inlineStr">
        <is>
          <t>Não</t>
        </is>
      </c>
      <c r="D604" t="inlineStr">
        <is>
          <t>PR</t>
        </is>
      </c>
      <c r="E604" t="inlineStr">
        <is>
          <t>SUL</t>
        </is>
      </c>
      <c r="F604" t="inlineStr">
        <is>
          <t>Cliente B - Chopeira</t>
        </is>
      </c>
      <c r="G604" t="inlineStr">
        <is>
          <t>Refrigeradores</t>
        </is>
      </c>
      <c r="H604" s="10" t="n">
        <v>190</v>
      </c>
      <c r="I604" s="10">
        <f>IFERROR(T604*H604,0)</f>
        <v/>
      </c>
      <c r="J604" s="11" t="n">
        <v>46011</v>
      </c>
      <c r="K604" s="11" t="n"/>
      <c r="L604" t="inlineStr">
        <is>
          <t>Aguardando devolução</t>
        </is>
      </c>
      <c r="M604">
        <f>IF(L604="","",IFERROR(VLOOKUP(L604,mapGrupoStatus,2,0),"Outros"))</f>
        <v/>
      </c>
      <c r="N604">
        <f>IF(O604="","",IF(O604&lt;=30,"0-30 dias",IF(O604&lt;=60,"31-60 dias",IF(O604&lt;=90,"61-90 dias","Mais de 90 dias"))))</f>
        <v/>
      </c>
      <c r="O604">
        <f>IF(OR(M604="Pendente",M604="Em andamento"),IF(J604="","",TODAY()-J604),"")</f>
        <v/>
      </c>
      <c r="P604" t="n">
        <v>12089</v>
      </c>
      <c r="Q604" t="inlineStr">
        <is>
          <t>Termotec Serviços (12089)</t>
        </is>
      </c>
      <c r="R604" t="inlineStr">
        <is>
          <t>PC-0011</t>
        </is>
      </c>
      <c r="S604" t="inlineStr">
        <is>
          <t>Placa eletrônica modelo 01</t>
        </is>
      </c>
      <c r="T604" t="n">
        <v>2</v>
      </c>
      <c r="U604" t="inlineStr"/>
      <c r="V604">
        <f>IF(J604="","",MONTH(J604))</f>
        <v/>
      </c>
      <c r="W604">
        <f>IF(J604="","",YEAR(J604))</f>
        <v/>
      </c>
      <c r="X604" t="inlineStr"/>
      <c r="Y604">
        <f>IFERROR(INDEX(Rastreio!$H$2:$H$200,MATCH(X604&amp;"|"&amp;U604,Rastreio!$A$2:$A$200,0)),"")</f>
        <v/>
      </c>
    </row>
    <row r="605">
      <c r="A605">
        <f>IFERROR(INDEX(STAs!$G$2:$G$61,MATCH(P605,STAs!$F$2:$F$61,0))&amp;"","")</f>
        <v/>
      </c>
      <c r="B605" t="n">
        <v>20013891</v>
      </c>
      <c r="C605" t="inlineStr">
        <is>
          <t>Não</t>
        </is>
      </c>
      <c r="D605" t="inlineStr">
        <is>
          <t>BA</t>
        </is>
      </c>
      <c r="E605" t="inlineStr">
        <is>
          <t>NORDESTE</t>
        </is>
      </c>
      <c r="F605" t="inlineStr">
        <is>
          <t>Cliente A - Refrigerador</t>
        </is>
      </c>
      <c r="G605" t="inlineStr">
        <is>
          <t>Chopeiras</t>
        </is>
      </c>
      <c r="H605" s="10" t="n">
        <v>210</v>
      </c>
      <c r="I605" s="10">
        <f>IFERROR(T605*H605,0)</f>
        <v/>
      </c>
      <c r="J605" s="11" t="n">
        <v>46011</v>
      </c>
      <c r="K605" s="11" t="n">
        <v>46027</v>
      </c>
      <c r="L605" t="inlineStr">
        <is>
          <t>Ok. Devolvida</t>
        </is>
      </c>
      <c r="M605">
        <f>IF(L605="","",IFERROR(VLOOKUP(L605,mapGrupoStatus,2,0),"Outros"))</f>
        <v/>
      </c>
      <c r="N605">
        <f>IF(O605="","",IF(O605&lt;=30,"0-30 dias",IF(O605&lt;=60,"31-60 dias",IF(O605&lt;=90,"61-90 dias","Mais de 90 dias"))))</f>
        <v/>
      </c>
      <c r="O605">
        <f>IF(OR(M605="Pendente",M605="Em andamento"),IF(J605="","",TODAY()-J605),"")</f>
        <v/>
      </c>
      <c r="P605" t="n">
        <v>11244</v>
      </c>
      <c r="Q605" t="inlineStr">
        <is>
          <t>Refrigeração Manutenção (11244)</t>
        </is>
      </c>
      <c r="R605" t="inlineStr">
        <is>
          <t>PC-0029</t>
        </is>
      </c>
      <c r="S605" t="inlineStr">
        <is>
          <t>Serpentina modelo 01</t>
        </is>
      </c>
      <c r="T605" t="n">
        <v>1</v>
      </c>
      <c r="U605" t="n">
        <v>125</v>
      </c>
      <c r="V605">
        <f>IF(J605="","",MONTH(J605))</f>
        <v/>
      </c>
      <c r="W605">
        <f>IF(J605="","",YEAR(J605))</f>
        <v/>
      </c>
      <c r="X605" t="inlineStr">
        <is>
          <t>LogExpress</t>
        </is>
      </c>
      <c r="Y605">
        <f>IFERROR(INDEX(Rastreio!$H$2:$H$200,MATCH(X605&amp;"|"&amp;U605,Rastreio!$A$2:$A$200,0)),"")</f>
        <v/>
      </c>
    </row>
    <row r="606">
      <c r="A606">
        <f>IFERROR(INDEX(STAs!$G$2:$G$61,MATCH(P606,STAs!$F$2:$F$61,0))&amp;"","")</f>
        <v/>
      </c>
      <c r="B606" t="n">
        <v>20016513</v>
      </c>
      <c r="C606" t="inlineStr">
        <is>
          <t>Não</t>
        </is>
      </c>
      <c r="D606" t="inlineStr">
        <is>
          <t>RS</t>
        </is>
      </c>
      <c r="E606" t="inlineStr">
        <is>
          <t>SUL</t>
        </is>
      </c>
      <c r="F606" t="inlineStr">
        <is>
          <t>Cliente B - Chopeira</t>
        </is>
      </c>
      <c r="G606" t="inlineStr">
        <is>
          <t>Chopeiras</t>
        </is>
      </c>
      <c r="H606" s="10" t="n">
        <v>85</v>
      </c>
      <c r="I606" s="10">
        <f>IFERROR(T606*H606,0)</f>
        <v/>
      </c>
      <c r="J606" s="11" t="n">
        <v>46011</v>
      </c>
      <c r="K606" s="11" t="n"/>
      <c r="L606" t="inlineStr">
        <is>
          <t>Aguardando Transporte</t>
        </is>
      </c>
      <c r="M606">
        <f>IF(L606="","",IFERROR(VLOOKUP(L606,mapGrupoStatus,2,0),"Outros"))</f>
        <v/>
      </c>
      <c r="N606">
        <f>IF(O606="","",IF(O606&lt;=30,"0-30 dias",IF(O606&lt;=60,"31-60 dias",IF(O606&lt;=90,"61-90 dias","Mais de 90 dias"))))</f>
        <v/>
      </c>
      <c r="O606">
        <f>IF(OR(M606="Pendente",M606="Em andamento"),IF(J606="","",TODAY()-J606),"")</f>
        <v/>
      </c>
      <c r="P606" t="n">
        <v>11459</v>
      </c>
      <c r="Q606" t="inlineStr">
        <is>
          <t>Frio ME (11459)</t>
        </is>
      </c>
      <c r="R606" t="inlineStr">
        <is>
          <t>PC-0036</t>
        </is>
      </c>
      <c r="S606" t="inlineStr">
        <is>
          <t>Válvula extratora modelo 02</t>
        </is>
      </c>
      <c r="T606" t="n">
        <v>2</v>
      </c>
      <c r="U606" t="n">
        <v>122</v>
      </c>
      <c r="V606">
        <f>IF(J606="","",MONTH(J606))</f>
        <v/>
      </c>
      <c r="W606">
        <f>IF(J606="","",YEAR(J606))</f>
        <v/>
      </c>
      <c r="X606" t="inlineStr">
        <is>
          <t>RotaSul</t>
        </is>
      </c>
      <c r="Y606">
        <f>IFERROR(INDEX(Rastreio!$H$2:$H$200,MATCH(X606&amp;"|"&amp;U606,Rastreio!$A$2:$A$200,0)),"")</f>
        <v/>
      </c>
    </row>
    <row r="607">
      <c r="A607">
        <f>IFERROR(INDEX(STAs!$G$2:$G$61,MATCH(P607,STAs!$F$2:$F$61,0))&amp;"","")</f>
        <v/>
      </c>
      <c r="B607" t="n">
        <v>20019990</v>
      </c>
      <c r="C607" t="inlineStr">
        <is>
          <t>Não</t>
        </is>
      </c>
      <c r="D607" t="inlineStr">
        <is>
          <t>RJ</t>
        </is>
      </c>
      <c r="E607" t="inlineStr">
        <is>
          <t>SUDESTE RJ e ES</t>
        </is>
      </c>
      <c r="F607" t="inlineStr">
        <is>
          <t>Cliente C - Misturador</t>
        </is>
      </c>
      <c r="G607" t="inlineStr">
        <is>
          <t>Refrigeradores</t>
        </is>
      </c>
      <c r="H607" s="10" t="n">
        <v>35</v>
      </c>
      <c r="I607" s="10">
        <f>IFERROR(T607*H607,0)</f>
        <v/>
      </c>
      <c r="J607" s="11" t="n">
        <v>46011</v>
      </c>
      <c r="K607" s="11" t="n">
        <v>46063</v>
      </c>
      <c r="L607" t="inlineStr">
        <is>
          <t>Ok. Devolvida</t>
        </is>
      </c>
      <c r="M607">
        <f>IF(L607="","",IFERROR(VLOOKUP(L607,mapGrupoStatus,2,0),"Outros"))</f>
        <v/>
      </c>
      <c r="N607">
        <f>IF(O607="","",IF(O607&lt;=30,"0-30 dias",IF(O607&lt;=60,"31-60 dias",IF(O607&lt;=90,"61-90 dias","Mais de 90 dias"))))</f>
        <v/>
      </c>
      <c r="O607">
        <f>IF(OR(M607="Pendente",M607="Em andamento"),IF(J607="","",TODAY()-J607),"")</f>
        <v/>
      </c>
      <c r="P607" t="n">
        <v>12811</v>
      </c>
      <c r="Q607" t="inlineStr">
        <is>
          <t>Norte Frio Técnica (12811)</t>
        </is>
      </c>
      <c r="R607" t="inlineStr">
        <is>
          <t>PC-0020</t>
        </is>
      </c>
      <c r="S607" t="inlineStr">
        <is>
          <t>Gaxeta da porta modelo 03</t>
        </is>
      </c>
      <c r="T607" t="n">
        <v>1</v>
      </c>
      <c r="U607" t="n">
        <v>130</v>
      </c>
      <c r="V607">
        <f>IF(J607="","",MONTH(J607))</f>
        <v/>
      </c>
      <c r="W607">
        <f>IF(J607="","",YEAR(J607))</f>
        <v/>
      </c>
      <c r="X607" t="inlineStr">
        <is>
          <t>RotaSul</t>
        </is>
      </c>
      <c r="Y607">
        <f>IFERROR(INDEX(Rastreio!$H$2:$H$200,MATCH(X607&amp;"|"&amp;U607,Rastreio!$A$2:$A$200,0)),"")</f>
        <v/>
      </c>
    </row>
    <row r="608">
      <c r="A608">
        <f>IFERROR(INDEX(STAs!$G$2:$G$61,MATCH(P608,STAs!$F$2:$F$61,0))&amp;"","")</f>
        <v/>
      </c>
      <c r="B608" t="n">
        <v>20028968</v>
      </c>
      <c r="C608" t="inlineStr">
        <is>
          <t>Não</t>
        </is>
      </c>
      <c r="D608" t="inlineStr">
        <is>
          <t>RR</t>
        </is>
      </c>
      <c r="E608" t="inlineStr">
        <is>
          <t>NORTE</t>
        </is>
      </c>
      <c r="F608" t="inlineStr">
        <is>
          <t>Cliente C - Misturador</t>
        </is>
      </c>
      <c r="G608" t="inlineStr">
        <is>
          <t>Misturadores</t>
        </is>
      </c>
      <c r="H608" s="10" t="n">
        <v>60</v>
      </c>
      <c r="I608" s="10">
        <f>IFERROR(T608*H608,0)</f>
        <v/>
      </c>
      <c r="J608" s="11" t="n">
        <v>46011</v>
      </c>
      <c r="K608" s="11" t="n">
        <v>46058</v>
      </c>
      <c r="L608" t="inlineStr">
        <is>
          <t>Ok. Devolvida</t>
        </is>
      </c>
      <c r="M608">
        <f>IF(L608="","",IFERROR(VLOOKUP(L608,mapGrupoStatus,2,0),"Outros"))</f>
        <v/>
      </c>
      <c r="N608">
        <f>IF(O608="","",IF(O608&lt;=30,"0-30 dias",IF(O608&lt;=60,"31-60 dias",IF(O608&lt;=90,"61-90 dias","Mais de 90 dias"))))</f>
        <v/>
      </c>
      <c r="O608">
        <f>IF(OR(M608="Pendente",M608="Em andamento"),IF(J608="","",TODAY()-J608),"")</f>
        <v/>
      </c>
      <c r="P608" t="n">
        <v>11818</v>
      </c>
      <c r="Q608" t="inlineStr">
        <is>
          <t>Termotec Ltda (11818)</t>
        </is>
      </c>
      <c r="R608" t="inlineStr">
        <is>
          <t>PC-0046</t>
        </is>
      </c>
      <c r="S608" t="inlineStr">
        <is>
          <t>Sensor de nível modelo 02</t>
        </is>
      </c>
      <c r="T608" t="n">
        <v>1</v>
      </c>
      <c r="U608" t="n">
        <v>140</v>
      </c>
      <c r="V608">
        <f>IF(J608="","",MONTH(J608))</f>
        <v/>
      </c>
      <c r="W608">
        <f>IF(J608="","",YEAR(J608))</f>
        <v/>
      </c>
      <c r="X608" t="inlineStr">
        <is>
          <t>EntregaJá</t>
        </is>
      </c>
      <c r="Y608">
        <f>IFERROR(INDEX(Rastreio!$H$2:$H$200,MATCH(X608&amp;"|"&amp;U608,Rastreio!$A$2:$A$200,0)),"")</f>
        <v/>
      </c>
    </row>
    <row r="609">
      <c r="A609">
        <f>IFERROR(INDEX(STAs!$G$2:$G$61,MATCH(P609,STAs!$F$2:$F$61,0))&amp;"","")</f>
        <v/>
      </c>
      <c r="B609" t="n">
        <v>20037900</v>
      </c>
      <c r="C609" t="inlineStr">
        <is>
          <t>Não</t>
        </is>
      </c>
      <c r="D609" t="inlineStr">
        <is>
          <t>MS</t>
        </is>
      </c>
      <c r="E609" t="inlineStr">
        <is>
          <t>CENTRO OESTE</t>
        </is>
      </c>
      <c r="F609" t="inlineStr">
        <is>
          <t>Cliente A - Refrigerador</t>
        </is>
      </c>
      <c r="G609" t="inlineStr">
        <is>
          <t>Misturadores</t>
        </is>
      </c>
      <c r="H609" s="10" t="n">
        <v>60</v>
      </c>
      <c r="I609" s="10">
        <f>IFERROR(T609*H609,0)</f>
        <v/>
      </c>
      <c r="J609" s="11" t="n">
        <v>46011</v>
      </c>
      <c r="K609" s="11" t="n"/>
      <c r="L609" t="inlineStr">
        <is>
          <t>Em transporte</t>
        </is>
      </c>
      <c r="M609">
        <f>IF(L609="","",IFERROR(VLOOKUP(L609,mapGrupoStatus,2,0),"Outros"))</f>
        <v/>
      </c>
      <c r="N609">
        <f>IF(O609="","",IF(O609&lt;=30,"0-30 dias",IF(O609&lt;=60,"31-60 dias",IF(O609&lt;=90,"61-90 dias","Mais de 90 dias"))))</f>
        <v/>
      </c>
      <c r="O609">
        <f>IF(OR(M609="Pendente",M609="Em andamento"),IF(J609="","",TODAY()-J609),"")</f>
        <v/>
      </c>
      <c r="P609" t="n">
        <v>11726</v>
      </c>
      <c r="Q609" t="inlineStr">
        <is>
          <t>Norte Frio Refrigeração (11726)</t>
        </is>
      </c>
      <c r="R609" t="inlineStr">
        <is>
          <t>PC-0046</t>
        </is>
      </c>
      <c r="S609" t="inlineStr">
        <is>
          <t>Sensor de nível modelo 02</t>
        </is>
      </c>
      <c r="T609" t="n">
        <v>1</v>
      </c>
      <c r="U609" t="n">
        <v>167</v>
      </c>
      <c r="V609">
        <f>IF(J609="","",MONTH(J609))</f>
        <v/>
      </c>
      <c r="W609">
        <f>IF(J609="","",YEAR(J609))</f>
        <v/>
      </c>
      <c r="X609" t="inlineStr">
        <is>
          <t>LogExpress</t>
        </is>
      </c>
      <c r="Y609">
        <f>IFERROR(INDEX(Rastreio!$H$2:$H$200,MATCH(X609&amp;"|"&amp;U609,Rastreio!$A$2:$A$200,0)),"")</f>
        <v/>
      </c>
    </row>
    <row r="610">
      <c r="A610">
        <f>IFERROR(INDEX(STAs!$G$2:$G$61,MATCH(P610,STAs!$F$2:$F$61,0))&amp;"","")</f>
        <v/>
      </c>
      <c r="B610" t="n">
        <v>20004821</v>
      </c>
      <c r="C610" t="inlineStr">
        <is>
          <t>Não</t>
        </is>
      </c>
      <c r="D610" t="inlineStr">
        <is>
          <t>AM</t>
        </is>
      </c>
      <c r="E610" t="inlineStr">
        <is>
          <t>NORTE</t>
        </is>
      </c>
      <c r="F610" t="inlineStr">
        <is>
          <t>Cliente A - Refrigerador</t>
        </is>
      </c>
      <c r="G610" t="inlineStr">
        <is>
          <t>Misturadores</t>
        </is>
      </c>
      <c r="H610" s="10" t="n">
        <v>265</v>
      </c>
      <c r="I610" s="10">
        <f>IFERROR(T610*H610,0)</f>
        <v/>
      </c>
      <c r="J610" s="11" t="n">
        <v>46012</v>
      </c>
      <c r="K610" s="11" t="n">
        <v>46038</v>
      </c>
      <c r="L610" t="inlineStr">
        <is>
          <t>Ok. Devolvida</t>
        </is>
      </c>
      <c r="M610">
        <f>IF(L610="","",IFERROR(VLOOKUP(L610,mapGrupoStatus,2,0),"Outros"))</f>
        <v/>
      </c>
      <c r="N610">
        <f>IF(O610="","",IF(O610&lt;=30,"0-30 dias",IF(O610&lt;=60,"31-60 dias",IF(O610&lt;=90,"61-90 dias","Mais de 90 dias"))))</f>
        <v/>
      </c>
      <c r="O610">
        <f>IF(OR(M610="Pendente",M610="Em andamento"),IF(J610="","",TODAY()-J610),"")</f>
        <v/>
      </c>
      <c r="P610" t="n">
        <v>12269</v>
      </c>
      <c r="Q610" t="inlineStr">
        <is>
          <t>Polar Técnica (12269)</t>
        </is>
      </c>
      <c r="R610" t="inlineStr">
        <is>
          <t>PC-0038</t>
        </is>
      </c>
      <c r="S610" t="inlineStr">
        <is>
          <t>Bomba de recirculação modelo 02</t>
        </is>
      </c>
      <c r="T610" t="n">
        <v>1</v>
      </c>
      <c r="U610" t="n">
        <v>110</v>
      </c>
      <c r="V610">
        <f>IF(J610="","",MONTH(J610))</f>
        <v/>
      </c>
      <c r="W610">
        <f>IF(J610="","",YEAR(J610))</f>
        <v/>
      </c>
      <c r="X610" t="inlineStr">
        <is>
          <t>ViaCargo</t>
        </is>
      </c>
      <c r="Y610">
        <f>IFERROR(INDEX(Rastreio!$H$2:$H$200,MATCH(X610&amp;"|"&amp;U610,Rastreio!$A$2:$A$200,0)),"")</f>
        <v/>
      </c>
    </row>
    <row r="611">
      <c r="A611">
        <f>IFERROR(INDEX(STAs!$G$2:$G$61,MATCH(P611,STAs!$F$2:$F$61,0))&amp;"","")</f>
        <v/>
      </c>
      <c r="B611" t="n">
        <v>20006472</v>
      </c>
      <c r="C611" t="inlineStr">
        <is>
          <t>Não</t>
        </is>
      </c>
      <c r="D611" t="inlineStr">
        <is>
          <t>SP</t>
        </is>
      </c>
      <c r="E611" t="inlineStr">
        <is>
          <t>SUDESTE SP</t>
        </is>
      </c>
      <c r="F611" t="inlineStr">
        <is>
          <t>Cliente C - Misturador</t>
        </is>
      </c>
      <c r="G611" t="inlineStr">
        <is>
          <t>Misturadores</t>
        </is>
      </c>
      <c r="H611" s="10" t="n">
        <v>200</v>
      </c>
      <c r="I611" s="10">
        <f>IFERROR(T611*H611,0)</f>
        <v/>
      </c>
      <c r="J611" s="11" t="n">
        <v>46012</v>
      </c>
      <c r="K611" s="11" t="n">
        <v>46023</v>
      </c>
      <c r="L611" t="inlineStr">
        <is>
          <t>Ok. Devolvida</t>
        </is>
      </c>
      <c r="M611">
        <f>IF(L611="","",IFERROR(VLOOKUP(L611,mapGrupoStatus,2,0),"Outros"))</f>
        <v/>
      </c>
      <c r="N611">
        <f>IF(O611="","",IF(O611&lt;=30,"0-30 dias",IF(O611&lt;=60,"31-60 dias",IF(O611&lt;=90,"61-90 dias","Mais de 90 dias"))))</f>
        <v/>
      </c>
      <c r="O611">
        <f>IF(OR(M611="Pendente",M611="Em andamento"),IF(J611="","",TODAY()-J611),"")</f>
        <v/>
      </c>
      <c r="P611" t="n">
        <v>11365</v>
      </c>
      <c r="Q611" t="inlineStr">
        <is>
          <t>Ártico Express (11365)</t>
        </is>
      </c>
      <c r="R611" t="inlineStr">
        <is>
          <t>PC-0040</t>
        </is>
      </c>
      <c r="S611" t="inlineStr">
        <is>
          <t>Motor agitador modelo 01</t>
        </is>
      </c>
      <c r="T611" t="n">
        <v>1</v>
      </c>
      <c r="U611" t="n">
        <v>110</v>
      </c>
      <c r="V611">
        <f>IF(J611="","",MONTH(J611))</f>
        <v/>
      </c>
      <c r="W611">
        <f>IF(J611="","",YEAR(J611))</f>
        <v/>
      </c>
      <c r="X611" t="inlineStr">
        <is>
          <t>TransNorte</t>
        </is>
      </c>
      <c r="Y611">
        <f>IFERROR(INDEX(Rastreio!$H$2:$H$200,MATCH(X611&amp;"|"&amp;U611,Rastreio!$A$2:$A$200,0)),"")</f>
        <v/>
      </c>
    </row>
    <row r="612">
      <c r="A612">
        <f>IFERROR(INDEX(STAs!$G$2:$G$61,MATCH(P612,STAs!$F$2:$F$61,0))&amp;"","")</f>
        <v/>
      </c>
      <c r="B612" t="n">
        <v>20011858</v>
      </c>
      <c r="C612" t="inlineStr">
        <is>
          <t>Não</t>
        </is>
      </c>
      <c r="D612" t="inlineStr">
        <is>
          <t>RR</t>
        </is>
      </c>
      <c r="E612" t="inlineStr">
        <is>
          <t>NORTE</t>
        </is>
      </c>
      <c r="F612" t="inlineStr">
        <is>
          <t>Cliente B - Chopeira</t>
        </is>
      </c>
      <c r="G612" t="inlineStr">
        <is>
          <t>Refrigeradores</t>
        </is>
      </c>
      <c r="H612" s="10" t="n">
        <v>325</v>
      </c>
      <c r="I612" s="10">
        <f>IFERROR(T612*H612,0)</f>
        <v/>
      </c>
      <c r="J612" s="11" t="n">
        <v>46012</v>
      </c>
      <c r="K612" s="11" t="n"/>
      <c r="L612" t="inlineStr">
        <is>
          <t>Não Devolve-Norte</t>
        </is>
      </c>
      <c r="M612">
        <f>IF(L612="","",IFERROR(VLOOKUP(L612,mapGrupoStatus,2,0),"Outros"))</f>
        <v/>
      </c>
      <c r="N612">
        <f>IF(O612="","",IF(O612&lt;=30,"0-30 dias",IF(O612&lt;=60,"31-60 dias",IF(O612&lt;=90,"61-90 dias","Mais de 90 dias"))))</f>
        <v/>
      </c>
      <c r="O612">
        <f>IF(OR(M612="Pendente",M612="Em andamento"),IF(J612="","",TODAY()-J612),"")</f>
        <v/>
      </c>
      <c r="P612" t="n">
        <v>10468</v>
      </c>
      <c r="Q612" t="inlineStr">
        <is>
          <t>Clima Express (10468)</t>
        </is>
      </c>
      <c r="R612" t="inlineStr">
        <is>
          <t>PC-0001</t>
        </is>
      </c>
      <c r="S612" t="inlineStr">
        <is>
          <t>Compressor modelo 01</t>
        </is>
      </c>
      <c r="T612" t="n">
        <v>3</v>
      </c>
      <c r="U612" t="inlineStr"/>
      <c r="V612">
        <f>IF(J612="","",MONTH(J612))</f>
        <v/>
      </c>
      <c r="W612">
        <f>IF(J612="","",YEAR(J612))</f>
        <v/>
      </c>
      <c r="X612" t="inlineStr"/>
      <c r="Y612">
        <f>IFERROR(INDEX(Rastreio!$H$2:$H$200,MATCH(X612&amp;"|"&amp;U612,Rastreio!$A$2:$A$200,0)),"")</f>
        <v/>
      </c>
    </row>
    <row r="613">
      <c r="A613">
        <f>IFERROR(INDEX(STAs!$G$2:$G$61,MATCH(P613,STAs!$F$2:$F$61,0))&amp;"","")</f>
        <v/>
      </c>
      <c r="B613" t="n">
        <v>20015133</v>
      </c>
      <c r="C613" t="inlineStr">
        <is>
          <t>Não</t>
        </is>
      </c>
      <c r="D613" t="inlineStr">
        <is>
          <t>RR</t>
        </is>
      </c>
      <c r="E613" t="inlineStr">
        <is>
          <t>NORTE</t>
        </is>
      </c>
      <c r="F613" t="inlineStr">
        <is>
          <t>Cliente B - Chopeira</t>
        </is>
      </c>
      <c r="G613" t="inlineStr">
        <is>
          <t>Chopeiras</t>
        </is>
      </c>
      <c r="H613" s="10" t="n">
        <v>85</v>
      </c>
      <c r="I613" s="10">
        <f>IFERROR(T613*H613,0)</f>
        <v/>
      </c>
      <c r="J613" s="11" t="n">
        <v>46012</v>
      </c>
      <c r="K613" s="11" t="n"/>
      <c r="L613" t="inlineStr">
        <is>
          <t>Não Devolve-Norte</t>
        </is>
      </c>
      <c r="M613">
        <f>IF(L613="","",IFERROR(VLOOKUP(L613,mapGrupoStatus,2,0),"Outros"))</f>
        <v/>
      </c>
      <c r="N613">
        <f>IF(O613="","",IF(O613&lt;=30,"0-30 dias",IF(O613&lt;=60,"31-60 dias",IF(O613&lt;=90,"61-90 dias","Mais de 90 dias"))))</f>
        <v/>
      </c>
      <c r="O613">
        <f>IF(OR(M613="Pendente",M613="Em andamento"),IF(J613="","",TODAY()-J613),"")</f>
        <v/>
      </c>
      <c r="P613" t="n">
        <v>10468</v>
      </c>
      <c r="Q613" t="inlineStr">
        <is>
          <t>Clima Express (10468)</t>
        </is>
      </c>
      <c r="R613" t="inlineStr">
        <is>
          <t>PC-0035</t>
        </is>
      </c>
      <c r="S613" t="inlineStr">
        <is>
          <t>Válvula extratora modelo 01</t>
        </is>
      </c>
      <c r="T613" t="n">
        <v>1</v>
      </c>
      <c r="U613" t="inlineStr"/>
      <c r="V613">
        <f>IF(J613="","",MONTH(J613))</f>
        <v/>
      </c>
      <c r="W613">
        <f>IF(J613="","",YEAR(J613))</f>
        <v/>
      </c>
      <c r="X613" t="inlineStr"/>
      <c r="Y613">
        <f>IFERROR(INDEX(Rastreio!$H$2:$H$200,MATCH(X613&amp;"|"&amp;U613,Rastreio!$A$2:$A$200,0)),"")</f>
        <v/>
      </c>
    </row>
    <row r="614">
      <c r="A614">
        <f>IFERROR(INDEX(STAs!$G$2:$G$61,MATCH(P614,STAs!$F$2:$F$61,0))&amp;"","")</f>
        <v/>
      </c>
      <c r="B614" t="n">
        <v>20023283</v>
      </c>
      <c r="C614" t="inlineStr">
        <is>
          <t>Não</t>
        </is>
      </c>
      <c r="D614" t="inlineStr">
        <is>
          <t>TO</t>
        </is>
      </c>
      <c r="E614" t="inlineStr">
        <is>
          <t>NORTE</t>
        </is>
      </c>
      <c r="F614" t="inlineStr">
        <is>
          <t>Cliente C - Misturador</t>
        </is>
      </c>
      <c r="G614" t="inlineStr">
        <is>
          <t>Refrigeradores</t>
        </is>
      </c>
      <c r="H614" s="10" t="n">
        <v>65</v>
      </c>
      <c r="I614" s="10">
        <f>IFERROR(T614*H614,0)</f>
        <v/>
      </c>
      <c r="J614" s="11" t="n">
        <v>46012</v>
      </c>
      <c r="K614" s="11" t="n"/>
      <c r="L614" t="inlineStr">
        <is>
          <t>Não Devolve-Norte</t>
        </is>
      </c>
      <c r="M614">
        <f>IF(L614="","",IFERROR(VLOOKUP(L614,mapGrupoStatus,2,0),"Outros"))</f>
        <v/>
      </c>
      <c r="N614">
        <f>IF(O614="","",IF(O614&lt;=30,"0-30 dias",IF(O614&lt;=60,"31-60 dias",IF(O614&lt;=90,"61-90 dias","Mais de 90 dias"))))</f>
        <v/>
      </c>
      <c r="O614">
        <f>IF(OR(M614="Pendente",M614="Em andamento"),IF(J614="","",TODAY()-J614),"")</f>
        <v/>
      </c>
      <c r="P614" t="n">
        <v>10939</v>
      </c>
      <c r="Q614" t="inlineStr">
        <is>
          <t>Zero Grau Manutenção (10939)</t>
        </is>
      </c>
      <c r="R614" t="inlineStr">
        <is>
          <t>PC-0010</t>
        </is>
      </c>
      <c r="S614" t="inlineStr">
        <is>
          <t>Ventilador modelo 04</t>
        </is>
      </c>
      <c r="T614" t="n">
        <v>1</v>
      </c>
      <c r="U614" t="inlineStr"/>
      <c r="V614">
        <f>IF(J614="","",MONTH(J614))</f>
        <v/>
      </c>
      <c r="W614">
        <f>IF(J614="","",YEAR(J614))</f>
        <v/>
      </c>
      <c r="X614" t="inlineStr"/>
      <c r="Y614">
        <f>IFERROR(INDEX(Rastreio!$H$2:$H$200,MATCH(X614&amp;"|"&amp;U614,Rastreio!$A$2:$A$200,0)),"")</f>
        <v/>
      </c>
    </row>
    <row r="615">
      <c r="A615">
        <f>IFERROR(INDEX(STAs!$G$2:$G$61,MATCH(P615,STAs!$F$2:$F$61,0))&amp;"","")</f>
        <v/>
      </c>
      <c r="B615" t="n">
        <v>20034865</v>
      </c>
      <c r="C615" t="inlineStr">
        <is>
          <t>Não</t>
        </is>
      </c>
      <c r="D615" t="inlineStr">
        <is>
          <t>BA</t>
        </is>
      </c>
      <c r="E615" t="inlineStr">
        <is>
          <t>NORDESTE</t>
        </is>
      </c>
      <c r="F615" t="inlineStr">
        <is>
          <t>Cliente A - Refrigerador</t>
        </is>
      </c>
      <c r="G615" t="inlineStr">
        <is>
          <t>Refrigeradores</t>
        </is>
      </c>
      <c r="H615" s="10" t="n">
        <v>175</v>
      </c>
      <c r="I615" s="10">
        <f>IFERROR(T615*H615,0)</f>
        <v/>
      </c>
      <c r="J615" s="11" t="n">
        <v>46012</v>
      </c>
      <c r="K615" s="11" t="n"/>
      <c r="L615" t="inlineStr">
        <is>
          <t>Não Devolve-Norte</t>
        </is>
      </c>
      <c r="M615">
        <f>IF(L615="","",IFERROR(VLOOKUP(L615,mapGrupoStatus,2,0),"Outros"))</f>
        <v/>
      </c>
      <c r="N615">
        <f>IF(O615="","",IF(O615&lt;=30,"0-30 dias",IF(O615&lt;=60,"31-60 dias",IF(O615&lt;=90,"61-90 dias","Mais de 90 dias"))))</f>
        <v/>
      </c>
      <c r="O615">
        <f>IF(OR(M615="Pendente",M615="Em andamento"),IF(J615="","",TODAY()-J615),"")</f>
        <v/>
      </c>
      <c r="P615" t="n">
        <v>11538</v>
      </c>
      <c r="Q615" t="inlineStr">
        <is>
          <t>Clima Manutenção (11538)</t>
        </is>
      </c>
      <c r="R615" t="inlineStr">
        <is>
          <t>PC-0012</t>
        </is>
      </c>
      <c r="S615" t="inlineStr">
        <is>
          <t>Placa eletrônica modelo 02</t>
        </is>
      </c>
      <c r="T615" t="n">
        <v>2</v>
      </c>
      <c r="U615" t="inlineStr"/>
      <c r="V615">
        <f>IF(J615="","",MONTH(J615))</f>
        <v/>
      </c>
      <c r="W615">
        <f>IF(J615="","",YEAR(J615))</f>
        <v/>
      </c>
      <c r="X615" t="inlineStr"/>
      <c r="Y615">
        <f>IFERROR(INDEX(Rastreio!$H$2:$H$200,MATCH(X615&amp;"|"&amp;U615,Rastreio!$A$2:$A$200,0)),"")</f>
        <v/>
      </c>
    </row>
    <row r="616">
      <c r="A616">
        <f>IFERROR(INDEX(STAs!$G$2:$G$61,MATCH(P616,STAs!$F$2:$F$61,0))&amp;"","")</f>
        <v/>
      </c>
      <c r="B616" t="n">
        <v>20010237</v>
      </c>
      <c r="C616" t="inlineStr">
        <is>
          <t>Não</t>
        </is>
      </c>
      <c r="D616" t="inlineStr">
        <is>
          <t>MG</t>
        </is>
      </c>
      <c r="E616" t="inlineStr">
        <is>
          <t>SUDESTE MG</t>
        </is>
      </c>
      <c r="F616" t="inlineStr">
        <is>
          <t>Cliente A - Refrigerador</t>
        </is>
      </c>
      <c r="G616" t="inlineStr">
        <is>
          <t>Refrigeradores</t>
        </is>
      </c>
      <c r="H616" s="10" t="n">
        <v>35</v>
      </c>
      <c r="I616" s="10">
        <f>IFERROR(T616*H616,0)</f>
        <v/>
      </c>
      <c r="J616" s="11" t="n">
        <v>46013</v>
      </c>
      <c r="K616" s="11" t="n"/>
      <c r="L616" t="inlineStr">
        <is>
          <t>Aguardando devolução</t>
        </is>
      </c>
      <c r="M616">
        <f>IF(L616="","",IFERROR(VLOOKUP(L616,mapGrupoStatus,2,0),"Outros"))</f>
        <v/>
      </c>
      <c r="N616">
        <f>IF(O616="","",IF(O616&lt;=30,"0-30 dias",IF(O616&lt;=60,"31-60 dias",IF(O616&lt;=90,"61-90 dias","Mais de 90 dias"))))</f>
        <v/>
      </c>
      <c r="O616">
        <f>IF(OR(M616="Pendente",M616="Em andamento"),IF(J616="","",TODAY()-J616),"")</f>
        <v/>
      </c>
      <c r="P616" t="n">
        <v>11494</v>
      </c>
      <c r="Q616" t="inlineStr">
        <is>
          <t>Clima Técnica (11494)</t>
        </is>
      </c>
      <c r="R616" t="inlineStr">
        <is>
          <t>PC-0023</t>
        </is>
      </c>
      <c r="S616" t="inlineStr">
        <is>
          <t>Relé de partida modelo 01</t>
        </is>
      </c>
      <c r="T616" t="n">
        <v>1</v>
      </c>
      <c r="U616" t="inlineStr"/>
      <c r="V616">
        <f>IF(J616="","",MONTH(J616))</f>
        <v/>
      </c>
      <c r="W616">
        <f>IF(J616="","",YEAR(J616))</f>
        <v/>
      </c>
      <c r="X616" t="inlineStr"/>
      <c r="Y616">
        <f>IFERROR(INDEX(Rastreio!$H$2:$H$200,MATCH(X616&amp;"|"&amp;U616,Rastreio!$A$2:$A$200,0)),"")</f>
        <v/>
      </c>
    </row>
    <row r="617">
      <c r="A617">
        <f>IFERROR(INDEX(STAs!$G$2:$G$61,MATCH(P617,STAs!$F$2:$F$61,0))&amp;"","")</f>
        <v/>
      </c>
      <c r="B617" t="n">
        <v>20011765</v>
      </c>
      <c r="C617" t="inlineStr">
        <is>
          <t>Não</t>
        </is>
      </c>
      <c r="D617" t="inlineStr">
        <is>
          <t>GO</t>
        </is>
      </c>
      <c r="E617" t="inlineStr">
        <is>
          <t>CENTRO OESTE</t>
        </is>
      </c>
      <c r="F617" t="inlineStr">
        <is>
          <t>Cliente C - Misturador</t>
        </is>
      </c>
      <c r="G617" t="inlineStr">
        <is>
          <t>Refrigeradores</t>
        </is>
      </c>
      <c r="H617" s="10" t="n">
        <v>30</v>
      </c>
      <c r="I617" s="10">
        <f>IFERROR(T617*H617,0)</f>
        <v/>
      </c>
      <c r="J617" s="11" t="n">
        <v>46013</v>
      </c>
      <c r="K617" s="11" t="n">
        <v>46045</v>
      </c>
      <c r="L617" t="inlineStr">
        <is>
          <t>Ok. Devolvida</t>
        </is>
      </c>
      <c r="M617">
        <f>IF(L617="","",IFERROR(VLOOKUP(L617,mapGrupoStatus,2,0),"Outros"))</f>
        <v/>
      </c>
      <c r="N617">
        <f>IF(O617="","",IF(O617&lt;=30,"0-30 dias",IF(O617&lt;=60,"31-60 dias",IF(O617&lt;=90,"61-90 dias","Mais de 90 dias"))))</f>
        <v/>
      </c>
      <c r="O617">
        <f>IF(OR(M617="Pendente",M617="Em andamento"),IF(J617="","",TODAY()-J617),"")</f>
        <v/>
      </c>
      <c r="P617" t="n">
        <v>12007</v>
      </c>
      <c r="Q617" t="inlineStr">
        <is>
          <t>Refrigel Ltda (12007)</t>
        </is>
      </c>
      <c r="R617" t="inlineStr">
        <is>
          <t>PC-0025</t>
        </is>
      </c>
      <c r="S617" t="inlineStr">
        <is>
          <t>Relé de partida modelo 03</t>
        </is>
      </c>
      <c r="T617" t="n">
        <v>2</v>
      </c>
      <c r="U617" t="n">
        <v>123</v>
      </c>
      <c r="V617">
        <f>IF(J617="","",MONTH(J617))</f>
        <v/>
      </c>
      <c r="W617">
        <f>IF(J617="","",YEAR(J617))</f>
        <v/>
      </c>
      <c r="X617" t="inlineStr">
        <is>
          <t>EntregaJá</t>
        </is>
      </c>
      <c r="Y617">
        <f>IFERROR(INDEX(Rastreio!$H$2:$H$200,MATCH(X617&amp;"|"&amp;U617,Rastreio!$A$2:$A$200,0)),"")</f>
        <v/>
      </c>
    </row>
    <row r="618">
      <c r="A618">
        <f>IFERROR(INDEX(STAs!$G$2:$G$61,MATCH(P618,STAs!$F$2:$F$61,0))&amp;"","")</f>
        <v/>
      </c>
      <c r="B618" t="n">
        <v>20021065</v>
      </c>
      <c r="C618" t="inlineStr">
        <is>
          <t>Não</t>
        </is>
      </c>
      <c r="D618" t="inlineStr">
        <is>
          <t>RJ</t>
        </is>
      </c>
      <c r="E618" t="inlineStr">
        <is>
          <t>SUDESTE RJ e ES</t>
        </is>
      </c>
      <c r="F618" t="inlineStr">
        <is>
          <t>Cliente C - Misturador</t>
        </is>
      </c>
      <c r="G618" t="inlineStr">
        <is>
          <t>Refrigeradores</t>
        </is>
      </c>
      <c r="H618" s="10" t="n">
        <v>330</v>
      </c>
      <c r="I618" s="10">
        <f>IFERROR(T618*H618,0)</f>
        <v/>
      </c>
      <c r="J618" s="11" t="n">
        <v>46013</v>
      </c>
      <c r="K618" s="11" t="n"/>
      <c r="L618" t="inlineStr">
        <is>
          <t>Debitar do STA</t>
        </is>
      </c>
      <c r="M618">
        <f>IF(L618="","",IFERROR(VLOOKUP(L618,mapGrupoStatus,2,0),"Outros"))</f>
        <v/>
      </c>
      <c r="N618">
        <f>IF(O618="","",IF(O618&lt;=30,"0-30 dias",IF(O618&lt;=60,"31-60 dias",IF(O618&lt;=90,"61-90 dias","Mais de 90 dias"))))</f>
        <v/>
      </c>
      <c r="O618">
        <f>IF(OR(M618="Pendente",M618="Em andamento"),IF(J618="","",TODAY()-J618),"")</f>
        <v/>
      </c>
      <c r="P618" t="n">
        <v>12336</v>
      </c>
      <c r="Q618" t="inlineStr">
        <is>
          <t>Termotec ME (12336)</t>
        </is>
      </c>
      <c r="R618" t="inlineStr">
        <is>
          <t>PC-0003</t>
        </is>
      </c>
      <c r="S618" t="inlineStr">
        <is>
          <t>Compressor modelo 03</t>
        </is>
      </c>
      <c r="T618" t="n">
        <v>1</v>
      </c>
      <c r="U618" t="inlineStr"/>
      <c r="V618">
        <f>IF(J618="","",MONTH(J618))</f>
        <v/>
      </c>
      <c r="W618">
        <f>IF(J618="","",YEAR(J618))</f>
        <v/>
      </c>
      <c r="X618" t="inlineStr"/>
      <c r="Y618">
        <f>IFERROR(INDEX(Rastreio!$H$2:$H$200,MATCH(X618&amp;"|"&amp;U618,Rastreio!$A$2:$A$200,0)),"")</f>
        <v/>
      </c>
    </row>
    <row r="619">
      <c r="A619">
        <f>IFERROR(INDEX(STAs!$G$2:$G$61,MATCH(P619,STAs!$F$2:$F$61,0))&amp;"","")</f>
        <v/>
      </c>
      <c r="B619" t="n">
        <v>20026258</v>
      </c>
      <c r="C619" t="inlineStr">
        <is>
          <t>Não</t>
        </is>
      </c>
      <c r="D619" t="inlineStr">
        <is>
          <t>DF</t>
        </is>
      </c>
      <c r="E619" t="inlineStr">
        <is>
          <t>CENTRO OESTE</t>
        </is>
      </c>
      <c r="F619" t="inlineStr">
        <is>
          <t>Cliente B - Chopeira</t>
        </is>
      </c>
      <c r="G619" t="inlineStr">
        <is>
          <t>Refrigeradores</t>
        </is>
      </c>
      <c r="H619" s="10" t="n">
        <v>155</v>
      </c>
      <c r="I619" s="10">
        <f>IFERROR(T619*H619,0)</f>
        <v/>
      </c>
      <c r="J619" s="11" t="n">
        <v>46013</v>
      </c>
      <c r="K619" s="11" t="n">
        <v>46062</v>
      </c>
      <c r="L619" t="inlineStr">
        <is>
          <t>Ok. Devolvida</t>
        </is>
      </c>
      <c r="M619">
        <f>IF(L619="","",IFERROR(VLOOKUP(L619,mapGrupoStatus,2,0),"Outros"))</f>
        <v/>
      </c>
      <c r="N619">
        <f>IF(O619="","",IF(O619&lt;=30,"0-30 dias",IF(O619&lt;=60,"31-60 dias",IF(O619&lt;=90,"61-90 dias","Mais de 90 dias"))))</f>
        <v/>
      </c>
      <c r="O619">
        <f>IF(OR(M619="Pendente",M619="Em andamento"),IF(J619="","",TODAY()-J619),"")</f>
        <v/>
      </c>
      <c r="P619" t="n">
        <v>10021</v>
      </c>
      <c r="Q619" t="inlineStr">
        <is>
          <t>Termotec Técnica (10021)</t>
        </is>
      </c>
      <c r="R619" t="inlineStr">
        <is>
          <t>PC-0021</t>
        </is>
      </c>
      <c r="S619" t="inlineStr">
        <is>
          <t>Controlador digital modelo 01</t>
        </is>
      </c>
      <c r="T619" t="n">
        <v>1</v>
      </c>
      <c r="U619" t="n">
        <v>147</v>
      </c>
      <c r="V619">
        <f>IF(J619="","",MONTH(J619))</f>
        <v/>
      </c>
      <c r="W619">
        <f>IF(J619="","",YEAR(J619))</f>
        <v/>
      </c>
      <c r="X619" t="inlineStr">
        <is>
          <t>TransNorte</t>
        </is>
      </c>
      <c r="Y619">
        <f>IFERROR(INDEX(Rastreio!$H$2:$H$200,MATCH(X619&amp;"|"&amp;U619,Rastreio!$A$2:$A$200,0)),"")</f>
        <v/>
      </c>
    </row>
    <row r="620">
      <c r="A620">
        <f>IFERROR(INDEX(STAs!$G$2:$G$61,MATCH(P620,STAs!$F$2:$F$61,0))&amp;"","")</f>
        <v/>
      </c>
      <c r="B620" t="n">
        <v>20027439</v>
      </c>
      <c r="C620" t="inlineStr">
        <is>
          <t>Não</t>
        </is>
      </c>
      <c r="D620" t="inlineStr">
        <is>
          <t>SP</t>
        </is>
      </c>
      <c r="E620" t="inlineStr">
        <is>
          <t>SUDESTE SP</t>
        </is>
      </c>
      <c r="F620" t="inlineStr">
        <is>
          <t>Cliente C - Misturador</t>
        </is>
      </c>
      <c r="G620" t="inlineStr">
        <is>
          <t>Refrigeradores</t>
        </is>
      </c>
      <c r="H620" s="10" t="n">
        <v>50</v>
      </c>
      <c r="I620" s="10">
        <f>IFERROR(T620*H620,0)</f>
        <v/>
      </c>
      <c r="J620" s="11" t="n">
        <v>46013</v>
      </c>
      <c r="K620" s="11" t="n">
        <v>46040</v>
      </c>
      <c r="L620" t="inlineStr">
        <is>
          <t>Ok. Devolvida</t>
        </is>
      </c>
      <c r="M620">
        <f>IF(L620="","",IFERROR(VLOOKUP(L620,mapGrupoStatus,2,0),"Outros"))</f>
        <v/>
      </c>
      <c r="N620">
        <f>IF(O620="","",IF(O620&lt;=30,"0-30 dias",IF(O620&lt;=60,"31-60 dias",IF(O620&lt;=90,"61-90 dias","Mais de 90 dias"))))</f>
        <v/>
      </c>
      <c r="O620">
        <f>IF(OR(M620="Pendente",M620="Em andamento"),IF(J620="","",TODAY()-J620),"")</f>
        <v/>
      </c>
      <c r="P620" t="n">
        <v>12901</v>
      </c>
      <c r="Q620" t="inlineStr">
        <is>
          <t>Frio Serviços (12901)</t>
        </is>
      </c>
      <c r="R620" t="inlineStr">
        <is>
          <t>PC-0006</t>
        </is>
      </c>
      <c r="S620" t="inlineStr">
        <is>
          <t>Termostato modelo 03</t>
        </is>
      </c>
      <c r="T620" t="n">
        <v>1</v>
      </c>
      <c r="U620" t="n">
        <v>148</v>
      </c>
      <c r="V620">
        <f>IF(J620="","",MONTH(J620))</f>
        <v/>
      </c>
      <c r="W620">
        <f>IF(J620="","",YEAR(J620))</f>
        <v/>
      </c>
      <c r="X620" t="inlineStr">
        <is>
          <t>TransNorte</t>
        </is>
      </c>
      <c r="Y620">
        <f>IFERROR(INDEX(Rastreio!$H$2:$H$200,MATCH(X620&amp;"|"&amp;U620,Rastreio!$A$2:$A$200,0)),"")</f>
        <v/>
      </c>
    </row>
    <row r="621">
      <c r="A621">
        <f>IFERROR(INDEX(STAs!$G$2:$G$61,MATCH(P621,STAs!$F$2:$F$61,0))&amp;"","")</f>
        <v/>
      </c>
      <c r="B621" t="n">
        <v>20004651</v>
      </c>
      <c r="C621" t="inlineStr">
        <is>
          <t>Não</t>
        </is>
      </c>
      <c r="D621" t="inlineStr">
        <is>
          <t>RR</t>
        </is>
      </c>
      <c r="E621" t="inlineStr">
        <is>
          <t>NORTE</t>
        </is>
      </c>
      <c r="F621" t="inlineStr">
        <is>
          <t>Cliente C - Misturador</t>
        </is>
      </c>
      <c r="G621" t="inlineStr">
        <is>
          <t>Misturadores</t>
        </is>
      </c>
      <c r="H621" s="10" t="n">
        <v>35</v>
      </c>
      <c r="I621" s="10">
        <f>IFERROR(T621*H621,0)</f>
        <v/>
      </c>
      <c r="J621" s="11" t="n">
        <v>46014</v>
      </c>
      <c r="K621" s="11" t="n"/>
      <c r="L621" t="inlineStr">
        <is>
          <t>Não Devolve-Norte</t>
        </is>
      </c>
      <c r="M621">
        <f>IF(L621="","",IFERROR(VLOOKUP(L621,mapGrupoStatus,2,0),"Outros"))</f>
        <v/>
      </c>
      <c r="N621">
        <f>IF(O621="","",IF(O621&lt;=30,"0-30 dias",IF(O621&lt;=60,"31-60 dias",IF(O621&lt;=90,"61-90 dias","Mais de 90 dias"))))</f>
        <v/>
      </c>
      <c r="O621">
        <f>IF(OR(M621="Pendente",M621="Em andamento"),IF(J621="","",TODAY()-J621),"")</f>
        <v/>
      </c>
      <c r="P621" t="n">
        <v>10468</v>
      </c>
      <c r="Q621" t="inlineStr">
        <is>
          <t>Clima Express (10468)</t>
        </is>
      </c>
      <c r="R621" t="inlineStr">
        <is>
          <t>PC-0043</t>
        </is>
      </c>
      <c r="S621" t="inlineStr">
        <is>
          <t>Bico dosador modelo 02</t>
        </is>
      </c>
      <c r="T621" t="n">
        <v>2</v>
      </c>
      <c r="U621" t="inlineStr"/>
      <c r="V621">
        <f>IF(J621="","",MONTH(J621))</f>
        <v/>
      </c>
      <c r="W621">
        <f>IF(J621="","",YEAR(J621))</f>
        <v/>
      </c>
      <c r="X621" t="inlineStr"/>
      <c r="Y621">
        <f>IFERROR(INDEX(Rastreio!$H$2:$H$200,MATCH(X621&amp;"|"&amp;U621,Rastreio!$A$2:$A$200,0)),"")</f>
        <v/>
      </c>
    </row>
    <row r="622">
      <c r="A622">
        <f>IFERROR(INDEX(STAs!$G$2:$G$61,MATCH(P622,STAs!$F$2:$F$61,0))&amp;"","")</f>
        <v/>
      </c>
      <c r="B622" t="n">
        <v>20008409</v>
      </c>
      <c r="C622" t="inlineStr">
        <is>
          <t>Não</t>
        </is>
      </c>
      <c r="D622" t="inlineStr">
        <is>
          <t>MG</t>
        </is>
      </c>
      <c r="E622" t="inlineStr">
        <is>
          <t>SUDESTE MG</t>
        </is>
      </c>
      <c r="F622" t="inlineStr">
        <is>
          <t>Cliente C - Misturador</t>
        </is>
      </c>
      <c r="G622" t="inlineStr">
        <is>
          <t>Refrigeradores</t>
        </is>
      </c>
      <c r="H622" s="10" t="n">
        <v>185</v>
      </c>
      <c r="I622" s="10">
        <f>IFERROR(T622*H622,0)</f>
        <v/>
      </c>
      <c r="J622" s="11" t="n">
        <v>46014</v>
      </c>
      <c r="K622" s="11" t="n"/>
      <c r="L622" t="inlineStr">
        <is>
          <t>Em andamento</t>
        </is>
      </c>
      <c r="M622">
        <f>IF(L622="","",IFERROR(VLOOKUP(L622,mapGrupoStatus,2,0),"Outros"))</f>
        <v/>
      </c>
      <c r="N622">
        <f>IF(O622="","",IF(O622&lt;=30,"0-30 dias",IF(O622&lt;=60,"31-60 dias",IF(O622&lt;=90,"61-90 dias","Mais de 90 dias"))))</f>
        <v/>
      </c>
      <c r="O622">
        <f>IF(OR(M622="Pendente",M622="Em andamento"),IF(J622="","",TODAY()-J622),"")</f>
        <v/>
      </c>
      <c r="P622" t="n">
        <v>12470</v>
      </c>
      <c r="Q622" t="inlineStr">
        <is>
          <t>Cool Service Técnica (12470)</t>
        </is>
      </c>
      <c r="R622" t="inlineStr">
        <is>
          <t>PC-0013</t>
        </is>
      </c>
      <c r="S622" t="inlineStr">
        <is>
          <t>Placa eletrônica modelo 03</t>
        </is>
      </c>
      <c r="T622" t="n">
        <v>1</v>
      </c>
      <c r="U622" t="n">
        <v>118</v>
      </c>
      <c r="V622">
        <f>IF(J622="","",MONTH(J622))</f>
        <v/>
      </c>
      <c r="W622">
        <f>IF(J622="","",YEAR(J622))</f>
        <v/>
      </c>
      <c r="X622" t="inlineStr">
        <is>
          <t>EntregaJá</t>
        </is>
      </c>
      <c r="Y622">
        <f>IFERROR(INDEX(Rastreio!$H$2:$H$200,MATCH(X622&amp;"|"&amp;U622,Rastreio!$A$2:$A$200,0)),"")</f>
        <v/>
      </c>
    </row>
    <row r="623">
      <c r="A623">
        <f>IFERROR(INDEX(STAs!$G$2:$G$61,MATCH(P623,STAs!$F$2:$F$61,0))&amp;"","")</f>
        <v/>
      </c>
      <c r="B623" t="n">
        <v>20000064</v>
      </c>
      <c r="C623" t="inlineStr">
        <is>
          <t>Não</t>
        </is>
      </c>
      <c r="D623" t="inlineStr">
        <is>
          <t>SP</t>
        </is>
      </c>
      <c r="E623" t="inlineStr">
        <is>
          <t>SUDESTE SP</t>
        </is>
      </c>
      <c r="F623" t="inlineStr">
        <is>
          <t>Cliente A - Refrigerador</t>
        </is>
      </c>
      <c r="G623" t="inlineStr">
        <is>
          <t>Refrigeradores</t>
        </is>
      </c>
      <c r="H623" s="10" t="n">
        <v>40</v>
      </c>
      <c r="I623" s="10">
        <f>IFERROR(T623*H623,0)</f>
        <v/>
      </c>
      <c r="J623" s="11" t="n">
        <v>46015</v>
      </c>
      <c r="K623" s="11" t="n"/>
      <c r="L623" t="inlineStr">
        <is>
          <t>Em andamento</t>
        </is>
      </c>
      <c r="M623">
        <f>IF(L623="","",IFERROR(VLOOKUP(L623,mapGrupoStatus,2,0),"Outros"))</f>
        <v/>
      </c>
      <c r="N623">
        <f>IF(O623="","",IF(O623&lt;=30,"0-30 dias",IF(O623&lt;=60,"31-60 dias",IF(O623&lt;=90,"61-90 dias","Mais de 90 dias"))))</f>
        <v/>
      </c>
      <c r="O623">
        <f>IF(OR(M623="Pendente",M623="Em andamento"),IF(J623="","",TODAY()-J623),"")</f>
        <v/>
      </c>
      <c r="P623" t="n">
        <v>11710</v>
      </c>
      <c r="Q623" t="inlineStr">
        <is>
          <t>Brisa &amp; Cia (11710)</t>
        </is>
      </c>
      <c r="R623" t="inlineStr">
        <is>
          <t>PC-0004</t>
        </is>
      </c>
      <c r="S623" t="inlineStr">
        <is>
          <t>Termostato modelo 01</t>
        </is>
      </c>
      <c r="T623" t="n">
        <v>2</v>
      </c>
      <c r="U623" t="n">
        <v>102</v>
      </c>
      <c r="V623">
        <f>IF(J623="","",MONTH(J623))</f>
        <v/>
      </c>
      <c r="W623">
        <f>IF(J623="","",YEAR(J623))</f>
        <v/>
      </c>
      <c r="X623" t="inlineStr">
        <is>
          <t>EntregaJá</t>
        </is>
      </c>
      <c r="Y623">
        <f>IFERROR(INDEX(Rastreio!$H$2:$H$200,MATCH(X623&amp;"|"&amp;U623,Rastreio!$A$2:$A$200,0)),"")</f>
        <v/>
      </c>
    </row>
    <row r="624">
      <c r="A624">
        <f>IFERROR(INDEX(STAs!$G$2:$G$61,MATCH(P624,STAs!$F$2:$F$61,0))&amp;"","")</f>
        <v/>
      </c>
      <c r="B624" t="n">
        <v>20009101</v>
      </c>
      <c r="C624" t="inlineStr">
        <is>
          <t>Não</t>
        </is>
      </c>
      <c r="D624" t="inlineStr">
        <is>
          <t>ES</t>
        </is>
      </c>
      <c r="E624" t="inlineStr">
        <is>
          <t>SUDESTE RJ e ES</t>
        </is>
      </c>
      <c r="F624" t="inlineStr">
        <is>
          <t>Cliente B - Chopeira</t>
        </is>
      </c>
      <c r="G624" t="inlineStr">
        <is>
          <t>Refrigeradores</t>
        </is>
      </c>
      <c r="H624" s="10" t="n">
        <v>35</v>
      </c>
      <c r="I624" s="10">
        <f>IFERROR(T624*H624,0)</f>
        <v/>
      </c>
      <c r="J624" s="11" t="n">
        <v>46015</v>
      </c>
      <c r="K624" s="11" t="n"/>
      <c r="L624" t="inlineStr">
        <is>
          <t>Aguardando devolução</t>
        </is>
      </c>
      <c r="M624">
        <f>IF(L624="","",IFERROR(VLOOKUP(L624,mapGrupoStatus,2,0),"Outros"))</f>
        <v/>
      </c>
      <c r="N624">
        <f>IF(O624="","",IF(O624&lt;=30,"0-30 dias",IF(O624&lt;=60,"31-60 dias",IF(O624&lt;=90,"61-90 dias","Mais de 90 dias"))))</f>
        <v/>
      </c>
      <c r="O624">
        <f>IF(OR(M624="Pendente",M624="Em andamento"),IF(J624="","",TODAY()-J624),"")</f>
        <v/>
      </c>
      <c r="P624" t="n">
        <v>11099</v>
      </c>
      <c r="Q624" t="inlineStr">
        <is>
          <t>Refrigel Serviços (11099)</t>
        </is>
      </c>
      <c r="R624" t="inlineStr">
        <is>
          <t>PC-0024</t>
        </is>
      </c>
      <c r="S624" t="inlineStr">
        <is>
          <t>Relé de partida modelo 02</t>
        </is>
      </c>
      <c r="T624" t="n">
        <v>1</v>
      </c>
      <c r="U624" t="inlineStr"/>
      <c r="V624">
        <f>IF(J624="","",MONTH(J624))</f>
        <v/>
      </c>
      <c r="W624">
        <f>IF(J624="","",YEAR(J624))</f>
        <v/>
      </c>
      <c r="X624" t="inlineStr"/>
      <c r="Y624">
        <f>IFERROR(INDEX(Rastreio!$H$2:$H$200,MATCH(X624&amp;"|"&amp;U624,Rastreio!$A$2:$A$200,0)),"")</f>
        <v/>
      </c>
    </row>
    <row r="625">
      <c r="A625">
        <f>IFERROR(INDEX(STAs!$G$2:$G$61,MATCH(P625,STAs!$F$2:$F$61,0))&amp;"","")</f>
        <v/>
      </c>
      <c r="B625" t="n">
        <v>20026653</v>
      </c>
      <c r="C625" t="inlineStr">
        <is>
          <t>Não</t>
        </is>
      </c>
      <c r="D625" t="inlineStr">
        <is>
          <t>PR</t>
        </is>
      </c>
      <c r="E625" t="inlineStr">
        <is>
          <t>SUL</t>
        </is>
      </c>
      <c r="F625" t="inlineStr">
        <is>
          <t>Cliente B - Chopeira</t>
        </is>
      </c>
      <c r="G625" t="inlineStr">
        <is>
          <t>Refrigeradores</t>
        </is>
      </c>
      <c r="H625" s="10" t="n">
        <v>55</v>
      </c>
      <c r="I625" s="10">
        <f>IFERROR(T625*H625,0)</f>
        <v/>
      </c>
      <c r="J625" s="11" t="n">
        <v>46015</v>
      </c>
      <c r="K625" s="11" t="n">
        <v>46020</v>
      </c>
      <c r="L625" t="inlineStr">
        <is>
          <t>Ok. Devolvida</t>
        </is>
      </c>
      <c r="M625">
        <f>IF(L625="","",IFERROR(VLOOKUP(L625,mapGrupoStatus,2,0),"Outros"))</f>
        <v/>
      </c>
      <c r="N625">
        <f>IF(O625="","",IF(O625&lt;=30,"0-30 dias",IF(O625&lt;=60,"31-60 dias",IF(O625&lt;=90,"61-90 dias","Mais de 90 dias"))))</f>
        <v/>
      </c>
      <c r="O625">
        <f>IF(OR(M625="Pendente",M625="Em andamento"),IF(J625="","",TODAY()-J625),"")</f>
        <v/>
      </c>
      <c r="P625" t="n">
        <v>11898</v>
      </c>
      <c r="Q625" t="inlineStr">
        <is>
          <t>Refrigel Express (11898)</t>
        </is>
      </c>
      <c r="R625" t="inlineStr">
        <is>
          <t>PC-0007</t>
        </is>
      </c>
      <c r="S625" t="inlineStr">
        <is>
          <t>Ventilador modelo 01</t>
        </is>
      </c>
      <c r="T625" t="n">
        <v>2</v>
      </c>
      <c r="U625" t="n">
        <v>148</v>
      </c>
      <c r="V625">
        <f>IF(J625="","",MONTH(J625))</f>
        <v/>
      </c>
      <c r="W625">
        <f>IF(J625="","",YEAR(J625))</f>
        <v/>
      </c>
      <c r="X625" t="inlineStr">
        <is>
          <t>TransNorte</t>
        </is>
      </c>
      <c r="Y625">
        <f>IFERROR(INDEX(Rastreio!$H$2:$H$200,MATCH(X625&amp;"|"&amp;U625,Rastreio!$A$2:$A$200,0)),"")</f>
        <v/>
      </c>
    </row>
    <row r="626">
      <c r="A626">
        <f>IFERROR(INDEX(STAs!$G$2:$G$61,MATCH(P626,STAs!$F$2:$F$61,0))&amp;"","")</f>
        <v/>
      </c>
      <c r="B626" t="n">
        <v>20028180</v>
      </c>
      <c r="C626" t="inlineStr">
        <is>
          <t>Não</t>
        </is>
      </c>
      <c r="D626" t="inlineStr">
        <is>
          <t>SP</t>
        </is>
      </c>
      <c r="E626" t="inlineStr">
        <is>
          <t>SUDESTE SP</t>
        </is>
      </c>
      <c r="F626" t="inlineStr">
        <is>
          <t>Cliente B - Chopeira</t>
        </is>
      </c>
      <c r="G626" t="inlineStr">
        <is>
          <t>Refrigeradores</t>
        </is>
      </c>
      <c r="H626" s="10" t="n">
        <v>155</v>
      </c>
      <c r="I626" s="10">
        <f>IFERROR(T626*H626,0)</f>
        <v/>
      </c>
      <c r="J626" s="11" t="n">
        <v>46015</v>
      </c>
      <c r="K626" s="11" t="n"/>
      <c r="L626" t="inlineStr">
        <is>
          <t>Aguardando devolução</t>
        </is>
      </c>
      <c r="M626">
        <f>IF(L626="","",IFERROR(VLOOKUP(L626,mapGrupoStatus,2,0),"Outros"))</f>
        <v/>
      </c>
      <c r="N626">
        <f>IF(O626="","",IF(O626&lt;=30,"0-30 dias",IF(O626&lt;=60,"31-60 dias",IF(O626&lt;=90,"61-90 dias","Mais de 90 dias"))))</f>
        <v/>
      </c>
      <c r="O626">
        <f>IF(OR(M626="Pendente",M626="Em andamento"),IF(J626="","",TODAY()-J626),"")</f>
        <v/>
      </c>
      <c r="P626" t="n">
        <v>11710</v>
      </c>
      <c r="Q626" t="inlineStr">
        <is>
          <t>Brisa &amp; Cia (11710)</t>
        </is>
      </c>
      <c r="R626" t="inlineStr">
        <is>
          <t>PC-0022</t>
        </is>
      </c>
      <c r="S626" t="inlineStr">
        <is>
          <t>Controlador digital modelo 02</t>
        </is>
      </c>
      <c r="T626" t="n">
        <v>2</v>
      </c>
      <c r="U626" t="inlineStr"/>
      <c r="V626">
        <f>IF(J626="","",MONTH(J626))</f>
        <v/>
      </c>
      <c r="W626">
        <f>IF(J626="","",YEAR(J626))</f>
        <v/>
      </c>
      <c r="X626" t="inlineStr"/>
      <c r="Y626">
        <f>IFERROR(INDEX(Rastreio!$H$2:$H$200,MATCH(X626&amp;"|"&amp;U626,Rastreio!$A$2:$A$200,0)),"")</f>
        <v/>
      </c>
    </row>
    <row r="627">
      <c r="A627">
        <f>IFERROR(INDEX(STAs!$G$2:$G$61,MATCH(P627,STAs!$F$2:$F$61,0))&amp;"","")</f>
        <v/>
      </c>
      <c r="B627" t="n">
        <v>20003989</v>
      </c>
      <c r="C627" t="inlineStr">
        <is>
          <t>Sim</t>
        </is>
      </c>
      <c r="D627" t="inlineStr">
        <is>
          <t>PR</t>
        </is>
      </c>
      <c r="E627" t="inlineStr">
        <is>
          <t>SUL</t>
        </is>
      </c>
      <c r="F627" t="inlineStr">
        <is>
          <t>Cliente B - Chopeira</t>
        </is>
      </c>
      <c r="G627" t="inlineStr">
        <is>
          <t>Refrigeradores</t>
        </is>
      </c>
      <c r="H627" s="10" t="n">
        <v>40</v>
      </c>
      <c r="I627" s="10">
        <f>IFERROR(T627*H627,0)</f>
        <v/>
      </c>
      <c r="J627" s="11" t="n">
        <v>46016</v>
      </c>
      <c r="K627" s="11" t="n"/>
      <c r="L627" t="inlineStr">
        <is>
          <t>Em andamento</t>
        </is>
      </c>
      <c r="M627">
        <f>IF(L627="","",IFERROR(VLOOKUP(L627,mapGrupoStatus,2,0),"Outros"))</f>
        <v/>
      </c>
      <c r="N627">
        <f>IF(O627="","",IF(O627&lt;=30,"0-30 dias",IF(O627&lt;=60,"31-60 dias",IF(O627&lt;=90,"61-90 dias","Mais de 90 dias"))))</f>
        <v/>
      </c>
      <c r="O627">
        <f>IF(OR(M627="Pendente",M627="Em andamento"),IF(J627="","",TODAY()-J627),"")</f>
        <v/>
      </c>
      <c r="P627" t="n">
        <v>10753</v>
      </c>
      <c r="Q627" t="inlineStr">
        <is>
          <t>Refrigel &amp; Cia (10753)</t>
        </is>
      </c>
      <c r="R627" t="inlineStr">
        <is>
          <t>PC-0004</t>
        </is>
      </c>
      <c r="S627" t="inlineStr">
        <is>
          <t>Termostato modelo 01</t>
        </is>
      </c>
      <c r="T627" t="n">
        <v>1</v>
      </c>
      <c r="U627" t="n">
        <v>105</v>
      </c>
      <c r="V627">
        <f>IF(J627="","",MONTH(J627))</f>
        <v/>
      </c>
      <c r="W627">
        <f>IF(J627="","",YEAR(J627))</f>
        <v/>
      </c>
      <c r="X627" t="inlineStr">
        <is>
          <t>LogExpress</t>
        </is>
      </c>
      <c r="Y627">
        <f>IFERROR(INDEX(Rastreio!$H$2:$H$200,MATCH(X627&amp;"|"&amp;U627,Rastreio!$A$2:$A$200,0)),"")</f>
        <v/>
      </c>
    </row>
    <row r="628">
      <c r="A628">
        <f>IFERROR(INDEX(STAs!$G$2:$G$61,MATCH(P628,STAs!$F$2:$F$61,0))&amp;"","")</f>
        <v/>
      </c>
      <c r="B628" t="n">
        <v>20015175</v>
      </c>
      <c r="C628" t="inlineStr">
        <is>
          <t>Não</t>
        </is>
      </c>
      <c r="D628" t="inlineStr">
        <is>
          <t>MS</t>
        </is>
      </c>
      <c r="E628" t="inlineStr">
        <is>
          <t>CENTRO OESTE</t>
        </is>
      </c>
      <c r="F628" t="inlineStr">
        <is>
          <t>Cliente C - Misturador</t>
        </is>
      </c>
      <c r="G628" t="inlineStr">
        <is>
          <t>Refrigeradores</t>
        </is>
      </c>
      <c r="H628" s="10" t="n">
        <v>40</v>
      </c>
      <c r="I628" s="10">
        <f>IFERROR(T628*H628,0)</f>
        <v/>
      </c>
      <c r="J628" s="11" t="n">
        <v>46016</v>
      </c>
      <c r="K628" s="11" t="n">
        <v>46065</v>
      </c>
      <c r="L628" t="inlineStr">
        <is>
          <t>Ok. Devolvida</t>
        </is>
      </c>
      <c r="M628">
        <f>IF(L628="","",IFERROR(VLOOKUP(L628,mapGrupoStatus,2,0),"Outros"))</f>
        <v/>
      </c>
      <c r="N628">
        <f>IF(O628="","",IF(O628&lt;=30,"0-30 dias",IF(O628&lt;=60,"31-60 dias",IF(O628&lt;=90,"61-90 dias","Mais de 90 dias"))))</f>
        <v/>
      </c>
      <c r="O628">
        <f>IF(OR(M628="Pendente",M628="Em andamento"),IF(J628="","",TODAY()-J628),"")</f>
        <v/>
      </c>
      <c r="P628" t="n">
        <v>12280</v>
      </c>
      <c r="Q628" t="inlineStr">
        <is>
          <t>Termotec &amp; Cia (12280)</t>
        </is>
      </c>
      <c r="R628" t="inlineStr">
        <is>
          <t>PC-0005</t>
        </is>
      </c>
      <c r="S628" t="inlineStr">
        <is>
          <t>Termostato modelo 02</t>
        </is>
      </c>
      <c r="T628" t="n">
        <v>2</v>
      </c>
      <c r="U628" t="n">
        <v>122</v>
      </c>
      <c r="V628">
        <f>IF(J628="","",MONTH(J628))</f>
        <v/>
      </c>
      <c r="W628">
        <f>IF(J628="","",YEAR(J628))</f>
        <v/>
      </c>
      <c r="X628" t="inlineStr">
        <is>
          <t>RotaSul</t>
        </is>
      </c>
      <c r="Y628">
        <f>IFERROR(INDEX(Rastreio!$H$2:$H$200,MATCH(X628&amp;"|"&amp;U628,Rastreio!$A$2:$A$200,0)),"")</f>
        <v/>
      </c>
    </row>
    <row r="629">
      <c r="A629">
        <f>IFERROR(INDEX(STAs!$G$2:$G$61,MATCH(P629,STAs!$F$2:$F$61,0))&amp;"","")</f>
        <v/>
      </c>
      <c r="B629" t="n">
        <v>20026757</v>
      </c>
      <c r="C629" t="inlineStr">
        <is>
          <t>Sim</t>
        </is>
      </c>
      <c r="D629" t="inlineStr">
        <is>
          <t>PR</t>
        </is>
      </c>
      <c r="E629" t="inlineStr">
        <is>
          <t>SUL</t>
        </is>
      </c>
      <c r="F629" t="inlineStr">
        <is>
          <t>Cliente B - Chopeira</t>
        </is>
      </c>
      <c r="G629" t="inlineStr">
        <is>
          <t>Refrigeradores</t>
        </is>
      </c>
      <c r="H629" s="10" t="n">
        <v>155</v>
      </c>
      <c r="I629" s="10">
        <f>IFERROR(T629*H629,0)</f>
        <v/>
      </c>
      <c r="J629" s="11" t="n">
        <v>46016</v>
      </c>
      <c r="K629" s="11" t="n">
        <v>46070</v>
      </c>
      <c r="L629" t="inlineStr">
        <is>
          <t>Ok. Devolvida</t>
        </is>
      </c>
      <c r="M629">
        <f>IF(L629="","",IFERROR(VLOOKUP(L629,mapGrupoStatus,2,0),"Outros"))</f>
        <v/>
      </c>
      <c r="N629">
        <f>IF(O629="","",IF(O629&lt;=30,"0-30 dias",IF(O629&lt;=60,"31-60 dias",IF(O629&lt;=90,"61-90 dias","Mais de 90 dias"))))</f>
        <v/>
      </c>
      <c r="O629">
        <f>IF(OR(M629="Pendente",M629="Em andamento"),IF(J629="","",TODAY()-J629),"")</f>
        <v/>
      </c>
      <c r="P629" t="n">
        <v>10913</v>
      </c>
      <c r="Q629" t="inlineStr">
        <is>
          <t>Ice Tech &amp; Cia (10913)</t>
        </is>
      </c>
      <c r="R629" t="inlineStr">
        <is>
          <t>PC-0021</t>
        </is>
      </c>
      <c r="S629" t="inlineStr">
        <is>
          <t>Controlador digital modelo 01</t>
        </is>
      </c>
      <c r="T629" t="n">
        <v>1</v>
      </c>
      <c r="U629" t="n">
        <v>143</v>
      </c>
      <c r="V629">
        <f>IF(J629="","",MONTH(J629))</f>
        <v/>
      </c>
      <c r="W629">
        <f>IF(J629="","",YEAR(J629))</f>
        <v/>
      </c>
      <c r="X629" t="inlineStr">
        <is>
          <t>ViaCargo</t>
        </is>
      </c>
      <c r="Y629">
        <f>IFERROR(INDEX(Rastreio!$H$2:$H$200,MATCH(X629&amp;"|"&amp;U629,Rastreio!$A$2:$A$200,0)),"")</f>
        <v/>
      </c>
    </row>
    <row r="630">
      <c r="A630">
        <f>IFERROR(INDEX(STAs!$G$2:$G$61,MATCH(P630,STAs!$F$2:$F$61,0))&amp;"","")</f>
        <v/>
      </c>
      <c r="B630" t="n">
        <v>20028113</v>
      </c>
      <c r="C630" t="inlineStr">
        <is>
          <t>Não</t>
        </is>
      </c>
      <c r="D630" t="inlineStr">
        <is>
          <t>RS</t>
        </is>
      </c>
      <c r="E630" t="inlineStr">
        <is>
          <t>SUL</t>
        </is>
      </c>
      <c r="F630" t="inlineStr">
        <is>
          <t>Cliente A - Refrigerador</t>
        </is>
      </c>
      <c r="G630" t="inlineStr">
        <is>
          <t>Misturadores</t>
        </is>
      </c>
      <c r="H630" s="10" t="n">
        <v>50</v>
      </c>
      <c r="I630" s="10">
        <f>IFERROR(T630*H630,0)</f>
        <v/>
      </c>
      <c r="J630" s="11" t="n">
        <v>46016</v>
      </c>
      <c r="K630" s="11" t="n">
        <v>46031</v>
      </c>
      <c r="L630" t="inlineStr">
        <is>
          <t>Ok. Devolvida</t>
        </is>
      </c>
      <c r="M630">
        <f>IF(L630="","",IFERROR(VLOOKUP(L630,mapGrupoStatus,2,0),"Outros"))</f>
        <v/>
      </c>
      <c r="N630">
        <f>IF(O630="","",IF(O630&lt;=30,"0-30 dias",IF(O630&lt;=60,"31-60 dias",IF(O630&lt;=90,"61-90 dias","Mais de 90 dias"))))</f>
        <v/>
      </c>
      <c r="O630">
        <f>IF(OR(M630="Pendente",M630="Em andamento"),IF(J630="","",TODAY()-J630),"")</f>
        <v/>
      </c>
      <c r="P630" t="n">
        <v>11459</v>
      </c>
      <c r="Q630" t="inlineStr">
        <is>
          <t>Frio ME (11459)</t>
        </is>
      </c>
      <c r="R630" t="inlineStr">
        <is>
          <t>PC-0044</t>
        </is>
      </c>
      <c r="S630" t="inlineStr">
        <is>
          <t>Bico dosador modelo 03</t>
        </is>
      </c>
      <c r="T630" t="n">
        <v>1</v>
      </c>
      <c r="U630" t="n">
        <v>149</v>
      </c>
      <c r="V630">
        <f>IF(J630="","",MONTH(J630))</f>
        <v/>
      </c>
      <c r="W630">
        <f>IF(J630="","",YEAR(J630))</f>
        <v/>
      </c>
      <c r="X630" t="inlineStr">
        <is>
          <t>RotaSul</t>
        </is>
      </c>
      <c r="Y630">
        <f>IFERROR(INDEX(Rastreio!$H$2:$H$200,MATCH(X630&amp;"|"&amp;U630,Rastreio!$A$2:$A$200,0)),"")</f>
        <v/>
      </c>
    </row>
    <row r="631">
      <c r="A631">
        <f>IFERROR(INDEX(STAs!$G$2:$G$61,MATCH(P631,STAs!$F$2:$F$61,0))&amp;"","")</f>
        <v/>
      </c>
      <c r="B631" t="n">
        <v>20033499</v>
      </c>
      <c r="C631" t="inlineStr">
        <is>
          <t>Não</t>
        </is>
      </c>
      <c r="D631" t="inlineStr">
        <is>
          <t>PR</t>
        </is>
      </c>
      <c r="E631" t="inlineStr">
        <is>
          <t>SUL</t>
        </is>
      </c>
      <c r="F631" t="inlineStr">
        <is>
          <t>Cliente C - Misturador</t>
        </is>
      </c>
      <c r="G631" t="inlineStr">
        <is>
          <t>Refrigeradores</t>
        </is>
      </c>
      <c r="H631" s="10" t="n">
        <v>55</v>
      </c>
      <c r="I631" s="10">
        <f>IFERROR(T631*H631,0)</f>
        <v/>
      </c>
      <c r="J631" s="11" t="n">
        <v>46016</v>
      </c>
      <c r="K631" s="11" t="n">
        <v>46067</v>
      </c>
      <c r="L631" t="inlineStr">
        <is>
          <t>Ok. Devolvida</t>
        </is>
      </c>
      <c r="M631">
        <f>IF(L631="","",IFERROR(VLOOKUP(L631,mapGrupoStatus,2,0),"Outros"))</f>
        <v/>
      </c>
      <c r="N631">
        <f>IF(O631="","",IF(O631&lt;=30,"0-30 dias",IF(O631&lt;=60,"31-60 dias",IF(O631&lt;=90,"61-90 dias","Mais de 90 dias"))))</f>
        <v/>
      </c>
      <c r="O631">
        <f>IF(OR(M631="Pendente",M631="Em andamento"),IF(J631="","",TODAY()-J631),"")</f>
        <v/>
      </c>
      <c r="P631" t="n">
        <v>11898</v>
      </c>
      <c r="Q631" t="inlineStr">
        <is>
          <t>Refrigel Express (11898)</t>
        </is>
      </c>
      <c r="R631" t="inlineStr">
        <is>
          <t>PC-0007</t>
        </is>
      </c>
      <c r="S631" t="inlineStr">
        <is>
          <t>Ventilador modelo 01</t>
        </is>
      </c>
      <c r="T631" t="n">
        <v>3</v>
      </c>
      <c r="U631" t="n">
        <v>146</v>
      </c>
      <c r="V631">
        <f>IF(J631="","",MONTH(J631))</f>
        <v/>
      </c>
      <c r="W631">
        <f>IF(J631="","",YEAR(J631))</f>
        <v/>
      </c>
      <c r="X631" t="inlineStr">
        <is>
          <t>EntregaJá</t>
        </is>
      </c>
      <c r="Y631">
        <f>IFERROR(INDEX(Rastreio!$H$2:$H$200,MATCH(X631&amp;"|"&amp;U631,Rastreio!$A$2:$A$200,0)),"")</f>
        <v/>
      </c>
    </row>
    <row r="632">
      <c r="A632">
        <f>IFERROR(INDEX(STAs!$G$2:$G$61,MATCH(P632,STAs!$F$2:$F$61,0))&amp;"","")</f>
        <v/>
      </c>
      <c r="B632" t="n">
        <v>20033788</v>
      </c>
      <c r="C632" t="inlineStr">
        <is>
          <t>Não</t>
        </is>
      </c>
      <c r="D632" t="inlineStr">
        <is>
          <t>PR</t>
        </is>
      </c>
      <c r="E632" t="inlineStr">
        <is>
          <t>SUL</t>
        </is>
      </c>
      <c r="F632" t="inlineStr">
        <is>
          <t>Cliente C - Misturador</t>
        </is>
      </c>
      <c r="G632" t="inlineStr">
        <is>
          <t>Misturadores</t>
        </is>
      </c>
      <c r="H632" s="10" t="n">
        <v>185</v>
      </c>
      <c r="I632" s="10">
        <f>IFERROR(T632*H632,0)</f>
        <v/>
      </c>
      <c r="J632" s="11" t="n">
        <v>46016</v>
      </c>
      <c r="K632" s="11" t="n"/>
      <c r="L632" t="inlineStr">
        <is>
          <t>Aguardando devolução</t>
        </is>
      </c>
      <c r="M632">
        <f>IF(L632="","",IFERROR(VLOOKUP(L632,mapGrupoStatus,2,0),"Outros"))</f>
        <v/>
      </c>
      <c r="N632">
        <f>IF(O632="","",IF(O632&lt;=30,"0-30 dias",IF(O632&lt;=60,"31-60 dias",IF(O632&lt;=90,"61-90 dias","Mais de 90 dias"))))</f>
        <v/>
      </c>
      <c r="O632">
        <f>IF(OR(M632="Pendente",M632="Em andamento"),IF(J632="","",TODAY()-J632),"")</f>
        <v/>
      </c>
      <c r="P632" t="n">
        <v>10504</v>
      </c>
      <c r="Q632" t="inlineStr">
        <is>
          <t>Zero Grau Ltda (10504)</t>
        </is>
      </c>
      <c r="R632" t="inlineStr">
        <is>
          <t>PC-0041</t>
        </is>
      </c>
      <c r="S632" t="inlineStr">
        <is>
          <t>Motor agitador modelo 02</t>
        </is>
      </c>
      <c r="T632" t="n">
        <v>1</v>
      </c>
      <c r="U632" t="inlineStr"/>
      <c r="V632">
        <f>IF(J632="","",MONTH(J632))</f>
        <v/>
      </c>
      <c r="W632">
        <f>IF(J632="","",YEAR(J632))</f>
        <v/>
      </c>
      <c r="X632" t="inlineStr"/>
      <c r="Y632">
        <f>IFERROR(INDEX(Rastreio!$H$2:$H$200,MATCH(X632&amp;"|"&amp;U632,Rastreio!$A$2:$A$200,0)),"")</f>
        <v/>
      </c>
    </row>
    <row r="633">
      <c r="A633">
        <f>IFERROR(INDEX(STAs!$G$2:$G$61,MATCH(P633,STAs!$F$2:$F$61,0))&amp;"","")</f>
        <v/>
      </c>
      <c r="B633" t="n">
        <v>20038161</v>
      </c>
      <c r="C633" t="inlineStr">
        <is>
          <t>Não</t>
        </is>
      </c>
      <c r="D633" t="inlineStr">
        <is>
          <t>ES</t>
        </is>
      </c>
      <c r="E633" t="inlineStr">
        <is>
          <t>SUDESTE RJ e ES</t>
        </is>
      </c>
      <c r="F633" t="inlineStr">
        <is>
          <t>Cliente B - Chopeira</t>
        </is>
      </c>
      <c r="G633" t="inlineStr">
        <is>
          <t>Misturadores</t>
        </is>
      </c>
      <c r="H633" s="10" t="n">
        <v>185</v>
      </c>
      <c r="I633" s="10">
        <f>IFERROR(T633*H633,0)</f>
        <v/>
      </c>
      <c r="J633" s="11" t="n">
        <v>46016</v>
      </c>
      <c r="K633" s="11" t="n"/>
      <c r="L633" t="inlineStr">
        <is>
          <t>Aguardando devolução</t>
        </is>
      </c>
      <c r="M633">
        <f>IF(L633="","",IFERROR(VLOOKUP(L633,mapGrupoStatus,2,0),"Outros"))</f>
        <v/>
      </c>
      <c r="N633">
        <f>IF(O633="","",IF(O633&lt;=30,"0-30 dias",IF(O633&lt;=60,"31-60 dias",IF(O633&lt;=90,"61-90 dias","Mais de 90 dias"))))</f>
        <v/>
      </c>
      <c r="O633">
        <f>IF(OR(M633="Pendente",M633="Em andamento"),IF(J633="","",TODAY()-J633),"")</f>
        <v/>
      </c>
      <c r="P633" t="n">
        <v>12555</v>
      </c>
      <c r="Q633" t="inlineStr">
        <is>
          <t>Cool Service Serviços (12555)</t>
        </is>
      </c>
      <c r="R633" t="inlineStr">
        <is>
          <t>PC-0041</t>
        </is>
      </c>
      <c r="S633" t="inlineStr">
        <is>
          <t>Motor agitador modelo 02</t>
        </is>
      </c>
      <c r="T633" t="n">
        <v>1</v>
      </c>
      <c r="U633" t="inlineStr"/>
      <c r="V633">
        <f>IF(J633="","",MONTH(J633))</f>
        <v/>
      </c>
      <c r="W633">
        <f>IF(J633="","",YEAR(J633))</f>
        <v/>
      </c>
      <c r="X633" t="inlineStr"/>
      <c r="Y633">
        <f>IFERROR(INDEX(Rastreio!$H$2:$H$200,MATCH(X633&amp;"|"&amp;U633,Rastreio!$A$2:$A$200,0)),"")</f>
        <v/>
      </c>
    </row>
    <row r="634">
      <c r="A634">
        <f>IFERROR(INDEX(STAs!$G$2:$G$61,MATCH(P634,STAs!$F$2:$F$61,0))&amp;"","")</f>
        <v/>
      </c>
      <c r="B634" t="n">
        <v>20006767</v>
      </c>
      <c r="C634" t="inlineStr">
        <is>
          <t>Não</t>
        </is>
      </c>
      <c r="D634" t="inlineStr">
        <is>
          <t>RJ</t>
        </is>
      </c>
      <c r="E634" t="inlineStr">
        <is>
          <t>SUDESTE RJ e ES</t>
        </is>
      </c>
      <c r="F634" t="inlineStr">
        <is>
          <t>Cliente A - Refrigerador</t>
        </is>
      </c>
      <c r="G634" t="inlineStr">
        <is>
          <t>Misturadores</t>
        </is>
      </c>
      <c r="H634" s="10" t="n">
        <v>255</v>
      </c>
      <c r="I634" s="10">
        <f>IFERROR(T634*H634,0)</f>
        <v/>
      </c>
      <c r="J634" s="11" t="n">
        <v>46017</v>
      </c>
      <c r="K634" s="11" t="n"/>
      <c r="L634" t="inlineStr">
        <is>
          <t>Aguardando Transporte</t>
        </is>
      </c>
      <c r="M634">
        <f>IF(L634="","",IFERROR(VLOOKUP(L634,mapGrupoStatus,2,0),"Outros"))</f>
        <v/>
      </c>
      <c r="N634">
        <f>IF(O634="","",IF(O634&lt;=30,"0-30 dias",IF(O634&lt;=60,"31-60 dias",IF(O634&lt;=90,"61-90 dias","Mais de 90 dias"))))</f>
        <v/>
      </c>
      <c r="O634">
        <f>IF(OR(M634="Pendente",M634="Em andamento"),IF(J634="","",TODAY()-J634),"")</f>
        <v/>
      </c>
      <c r="P634" t="n">
        <v>12811</v>
      </c>
      <c r="Q634" t="inlineStr">
        <is>
          <t>Norte Frio Técnica (12811)</t>
        </is>
      </c>
      <c r="R634" t="inlineStr">
        <is>
          <t>PC-0037</t>
        </is>
      </c>
      <c r="S634" t="inlineStr">
        <is>
          <t>Bomba de recirculação modelo 01</t>
        </is>
      </c>
      <c r="T634" t="n">
        <v>1</v>
      </c>
      <c r="U634" t="n">
        <v>111</v>
      </c>
      <c r="V634">
        <f>IF(J634="","",MONTH(J634))</f>
        <v/>
      </c>
      <c r="W634">
        <f>IF(J634="","",YEAR(J634))</f>
        <v/>
      </c>
      <c r="X634" t="inlineStr">
        <is>
          <t>LogExpress</t>
        </is>
      </c>
      <c r="Y634">
        <f>IFERROR(INDEX(Rastreio!$H$2:$H$200,MATCH(X634&amp;"|"&amp;U634,Rastreio!$A$2:$A$200,0)),"")</f>
        <v/>
      </c>
    </row>
    <row r="635">
      <c r="A635">
        <f>IFERROR(INDEX(STAs!$G$2:$G$61,MATCH(P635,STAs!$F$2:$F$61,0))&amp;"","")</f>
        <v/>
      </c>
      <c r="B635" t="n">
        <v>20008113</v>
      </c>
      <c r="C635" t="inlineStr">
        <is>
          <t>Não</t>
        </is>
      </c>
      <c r="D635" t="inlineStr">
        <is>
          <t>ES</t>
        </is>
      </c>
      <c r="E635" t="inlineStr">
        <is>
          <t>SUDESTE RJ e ES</t>
        </is>
      </c>
      <c r="F635" t="inlineStr">
        <is>
          <t>Cliente B - Chopeira</t>
        </is>
      </c>
      <c r="G635" t="inlineStr">
        <is>
          <t>Chopeiras</t>
        </is>
      </c>
      <c r="H635" s="10" t="n">
        <v>120</v>
      </c>
      <c r="I635" s="10">
        <f>IFERROR(T635*H635,0)</f>
        <v/>
      </c>
      <c r="J635" s="11" t="n">
        <v>46017</v>
      </c>
      <c r="K635" s="11" t="n">
        <v>46069</v>
      </c>
      <c r="L635" t="inlineStr">
        <is>
          <t>Ok. Devolvida</t>
        </is>
      </c>
      <c r="M635">
        <f>IF(L635="","",IFERROR(VLOOKUP(L635,mapGrupoStatus,2,0),"Outros"))</f>
        <v/>
      </c>
      <c r="N635">
        <f>IF(O635="","",IF(O635&lt;=30,"0-30 dias",IF(O635&lt;=60,"31-60 dias",IF(O635&lt;=90,"61-90 dias","Mais de 90 dias"))))</f>
        <v/>
      </c>
      <c r="O635">
        <f>IF(OR(M635="Pendente",M635="Em andamento"),IF(J635="","",TODAY()-J635),"")</f>
        <v/>
      </c>
      <c r="P635" t="n">
        <v>12555</v>
      </c>
      <c r="Q635" t="inlineStr">
        <is>
          <t>Cool Service Serviços (12555)</t>
        </is>
      </c>
      <c r="R635" t="inlineStr">
        <is>
          <t>PC-0032</t>
        </is>
      </c>
      <c r="S635" t="inlineStr">
        <is>
          <t>Regulador de pressão modelo 01</t>
        </is>
      </c>
      <c r="T635" t="n">
        <v>1</v>
      </c>
      <c r="U635" t="n">
        <v>114</v>
      </c>
      <c r="V635">
        <f>IF(J635="","",MONTH(J635))</f>
        <v/>
      </c>
      <c r="W635">
        <f>IF(J635="","",YEAR(J635))</f>
        <v/>
      </c>
      <c r="X635" t="inlineStr">
        <is>
          <t>RotaSul</t>
        </is>
      </c>
      <c r="Y635">
        <f>IFERROR(INDEX(Rastreio!$H$2:$H$200,MATCH(X635&amp;"|"&amp;U635,Rastreio!$A$2:$A$200,0)),"")</f>
        <v/>
      </c>
    </row>
    <row r="636">
      <c r="A636">
        <f>IFERROR(INDEX(STAs!$G$2:$G$61,MATCH(P636,STAs!$F$2:$F$61,0))&amp;"","")</f>
        <v/>
      </c>
      <c r="B636" t="n">
        <v>20016260</v>
      </c>
      <c r="C636" t="inlineStr">
        <is>
          <t>Não</t>
        </is>
      </c>
      <c r="D636" t="inlineStr">
        <is>
          <t>AC</t>
        </is>
      </c>
      <c r="E636" t="inlineStr">
        <is>
          <t>NORTE</t>
        </is>
      </c>
      <c r="F636" t="inlineStr">
        <is>
          <t>Cliente B - Chopeira</t>
        </is>
      </c>
      <c r="G636" t="inlineStr">
        <is>
          <t>Refrigeradores</t>
        </is>
      </c>
      <c r="H636" s="10" t="n">
        <v>190</v>
      </c>
      <c r="I636" s="10">
        <f>IFERROR(T636*H636,0)</f>
        <v/>
      </c>
      <c r="J636" s="11" t="n">
        <v>46017</v>
      </c>
      <c r="K636" s="11" t="n">
        <v>46071</v>
      </c>
      <c r="L636" t="inlineStr">
        <is>
          <t>Ok. Devolvida</t>
        </is>
      </c>
      <c r="M636">
        <f>IF(L636="","",IFERROR(VLOOKUP(L636,mapGrupoStatus,2,0),"Outros"))</f>
        <v/>
      </c>
      <c r="N636">
        <f>IF(O636="","",IF(O636&lt;=30,"0-30 dias",IF(O636&lt;=60,"31-60 dias",IF(O636&lt;=90,"61-90 dias","Mais de 90 dias"))))</f>
        <v/>
      </c>
      <c r="O636">
        <f>IF(OR(M636="Pendente",M636="Em andamento"),IF(J636="","",TODAY()-J636),"")</f>
        <v/>
      </c>
      <c r="P636" t="n">
        <v>11022</v>
      </c>
      <c r="Q636" t="inlineStr">
        <is>
          <t>Brisa Ltda (11022)</t>
        </is>
      </c>
      <c r="R636" t="inlineStr">
        <is>
          <t>PC-0011</t>
        </is>
      </c>
      <c r="S636" t="inlineStr">
        <is>
          <t>Placa eletrônica modelo 01</t>
        </is>
      </c>
      <c r="T636" t="n">
        <v>1</v>
      </c>
      <c r="U636" t="n">
        <v>129</v>
      </c>
      <c r="V636">
        <f>IF(J636="","",MONTH(J636))</f>
        <v/>
      </c>
      <c r="W636">
        <f>IF(J636="","",YEAR(J636))</f>
        <v/>
      </c>
      <c r="X636" t="inlineStr">
        <is>
          <t>LogExpress</t>
        </is>
      </c>
      <c r="Y636">
        <f>IFERROR(INDEX(Rastreio!$H$2:$H$200,MATCH(X636&amp;"|"&amp;U636,Rastreio!$A$2:$A$200,0)),"")</f>
        <v/>
      </c>
    </row>
    <row r="637">
      <c r="A637">
        <f>IFERROR(INDEX(STAs!$G$2:$G$61,MATCH(P637,STAs!$F$2:$F$61,0))&amp;"","")</f>
        <v/>
      </c>
      <c r="B637" t="n">
        <v>20033644</v>
      </c>
      <c r="C637" t="inlineStr">
        <is>
          <t>Não</t>
        </is>
      </c>
      <c r="D637" t="inlineStr">
        <is>
          <t>SP</t>
        </is>
      </c>
      <c r="E637" t="inlineStr">
        <is>
          <t>SUDESTE SP</t>
        </is>
      </c>
      <c r="F637" t="inlineStr">
        <is>
          <t>Cliente A - Refrigerador</t>
        </is>
      </c>
      <c r="G637" t="inlineStr">
        <is>
          <t>Refrigeradores</t>
        </is>
      </c>
      <c r="H637" s="10" t="n">
        <v>70</v>
      </c>
      <c r="I637" s="10">
        <f>IFERROR(T637*H637,0)</f>
        <v/>
      </c>
      <c r="J637" s="11" t="n">
        <v>46017</v>
      </c>
      <c r="K637" s="11" t="n"/>
      <c r="L637" t="inlineStr">
        <is>
          <t>Não Devolve-Norte</t>
        </is>
      </c>
      <c r="M637">
        <f>IF(L637="","",IFERROR(VLOOKUP(L637,mapGrupoStatus,2,0),"Outros"))</f>
        <v/>
      </c>
      <c r="N637">
        <f>IF(O637="","",IF(O637&lt;=30,"0-30 dias",IF(O637&lt;=60,"31-60 dias",IF(O637&lt;=90,"61-90 dias","Mais de 90 dias"))))</f>
        <v/>
      </c>
      <c r="O637">
        <f>IF(OR(M637="Pendente",M637="Em andamento"),IF(J637="","",TODAY()-J637),"")</f>
        <v/>
      </c>
      <c r="P637" t="n">
        <v>11710</v>
      </c>
      <c r="Q637" t="inlineStr">
        <is>
          <t>Brisa &amp; Cia (11710)</t>
        </is>
      </c>
      <c r="R637" t="inlineStr">
        <is>
          <t>PC-0009</t>
        </is>
      </c>
      <c r="S637" t="inlineStr">
        <is>
          <t>Ventilador modelo 03</t>
        </is>
      </c>
      <c r="T637" t="n">
        <v>1</v>
      </c>
      <c r="U637" t="inlineStr"/>
      <c r="V637">
        <f>IF(J637="","",MONTH(J637))</f>
        <v/>
      </c>
      <c r="W637">
        <f>IF(J637="","",YEAR(J637))</f>
        <v/>
      </c>
      <c r="X637" t="inlineStr"/>
      <c r="Y637">
        <f>IFERROR(INDEX(Rastreio!$H$2:$H$200,MATCH(X637&amp;"|"&amp;U637,Rastreio!$A$2:$A$200,0)),"")</f>
        <v/>
      </c>
    </row>
    <row r="638">
      <c r="A638">
        <f>IFERROR(INDEX(STAs!$G$2:$G$61,MATCH(P638,STAs!$F$2:$F$61,0))&amp;"","")</f>
        <v/>
      </c>
      <c r="B638" t="n">
        <v>20036470</v>
      </c>
      <c r="C638" t="inlineStr">
        <is>
          <t>Não</t>
        </is>
      </c>
      <c r="D638" t="inlineStr">
        <is>
          <t>RJ</t>
        </is>
      </c>
      <c r="E638" t="inlineStr">
        <is>
          <t>SUDESTE RJ e ES</t>
        </is>
      </c>
      <c r="F638" t="inlineStr">
        <is>
          <t>Cliente B - Chopeira</t>
        </is>
      </c>
      <c r="G638" t="inlineStr">
        <is>
          <t>Chopeiras</t>
        </is>
      </c>
      <c r="H638" s="10" t="n">
        <v>85</v>
      </c>
      <c r="I638" s="10">
        <f>IFERROR(T638*H638,0)</f>
        <v/>
      </c>
      <c r="J638" s="11" t="n">
        <v>46017</v>
      </c>
      <c r="K638" s="11" t="n"/>
      <c r="L638" t="inlineStr">
        <is>
          <t>Em transporte</t>
        </is>
      </c>
      <c r="M638">
        <f>IF(L638="","",IFERROR(VLOOKUP(L638,mapGrupoStatus,2,0),"Outros"))</f>
        <v/>
      </c>
      <c r="N638">
        <f>IF(O638="","",IF(O638&lt;=30,"0-30 dias",IF(O638&lt;=60,"31-60 dias",IF(O638&lt;=90,"61-90 dias","Mais de 90 dias"))))</f>
        <v/>
      </c>
      <c r="O638">
        <f>IF(OR(M638="Pendente",M638="Em andamento"),IF(J638="","",TODAY()-J638),"")</f>
        <v/>
      </c>
      <c r="P638" t="n">
        <v>11059</v>
      </c>
      <c r="Q638" t="inlineStr">
        <is>
          <t>Frio Ltda (11059)</t>
        </is>
      </c>
      <c r="R638" t="inlineStr">
        <is>
          <t>PC-0035</t>
        </is>
      </c>
      <c r="S638" t="inlineStr">
        <is>
          <t>Válvula extratora modelo 01</t>
        </is>
      </c>
      <c r="T638" t="n">
        <v>1</v>
      </c>
      <c r="U638" t="n">
        <v>165</v>
      </c>
      <c r="V638">
        <f>IF(J638="","",MONTH(J638))</f>
        <v/>
      </c>
      <c r="W638">
        <f>IF(J638="","",YEAR(J638))</f>
        <v/>
      </c>
      <c r="X638" t="inlineStr">
        <is>
          <t>LogExpress</t>
        </is>
      </c>
      <c r="Y638">
        <f>IFERROR(INDEX(Rastreio!$H$2:$H$200,MATCH(X638&amp;"|"&amp;U638,Rastreio!$A$2:$A$200,0)),"")</f>
        <v/>
      </c>
    </row>
    <row r="639">
      <c r="A639">
        <f>IFERROR(INDEX(STAs!$G$2:$G$61,MATCH(P639,STAs!$F$2:$F$61,0))&amp;"","")</f>
        <v/>
      </c>
      <c r="B639" t="n">
        <v>20001292</v>
      </c>
      <c r="C639" t="inlineStr">
        <is>
          <t>Não</t>
        </is>
      </c>
      <c r="D639" t="inlineStr">
        <is>
          <t>BA</t>
        </is>
      </c>
      <c r="E639" t="inlineStr">
        <is>
          <t>NORDESTE</t>
        </is>
      </c>
      <c r="F639" t="inlineStr">
        <is>
          <t>Cliente A - Refrigerador</t>
        </is>
      </c>
      <c r="G639" t="inlineStr">
        <is>
          <t>Chopeiras</t>
        </is>
      </c>
      <c r="H639" s="10" t="n">
        <v>120</v>
      </c>
      <c r="I639" s="10">
        <f>IFERROR(T639*H639,0)</f>
        <v/>
      </c>
      <c r="J639" s="11" t="n">
        <v>46018</v>
      </c>
      <c r="K639" s="11" t="n"/>
      <c r="L639" t="inlineStr">
        <is>
          <t>Em transporte</t>
        </is>
      </c>
      <c r="M639">
        <f>IF(L639="","",IFERROR(VLOOKUP(L639,mapGrupoStatus,2,0),"Outros"))</f>
        <v/>
      </c>
      <c r="N639">
        <f>IF(O639="","",IF(O639&lt;=30,"0-30 dias",IF(O639&lt;=60,"31-60 dias",IF(O639&lt;=90,"61-90 dias","Mais de 90 dias"))))</f>
        <v/>
      </c>
      <c r="O639">
        <f>IF(OR(M639="Pendente",M639="Em andamento"),IF(J639="","",TODAY()-J639),"")</f>
        <v/>
      </c>
      <c r="P639" t="n">
        <v>12194</v>
      </c>
      <c r="Q639" t="inlineStr">
        <is>
          <t>Polar &amp; Cia (12194)</t>
        </is>
      </c>
      <c r="R639" t="inlineStr">
        <is>
          <t>PC-0032</t>
        </is>
      </c>
      <c r="S639" t="inlineStr">
        <is>
          <t>Regulador de pressão modelo 01</t>
        </is>
      </c>
      <c r="T639" t="n">
        <v>1</v>
      </c>
      <c r="U639" t="n">
        <v>102</v>
      </c>
      <c r="V639">
        <f>IF(J639="","",MONTH(J639))</f>
        <v/>
      </c>
      <c r="W639">
        <f>IF(J639="","",YEAR(J639))</f>
        <v/>
      </c>
      <c r="X639" t="inlineStr">
        <is>
          <t>ViaCargo</t>
        </is>
      </c>
      <c r="Y639">
        <f>IFERROR(INDEX(Rastreio!$H$2:$H$200,MATCH(X639&amp;"|"&amp;U639,Rastreio!$A$2:$A$200,0)),"")</f>
        <v/>
      </c>
    </row>
    <row r="640">
      <c r="A640">
        <f>IFERROR(INDEX(STAs!$G$2:$G$61,MATCH(P640,STAs!$F$2:$F$61,0))&amp;"","")</f>
        <v/>
      </c>
      <c r="B640" t="n">
        <v>20010794</v>
      </c>
      <c r="C640" t="inlineStr">
        <is>
          <t>Não</t>
        </is>
      </c>
      <c r="D640" t="inlineStr">
        <is>
          <t>SP</t>
        </is>
      </c>
      <c r="E640" t="inlineStr">
        <is>
          <t>SUDESTE SP</t>
        </is>
      </c>
      <c r="F640" t="inlineStr">
        <is>
          <t>Cliente C - Misturador</t>
        </is>
      </c>
      <c r="G640" t="inlineStr">
        <is>
          <t>Misturadores</t>
        </is>
      </c>
      <c r="H640" s="10" t="n">
        <v>35</v>
      </c>
      <c r="I640" s="10">
        <f>IFERROR(T640*H640,0)</f>
        <v/>
      </c>
      <c r="J640" s="11" t="n">
        <v>46018</v>
      </c>
      <c r="K640" s="11" t="n">
        <v>46067</v>
      </c>
      <c r="L640" t="inlineStr">
        <is>
          <t>Ok. Devolvida</t>
        </is>
      </c>
      <c r="M640">
        <f>IF(L640="","",IFERROR(VLOOKUP(L640,mapGrupoStatus,2,0),"Outros"))</f>
        <v/>
      </c>
      <c r="N640">
        <f>IF(O640="","",IF(O640&lt;=30,"0-30 dias",IF(O640&lt;=60,"31-60 dias",IF(O640&lt;=90,"61-90 dias","Mais de 90 dias"))))</f>
        <v/>
      </c>
      <c r="O640">
        <f>IF(OR(M640="Pendente",M640="Em andamento"),IF(J640="","",TODAY()-J640),"")</f>
        <v/>
      </c>
      <c r="P640" t="n">
        <v>10413</v>
      </c>
      <c r="Q640" t="inlineStr">
        <is>
          <t>Polar Manutenção (10413)</t>
        </is>
      </c>
      <c r="R640" t="inlineStr">
        <is>
          <t>PC-0043</t>
        </is>
      </c>
      <c r="S640" t="inlineStr">
        <is>
          <t>Bico dosador modelo 02</t>
        </is>
      </c>
      <c r="T640" t="n">
        <v>1</v>
      </c>
      <c r="U640" t="n">
        <v>118</v>
      </c>
      <c r="V640">
        <f>IF(J640="","",MONTH(J640))</f>
        <v/>
      </c>
      <c r="W640">
        <f>IF(J640="","",YEAR(J640))</f>
        <v/>
      </c>
      <c r="X640" t="inlineStr">
        <is>
          <t>TransNorte</t>
        </is>
      </c>
      <c r="Y640">
        <f>IFERROR(INDEX(Rastreio!$H$2:$H$200,MATCH(X640&amp;"|"&amp;U640,Rastreio!$A$2:$A$200,0)),"")</f>
        <v/>
      </c>
    </row>
    <row r="641">
      <c r="A641">
        <f>IFERROR(INDEX(STAs!$G$2:$G$61,MATCH(P641,STAs!$F$2:$F$61,0))&amp;"","")</f>
        <v/>
      </c>
      <c r="B641" t="n">
        <v>20024233</v>
      </c>
      <c r="C641" t="inlineStr">
        <is>
          <t>Não</t>
        </is>
      </c>
      <c r="D641" t="inlineStr">
        <is>
          <t>PI</t>
        </is>
      </c>
      <c r="E641" t="inlineStr">
        <is>
          <t>NORDESTE</t>
        </is>
      </c>
      <c r="F641" t="inlineStr">
        <is>
          <t>Cliente A - Refrigerador</t>
        </is>
      </c>
      <c r="G641" t="inlineStr">
        <is>
          <t>Misturadores</t>
        </is>
      </c>
      <c r="H641" s="10" t="n">
        <v>265</v>
      </c>
      <c r="I641" s="10">
        <f>IFERROR(T641*H641,0)</f>
        <v/>
      </c>
      <c r="J641" s="11" t="n">
        <v>46018</v>
      </c>
      <c r="K641" s="11" t="n">
        <v>46048</v>
      </c>
      <c r="L641" t="inlineStr">
        <is>
          <t>Ok. Devolvida</t>
        </is>
      </c>
      <c r="M641">
        <f>IF(L641="","",IFERROR(VLOOKUP(L641,mapGrupoStatus,2,0),"Outros"))</f>
        <v/>
      </c>
      <c r="N641">
        <f>IF(O641="","",IF(O641&lt;=30,"0-30 dias",IF(O641&lt;=60,"31-60 dias",IF(O641&lt;=90,"61-90 dias","Mais de 90 dias"))))</f>
        <v/>
      </c>
      <c r="O641">
        <f>IF(OR(M641="Pendente",M641="Em andamento"),IF(J641="","",TODAY()-J641),"")</f>
        <v/>
      </c>
      <c r="P641" t="n">
        <v>10562</v>
      </c>
      <c r="Q641" t="inlineStr">
        <is>
          <t>Clima &amp; Cia (10562)</t>
        </is>
      </c>
      <c r="R641" t="inlineStr">
        <is>
          <t>PC-0038</t>
        </is>
      </c>
      <c r="S641" t="inlineStr">
        <is>
          <t>Bomba de recirculação modelo 02</t>
        </is>
      </c>
      <c r="T641" t="n">
        <v>2</v>
      </c>
      <c r="U641" t="n">
        <v>143</v>
      </c>
      <c r="V641">
        <f>IF(J641="","",MONTH(J641))</f>
        <v/>
      </c>
      <c r="W641">
        <f>IF(J641="","",YEAR(J641))</f>
        <v/>
      </c>
      <c r="X641" t="inlineStr">
        <is>
          <t>LogExpress</t>
        </is>
      </c>
      <c r="Y641">
        <f>IFERROR(INDEX(Rastreio!$H$2:$H$200,MATCH(X641&amp;"|"&amp;U641,Rastreio!$A$2:$A$200,0)),"")</f>
        <v/>
      </c>
    </row>
    <row r="642">
      <c r="A642">
        <f>IFERROR(INDEX(STAs!$G$2:$G$61,MATCH(P642,STAs!$F$2:$F$61,0))&amp;"","")</f>
        <v/>
      </c>
      <c r="B642" t="n">
        <v>20029117</v>
      </c>
      <c r="C642" t="inlineStr">
        <is>
          <t>Não</t>
        </is>
      </c>
      <c r="D642" t="inlineStr">
        <is>
          <t>RJ</t>
        </is>
      </c>
      <c r="E642" t="inlineStr">
        <is>
          <t>SUDESTE RJ e ES</t>
        </is>
      </c>
      <c r="F642" t="inlineStr">
        <is>
          <t>Cliente A - Refrigerador</t>
        </is>
      </c>
      <c r="G642" t="inlineStr">
        <is>
          <t>Chopeiras</t>
        </is>
      </c>
      <c r="H642" s="10" t="n">
        <v>210</v>
      </c>
      <c r="I642" s="10">
        <f>IFERROR(T642*H642,0)</f>
        <v/>
      </c>
      <c r="J642" s="11" t="n">
        <v>46018</v>
      </c>
      <c r="K642" s="11" t="n"/>
      <c r="L642" t="inlineStr">
        <is>
          <t>Em transporte</t>
        </is>
      </c>
      <c r="M642">
        <f>IF(L642="","",IFERROR(VLOOKUP(L642,mapGrupoStatus,2,0),"Outros"))</f>
        <v/>
      </c>
      <c r="N642">
        <f>IF(O642="","",IF(O642&lt;=30,"0-30 dias",IF(O642&lt;=60,"31-60 dias",IF(O642&lt;=90,"61-90 dias","Mais de 90 dias"))))</f>
        <v/>
      </c>
      <c r="O642">
        <f>IF(OR(M642="Pendente",M642="Em andamento"),IF(J642="","",TODAY()-J642),"")</f>
        <v/>
      </c>
      <c r="P642" t="n">
        <v>10676</v>
      </c>
      <c r="Q642" t="inlineStr">
        <is>
          <t>Clima Serviços (10676)</t>
        </is>
      </c>
      <c r="R642" t="inlineStr">
        <is>
          <t>PC-0029</t>
        </is>
      </c>
      <c r="S642" t="inlineStr">
        <is>
          <t>Serpentina modelo 01</t>
        </is>
      </c>
      <c r="T642" t="n">
        <v>1</v>
      </c>
      <c r="U642" t="n">
        <v>150</v>
      </c>
      <c r="V642">
        <f>IF(J642="","",MONTH(J642))</f>
        <v/>
      </c>
      <c r="W642">
        <f>IF(J642="","",YEAR(J642))</f>
        <v/>
      </c>
      <c r="X642" t="inlineStr">
        <is>
          <t>TransNorte</t>
        </is>
      </c>
      <c r="Y642">
        <f>IFERROR(INDEX(Rastreio!$H$2:$H$200,MATCH(X642&amp;"|"&amp;U642,Rastreio!$A$2:$A$200,0)),"")</f>
        <v/>
      </c>
    </row>
    <row r="643">
      <c r="A643">
        <f>IFERROR(INDEX(STAs!$G$2:$G$61,MATCH(P643,STAs!$F$2:$F$61,0))&amp;"","")</f>
        <v/>
      </c>
      <c r="B643" t="n">
        <v>20032628</v>
      </c>
      <c r="C643" t="inlineStr">
        <is>
          <t>Não</t>
        </is>
      </c>
      <c r="D643" t="inlineStr">
        <is>
          <t>RJ</t>
        </is>
      </c>
      <c r="E643" t="inlineStr">
        <is>
          <t>SUDESTE RJ e ES</t>
        </is>
      </c>
      <c r="F643" t="inlineStr">
        <is>
          <t>Cliente B - Chopeira</t>
        </is>
      </c>
      <c r="G643" t="inlineStr">
        <is>
          <t>Chopeiras</t>
        </is>
      </c>
      <c r="H643" s="10" t="n">
        <v>100</v>
      </c>
      <c r="I643" s="10">
        <f>IFERROR(T643*H643,0)</f>
        <v/>
      </c>
      <c r="J643" s="11" t="n">
        <v>46018</v>
      </c>
      <c r="K643" s="11" t="n"/>
      <c r="L643" t="inlineStr">
        <is>
          <t>Debitar do STA</t>
        </is>
      </c>
      <c r="M643">
        <f>IF(L643="","",IFERROR(VLOOKUP(L643,mapGrupoStatus,2,0),"Outros"))</f>
        <v/>
      </c>
      <c r="N643">
        <f>IF(O643="","",IF(O643&lt;=30,"0-30 dias",IF(O643&lt;=60,"31-60 dias",IF(O643&lt;=90,"61-90 dias","Mais de 90 dias"))))</f>
        <v/>
      </c>
      <c r="O643">
        <f>IF(OR(M643="Pendente",M643="Em andamento"),IF(J643="","",TODAY()-J643),"")</f>
        <v/>
      </c>
      <c r="P643" t="n">
        <v>12336</v>
      </c>
      <c r="Q643" t="inlineStr">
        <is>
          <t>Termotec ME (12336)</t>
        </is>
      </c>
      <c r="R643" t="inlineStr">
        <is>
          <t>PC-0027</t>
        </is>
      </c>
      <c r="S643" t="inlineStr">
        <is>
          <t>Torneira de chopp modelo 02</t>
        </is>
      </c>
      <c r="T643" t="n">
        <v>2</v>
      </c>
      <c r="U643" t="inlineStr"/>
      <c r="V643">
        <f>IF(J643="","",MONTH(J643))</f>
        <v/>
      </c>
      <c r="W643">
        <f>IF(J643="","",YEAR(J643))</f>
        <v/>
      </c>
      <c r="X643" t="inlineStr"/>
      <c r="Y643">
        <f>IFERROR(INDEX(Rastreio!$H$2:$H$200,MATCH(X643&amp;"|"&amp;U643,Rastreio!$A$2:$A$200,0)),"")</f>
        <v/>
      </c>
    </row>
    <row r="644">
      <c r="A644">
        <f>IFERROR(INDEX(STAs!$G$2:$G$61,MATCH(P644,STAs!$F$2:$F$61,0))&amp;"","")</f>
        <v/>
      </c>
      <c r="B644" t="n">
        <v>20036739</v>
      </c>
      <c r="C644" t="inlineStr">
        <is>
          <t>Não</t>
        </is>
      </c>
      <c r="D644" t="inlineStr">
        <is>
          <t>RJ</t>
        </is>
      </c>
      <c r="E644" t="inlineStr">
        <is>
          <t>SUDESTE RJ e ES</t>
        </is>
      </c>
      <c r="F644" t="inlineStr">
        <is>
          <t>Cliente A - Refrigerador</t>
        </is>
      </c>
      <c r="G644" t="inlineStr">
        <is>
          <t>Misturadores</t>
        </is>
      </c>
      <c r="H644" s="10" t="n">
        <v>185</v>
      </c>
      <c r="I644" s="10">
        <f>IFERROR(T644*H644,0)</f>
        <v/>
      </c>
      <c r="J644" s="11" t="n">
        <v>46018</v>
      </c>
      <c r="K644" s="11" t="n"/>
      <c r="L644" t="inlineStr">
        <is>
          <t>Aguardando Transporte</t>
        </is>
      </c>
      <c r="M644">
        <f>IF(L644="","",IFERROR(VLOOKUP(L644,mapGrupoStatus,2,0),"Outros"))</f>
        <v/>
      </c>
      <c r="N644">
        <f>IF(O644="","",IF(O644&lt;=30,"0-30 dias",IF(O644&lt;=60,"31-60 dias",IF(O644&lt;=90,"61-90 dias","Mais de 90 dias"))))</f>
        <v/>
      </c>
      <c r="O644">
        <f>IF(OR(M644="Pendente",M644="Em andamento"),IF(J644="","",TODAY()-J644),"")</f>
        <v/>
      </c>
      <c r="P644" t="n">
        <v>12336</v>
      </c>
      <c r="Q644" t="inlineStr">
        <is>
          <t>Termotec ME (12336)</t>
        </is>
      </c>
      <c r="R644" t="inlineStr">
        <is>
          <t>PC-0041</t>
        </is>
      </c>
      <c r="S644" t="inlineStr">
        <is>
          <t>Motor agitador modelo 02</t>
        </is>
      </c>
      <c r="T644" t="n">
        <v>1</v>
      </c>
      <c r="U644" t="n">
        <v>164</v>
      </c>
      <c r="V644">
        <f>IF(J644="","",MONTH(J644))</f>
        <v/>
      </c>
      <c r="W644">
        <f>IF(J644="","",YEAR(J644))</f>
        <v/>
      </c>
      <c r="X644" t="inlineStr">
        <is>
          <t>CargoMax</t>
        </is>
      </c>
      <c r="Y644">
        <f>IFERROR(INDEX(Rastreio!$H$2:$H$200,MATCH(X644&amp;"|"&amp;U644,Rastreio!$A$2:$A$200,0)),"")</f>
        <v/>
      </c>
    </row>
    <row r="645">
      <c r="A645">
        <f>IFERROR(INDEX(STAs!$G$2:$G$61,MATCH(P645,STAs!$F$2:$F$61,0))&amp;"","")</f>
        <v/>
      </c>
      <c r="B645" t="n">
        <v>20004066</v>
      </c>
      <c r="C645" t="inlineStr">
        <is>
          <t>Não</t>
        </is>
      </c>
      <c r="D645" t="inlineStr">
        <is>
          <t>MS</t>
        </is>
      </c>
      <c r="E645" t="inlineStr">
        <is>
          <t>CENTRO OESTE</t>
        </is>
      </c>
      <c r="F645" t="inlineStr">
        <is>
          <t>Cliente A - Refrigerador</t>
        </is>
      </c>
      <c r="G645" t="inlineStr">
        <is>
          <t>Misturadores</t>
        </is>
      </c>
      <c r="H645" s="10" t="n">
        <v>40</v>
      </c>
      <c r="I645" s="10">
        <f>IFERROR(T645*H645,0)</f>
        <v/>
      </c>
      <c r="J645" s="11" t="n">
        <v>46019</v>
      </c>
      <c r="K645" s="11" t="n">
        <v>46070</v>
      </c>
      <c r="L645" t="inlineStr">
        <is>
          <t>Ok. Devolvida</t>
        </is>
      </c>
      <c r="M645">
        <f>IF(L645="","",IFERROR(VLOOKUP(L645,mapGrupoStatus,2,0),"Outros"))</f>
        <v/>
      </c>
      <c r="N645">
        <f>IF(O645="","",IF(O645&lt;=30,"0-30 dias",IF(O645&lt;=60,"31-60 dias",IF(O645&lt;=90,"61-90 dias","Mais de 90 dias"))))</f>
        <v/>
      </c>
      <c r="O645">
        <f>IF(OR(M645="Pendente",M645="Em andamento"),IF(J645="","",TODAY()-J645),"")</f>
        <v/>
      </c>
      <c r="P645" t="n">
        <v>10302</v>
      </c>
      <c r="Q645" t="inlineStr">
        <is>
          <t>Ice Tech Express (10302)</t>
        </is>
      </c>
      <c r="R645" t="inlineStr">
        <is>
          <t>PC-0042</t>
        </is>
      </c>
      <c r="S645" t="inlineStr">
        <is>
          <t>Bico dosador modelo 01</t>
        </is>
      </c>
      <c r="T645" t="n">
        <v>1</v>
      </c>
      <c r="U645" t="n">
        <v>105</v>
      </c>
      <c r="V645">
        <f>IF(J645="","",MONTH(J645))</f>
        <v/>
      </c>
      <c r="W645">
        <f>IF(J645="","",YEAR(J645))</f>
        <v/>
      </c>
      <c r="X645" t="inlineStr">
        <is>
          <t>LogExpress</t>
        </is>
      </c>
      <c r="Y645">
        <f>IFERROR(INDEX(Rastreio!$H$2:$H$200,MATCH(X645&amp;"|"&amp;U645,Rastreio!$A$2:$A$200,0)),"")</f>
        <v/>
      </c>
    </row>
    <row r="646">
      <c r="A646">
        <f>IFERROR(INDEX(STAs!$G$2:$G$61,MATCH(P646,STAs!$F$2:$F$61,0))&amp;"","")</f>
        <v/>
      </c>
      <c r="B646" t="n">
        <v>20030341</v>
      </c>
      <c r="C646" t="inlineStr">
        <is>
          <t>Sim</t>
        </is>
      </c>
      <c r="D646" t="inlineStr">
        <is>
          <t>CE</t>
        </is>
      </c>
      <c r="E646" t="inlineStr">
        <is>
          <t>NORDESTE</t>
        </is>
      </c>
      <c r="F646" t="inlineStr">
        <is>
          <t>Cliente A - Refrigerador</t>
        </is>
      </c>
      <c r="G646" t="inlineStr">
        <is>
          <t>Refrigeradores</t>
        </is>
      </c>
      <c r="H646" s="10" t="n">
        <v>190</v>
      </c>
      <c r="I646" s="10">
        <f>IFERROR(T646*H646,0)</f>
        <v/>
      </c>
      <c r="J646" s="11" t="n">
        <v>46019</v>
      </c>
      <c r="K646" s="11" t="n"/>
      <c r="L646" t="inlineStr">
        <is>
          <t>NPD</t>
        </is>
      </c>
      <c r="M646">
        <f>IF(L646="","",IFERROR(VLOOKUP(L646,mapGrupoStatus,2,0),"Outros"))</f>
        <v/>
      </c>
      <c r="N646">
        <f>IF(O646="","",IF(O646&lt;=30,"0-30 dias",IF(O646&lt;=60,"31-60 dias",IF(O646&lt;=90,"61-90 dias","Mais de 90 dias"))))</f>
        <v/>
      </c>
      <c r="O646">
        <f>IF(OR(M646="Pendente",M646="Em andamento"),IF(J646="","",TODAY()-J646),"")</f>
        <v/>
      </c>
      <c r="P646" t="n">
        <v>10615</v>
      </c>
      <c r="Q646" t="inlineStr">
        <is>
          <t>Brisa Técnica (10615)</t>
        </is>
      </c>
      <c r="R646" t="inlineStr">
        <is>
          <t>PC-0011</t>
        </is>
      </c>
      <c r="S646" t="inlineStr">
        <is>
          <t>Placa eletrônica modelo 01</t>
        </is>
      </c>
      <c r="T646" t="n">
        <v>2</v>
      </c>
      <c r="U646" t="inlineStr"/>
      <c r="V646">
        <f>IF(J646="","",MONTH(J646))</f>
        <v/>
      </c>
      <c r="W646">
        <f>IF(J646="","",YEAR(J646))</f>
        <v/>
      </c>
      <c r="X646" t="inlineStr"/>
      <c r="Y646">
        <f>IFERROR(INDEX(Rastreio!$H$2:$H$200,MATCH(X646&amp;"|"&amp;U646,Rastreio!$A$2:$A$200,0)),"")</f>
        <v/>
      </c>
    </row>
    <row r="647">
      <c r="A647">
        <f>IFERROR(INDEX(STAs!$G$2:$G$61,MATCH(P647,STAs!$F$2:$F$61,0))&amp;"","")</f>
        <v/>
      </c>
      <c r="B647" t="n">
        <v>20037451</v>
      </c>
      <c r="C647" t="inlineStr">
        <is>
          <t>Não</t>
        </is>
      </c>
      <c r="D647" t="inlineStr">
        <is>
          <t>ES</t>
        </is>
      </c>
      <c r="E647" t="inlineStr">
        <is>
          <t>SUDESTE RJ e ES</t>
        </is>
      </c>
      <c r="F647" t="inlineStr">
        <is>
          <t>Cliente B - Chopeira</t>
        </is>
      </c>
      <c r="G647" t="inlineStr">
        <is>
          <t>Chopeiras</t>
        </is>
      </c>
      <c r="H647" s="10" t="n">
        <v>85</v>
      </c>
      <c r="I647" s="10">
        <f>IFERROR(T647*H647,0)</f>
        <v/>
      </c>
      <c r="J647" s="11" t="n">
        <v>46019</v>
      </c>
      <c r="K647" s="11" t="n"/>
      <c r="L647" t="inlineStr">
        <is>
          <t>Aguardando Transporte</t>
        </is>
      </c>
      <c r="M647">
        <f>IF(L647="","",IFERROR(VLOOKUP(L647,mapGrupoStatus,2,0),"Outros"))</f>
        <v/>
      </c>
      <c r="N647">
        <f>IF(O647="","",IF(O647&lt;=30,"0-30 dias",IF(O647&lt;=60,"31-60 dias",IF(O647&lt;=90,"61-90 dias","Mais de 90 dias"))))</f>
        <v/>
      </c>
      <c r="O647">
        <f>IF(OR(M647="Pendente",M647="Em andamento"),IF(J647="","",TODAY()-J647),"")</f>
        <v/>
      </c>
      <c r="P647" t="n">
        <v>11396</v>
      </c>
      <c r="Q647" t="inlineStr">
        <is>
          <t>Frio Manutenção (11396)</t>
        </is>
      </c>
      <c r="R647" t="inlineStr">
        <is>
          <t>PC-0036</t>
        </is>
      </c>
      <c r="S647" t="inlineStr">
        <is>
          <t>Válvula extratora modelo 02</t>
        </is>
      </c>
      <c r="T647" t="n">
        <v>1</v>
      </c>
      <c r="U647" t="n">
        <v>156</v>
      </c>
      <c r="V647">
        <f>IF(J647="","",MONTH(J647))</f>
        <v/>
      </c>
      <c r="W647">
        <f>IF(J647="","",YEAR(J647))</f>
        <v/>
      </c>
      <c r="X647" t="inlineStr">
        <is>
          <t>EntregaJá</t>
        </is>
      </c>
      <c r="Y647">
        <f>IFERROR(INDEX(Rastreio!$H$2:$H$200,MATCH(X647&amp;"|"&amp;U647,Rastreio!$A$2:$A$200,0)),"")</f>
        <v/>
      </c>
    </row>
    <row r="648">
      <c r="A648">
        <f>IFERROR(INDEX(STAs!$G$2:$G$61,MATCH(P648,STAs!$F$2:$F$61,0))&amp;"","")</f>
        <v/>
      </c>
      <c r="B648" t="n">
        <v>20038846</v>
      </c>
      <c r="C648" t="inlineStr">
        <is>
          <t>Sim</t>
        </is>
      </c>
      <c r="D648" t="inlineStr">
        <is>
          <t>PR</t>
        </is>
      </c>
      <c r="E648" t="inlineStr">
        <is>
          <t>SUL</t>
        </is>
      </c>
      <c r="F648" t="inlineStr">
        <is>
          <t>Cliente C - Misturador</t>
        </is>
      </c>
      <c r="G648" t="inlineStr">
        <is>
          <t>Refrigeradores</t>
        </is>
      </c>
      <c r="H648" s="10" t="n">
        <v>35</v>
      </c>
      <c r="I648" s="10">
        <f>IFERROR(T648*H648,0)</f>
        <v/>
      </c>
      <c r="J648" s="11" t="n">
        <v>46019</v>
      </c>
      <c r="K648" s="11" t="n">
        <v>46054</v>
      </c>
      <c r="L648" t="inlineStr">
        <is>
          <t>Ok. Devolvida</t>
        </is>
      </c>
      <c r="M648">
        <f>IF(L648="","",IFERROR(VLOOKUP(L648,mapGrupoStatus,2,0),"Outros"))</f>
        <v/>
      </c>
      <c r="N648">
        <f>IF(O648="","",IF(O648&lt;=30,"0-30 dias",IF(O648&lt;=60,"31-60 dias",IF(O648&lt;=90,"61-90 dias","Mais de 90 dias"))))</f>
        <v/>
      </c>
      <c r="O648">
        <f>IF(OR(M648="Pendente",M648="Em andamento"),IF(J648="","",TODAY()-J648),"")</f>
        <v/>
      </c>
      <c r="P648" t="n">
        <v>10913</v>
      </c>
      <c r="Q648" t="inlineStr">
        <is>
          <t>Ice Tech &amp; Cia (10913)</t>
        </is>
      </c>
      <c r="R648" t="inlineStr">
        <is>
          <t>PC-0016</t>
        </is>
      </c>
      <c r="S648" t="inlineStr">
        <is>
          <t>Filtro secador modelo 02</t>
        </is>
      </c>
      <c r="T648" t="n">
        <v>1</v>
      </c>
      <c r="U648" t="n">
        <v>170</v>
      </c>
      <c r="V648">
        <f>IF(J648="","",MONTH(J648))</f>
        <v/>
      </c>
      <c r="W648">
        <f>IF(J648="","",YEAR(J648))</f>
        <v/>
      </c>
      <c r="X648" t="inlineStr">
        <is>
          <t>LogExpress</t>
        </is>
      </c>
      <c r="Y648">
        <f>IFERROR(INDEX(Rastreio!$H$2:$H$200,MATCH(X648&amp;"|"&amp;U648,Rastreio!$A$2:$A$200,0)),"")</f>
        <v/>
      </c>
    </row>
    <row r="649">
      <c r="A649">
        <f>IFERROR(INDEX(STAs!$G$2:$G$61,MATCH(P649,STAs!$F$2:$F$61,0))&amp;"","")</f>
        <v/>
      </c>
      <c r="B649" t="n">
        <v>20040684</v>
      </c>
      <c r="C649" t="inlineStr">
        <is>
          <t>Sim</t>
        </is>
      </c>
      <c r="D649" t="inlineStr">
        <is>
          <t>CE</t>
        </is>
      </c>
      <c r="E649" t="inlineStr">
        <is>
          <t>NORDESTE</t>
        </is>
      </c>
      <c r="F649" t="inlineStr">
        <is>
          <t>Cliente A - Refrigerador</t>
        </is>
      </c>
      <c r="G649" t="inlineStr">
        <is>
          <t>Misturadores</t>
        </is>
      </c>
      <c r="H649" s="10" t="n">
        <v>265</v>
      </c>
      <c r="I649" s="10">
        <f>IFERROR(T649*H649,0)</f>
        <v/>
      </c>
      <c r="J649" s="11" t="n">
        <v>46019</v>
      </c>
      <c r="K649" s="11" t="n">
        <v>46043</v>
      </c>
      <c r="L649" t="inlineStr">
        <is>
          <t>Ok. Devolvida</t>
        </is>
      </c>
      <c r="M649">
        <f>IF(L649="","",IFERROR(VLOOKUP(L649,mapGrupoStatus,2,0),"Outros"))</f>
        <v/>
      </c>
      <c r="N649">
        <f>IF(O649="","",IF(O649&lt;=30,"0-30 dias",IF(O649&lt;=60,"31-60 dias",IF(O649&lt;=90,"61-90 dias","Mais de 90 dias"))))</f>
        <v/>
      </c>
      <c r="O649">
        <f>IF(OR(M649="Pendente",M649="Em andamento"),IF(J649="","",TODAY()-J649),"")</f>
        <v/>
      </c>
      <c r="P649" t="n">
        <v>10615</v>
      </c>
      <c r="Q649" t="inlineStr">
        <is>
          <t>Brisa Técnica (10615)</t>
        </is>
      </c>
      <c r="R649" t="inlineStr">
        <is>
          <t>PC-0038</t>
        </is>
      </c>
      <c r="S649" t="inlineStr">
        <is>
          <t>Bomba de recirculação modelo 02</t>
        </is>
      </c>
      <c r="T649" t="n">
        <v>2</v>
      </c>
      <c r="U649" t="n">
        <v>170</v>
      </c>
      <c r="V649">
        <f>IF(J649="","",MONTH(J649))</f>
        <v/>
      </c>
      <c r="W649">
        <f>IF(J649="","",YEAR(J649))</f>
        <v/>
      </c>
      <c r="X649" t="inlineStr">
        <is>
          <t>CargoMax</t>
        </is>
      </c>
      <c r="Y649">
        <f>IFERROR(INDEX(Rastreio!$H$2:$H$200,MATCH(X649&amp;"|"&amp;U649,Rastreio!$A$2:$A$200,0)),"")</f>
        <v/>
      </c>
    </row>
    <row r="650">
      <c r="A650">
        <f>IFERROR(INDEX(STAs!$G$2:$G$61,MATCH(P650,STAs!$F$2:$F$61,0))&amp;"","")</f>
        <v/>
      </c>
      <c r="B650" t="n">
        <v>20021544</v>
      </c>
      <c r="C650" t="inlineStr">
        <is>
          <t>Não</t>
        </is>
      </c>
      <c r="D650" t="inlineStr">
        <is>
          <t>BA</t>
        </is>
      </c>
      <c r="E650" t="inlineStr">
        <is>
          <t>NORDESTE</t>
        </is>
      </c>
      <c r="F650" t="inlineStr">
        <is>
          <t>Cliente C - Misturador</t>
        </is>
      </c>
      <c r="G650" t="inlineStr">
        <is>
          <t>Refrigeradores</t>
        </is>
      </c>
      <c r="H650" s="10" t="n">
        <v>190</v>
      </c>
      <c r="I650" s="10">
        <f>IFERROR(T650*H650,0)</f>
        <v/>
      </c>
      <c r="J650" s="11" t="n">
        <v>46020</v>
      </c>
      <c r="K650" s="11" t="n">
        <v>46075</v>
      </c>
      <c r="L650" t="inlineStr">
        <is>
          <t>Ok. Devolvida</t>
        </is>
      </c>
      <c r="M650">
        <f>IF(L650="","",IFERROR(VLOOKUP(L650,mapGrupoStatus,2,0),"Outros"))</f>
        <v/>
      </c>
      <c r="N650">
        <f>IF(O650="","",IF(O650&lt;=30,"0-30 dias",IF(O650&lt;=60,"31-60 dias",IF(O650&lt;=90,"61-90 dias","Mais de 90 dias"))))</f>
        <v/>
      </c>
      <c r="O650">
        <f>IF(OR(M650="Pendente",M650="Em andamento"),IF(J650="","",TODAY()-J650),"")</f>
        <v/>
      </c>
      <c r="P650" t="n">
        <v>12194</v>
      </c>
      <c r="Q650" t="inlineStr">
        <is>
          <t>Polar &amp; Cia (12194)</t>
        </is>
      </c>
      <c r="R650" t="inlineStr">
        <is>
          <t>PC-0014</t>
        </is>
      </c>
      <c r="S650" t="inlineStr">
        <is>
          <t>Placa eletrônica modelo 04</t>
        </is>
      </c>
      <c r="T650" t="n">
        <v>2</v>
      </c>
      <c r="U650" t="n">
        <v>139</v>
      </c>
      <c r="V650">
        <f>IF(J650="","",MONTH(J650))</f>
        <v/>
      </c>
      <c r="W650">
        <f>IF(J650="","",YEAR(J650))</f>
        <v/>
      </c>
      <c r="X650" t="inlineStr">
        <is>
          <t>CargoMax</t>
        </is>
      </c>
      <c r="Y650">
        <f>IFERROR(INDEX(Rastreio!$H$2:$H$200,MATCH(X650&amp;"|"&amp;U650,Rastreio!$A$2:$A$200,0)),"")</f>
        <v/>
      </c>
    </row>
    <row r="651">
      <c r="A651">
        <f>IFERROR(INDEX(STAs!$G$2:$G$61,MATCH(P651,STAs!$F$2:$F$61,0))&amp;"","")</f>
        <v/>
      </c>
      <c r="B651" t="n">
        <v>20023069</v>
      </c>
      <c r="C651" t="inlineStr">
        <is>
          <t>Não</t>
        </is>
      </c>
      <c r="D651" t="inlineStr">
        <is>
          <t>RJ</t>
        </is>
      </c>
      <c r="E651" t="inlineStr">
        <is>
          <t>SUDESTE RJ e ES</t>
        </is>
      </c>
      <c r="F651" t="inlineStr">
        <is>
          <t>Cliente A - Refrigerador</t>
        </is>
      </c>
      <c r="G651" t="inlineStr">
        <is>
          <t>Chopeiras</t>
        </is>
      </c>
      <c r="H651" s="10" t="n">
        <v>85</v>
      </c>
      <c r="I651" s="10">
        <f>IFERROR(T651*H651,0)</f>
        <v/>
      </c>
      <c r="J651" s="11" t="n">
        <v>46020</v>
      </c>
      <c r="K651" s="11" t="n">
        <v>46032</v>
      </c>
      <c r="L651" t="inlineStr">
        <is>
          <t>Ok. Devolvida</t>
        </is>
      </c>
      <c r="M651">
        <f>IF(L651="","",IFERROR(VLOOKUP(L651,mapGrupoStatus,2,0),"Outros"))</f>
        <v/>
      </c>
      <c r="N651">
        <f>IF(O651="","",IF(O651&lt;=30,"0-30 dias",IF(O651&lt;=60,"31-60 dias",IF(O651&lt;=90,"61-90 dias","Mais de 90 dias"))))</f>
        <v/>
      </c>
      <c r="O651">
        <f>IF(OR(M651="Pendente",M651="Em andamento"),IF(J651="","",TODAY()-J651),"")</f>
        <v/>
      </c>
      <c r="P651" t="n">
        <v>12336</v>
      </c>
      <c r="Q651" t="inlineStr">
        <is>
          <t>Termotec ME (12336)</t>
        </is>
      </c>
      <c r="R651" t="inlineStr">
        <is>
          <t>PC-0036</t>
        </is>
      </c>
      <c r="S651" t="inlineStr">
        <is>
          <t>Válvula extratora modelo 02</t>
        </is>
      </c>
      <c r="T651" t="n">
        <v>1</v>
      </c>
      <c r="U651" t="n">
        <v>138</v>
      </c>
      <c r="V651">
        <f>IF(J651="","",MONTH(J651))</f>
        <v/>
      </c>
      <c r="W651">
        <f>IF(J651="","",YEAR(J651))</f>
        <v/>
      </c>
      <c r="X651" t="inlineStr">
        <is>
          <t>ViaCargo</t>
        </is>
      </c>
      <c r="Y651">
        <f>IFERROR(INDEX(Rastreio!$H$2:$H$200,MATCH(X651&amp;"|"&amp;U651,Rastreio!$A$2:$A$200,0)),"")</f>
        <v/>
      </c>
    </row>
    <row r="652">
      <c r="A652">
        <f>IFERROR(INDEX(STAs!$G$2:$G$61,MATCH(P652,STAs!$F$2:$F$61,0))&amp;"","")</f>
        <v/>
      </c>
      <c r="B652" t="n">
        <v>20002126</v>
      </c>
      <c r="C652" t="inlineStr">
        <is>
          <t>Não</t>
        </is>
      </c>
      <c r="D652" t="inlineStr">
        <is>
          <t>MG</t>
        </is>
      </c>
      <c r="E652" t="inlineStr">
        <is>
          <t>SUDESTE MG</t>
        </is>
      </c>
      <c r="F652" t="inlineStr">
        <is>
          <t>Cliente A - Refrigerador</t>
        </is>
      </c>
      <c r="G652" t="inlineStr">
        <is>
          <t>Misturadores</t>
        </is>
      </c>
      <c r="H652" s="10" t="n">
        <v>40</v>
      </c>
      <c r="I652" s="10">
        <f>IFERROR(T652*H652,0)</f>
        <v/>
      </c>
      <c r="J652" s="11" t="n">
        <v>46021</v>
      </c>
      <c r="K652" s="11" t="n">
        <v>46042</v>
      </c>
      <c r="L652" t="inlineStr">
        <is>
          <t>Ok. Devolvida</t>
        </is>
      </c>
      <c r="M652">
        <f>IF(L652="","",IFERROR(VLOOKUP(L652,mapGrupoStatus,2,0),"Outros"))</f>
        <v/>
      </c>
      <c r="N652">
        <f>IF(O652="","",IF(O652&lt;=30,"0-30 dias",IF(O652&lt;=60,"31-60 dias",IF(O652&lt;=90,"61-90 dias","Mais de 90 dias"))))</f>
        <v/>
      </c>
      <c r="O652">
        <f>IF(OR(M652="Pendente",M652="Em andamento"),IF(J652="","",TODAY()-J652),"")</f>
        <v/>
      </c>
      <c r="P652" t="n">
        <v>12470</v>
      </c>
      <c r="Q652" t="inlineStr">
        <is>
          <t>Cool Service Técnica (12470)</t>
        </is>
      </c>
      <c r="R652" t="inlineStr">
        <is>
          <t>PC-0042</t>
        </is>
      </c>
      <c r="S652" t="inlineStr">
        <is>
          <t>Bico dosador modelo 01</t>
        </is>
      </c>
      <c r="T652" t="n">
        <v>1</v>
      </c>
      <c r="U652" t="n">
        <v>102</v>
      </c>
      <c r="V652">
        <f>IF(J652="","",MONTH(J652))</f>
        <v/>
      </c>
      <c r="W652">
        <f>IF(J652="","",YEAR(J652))</f>
        <v/>
      </c>
      <c r="X652" t="inlineStr">
        <is>
          <t>TransNorte</t>
        </is>
      </c>
      <c r="Y652">
        <f>IFERROR(INDEX(Rastreio!$H$2:$H$200,MATCH(X652&amp;"|"&amp;U652,Rastreio!$A$2:$A$200,0)),"")</f>
        <v/>
      </c>
    </row>
    <row r="653">
      <c r="A653">
        <f>IFERROR(INDEX(STAs!$G$2:$G$61,MATCH(P653,STAs!$F$2:$F$61,0))&amp;"","")</f>
        <v/>
      </c>
      <c r="B653" t="n">
        <v>20040260</v>
      </c>
      <c r="C653" t="inlineStr">
        <is>
          <t>Não</t>
        </is>
      </c>
      <c r="D653" t="inlineStr">
        <is>
          <t>MS</t>
        </is>
      </c>
      <c r="E653" t="inlineStr">
        <is>
          <t>CENTRO OESTE</t>
        </is>
      </c>
      <c r="F653" t="inlineStr">
        <is>
          <t>Cliente B - Chopeira</t>
        </is>
      </c>
      <c r="G653" t="inlineStr">
        <is>
          <t>Refrigeradores</t>
        </is>
      </c>
      <c r="H653" s="10" t="n">
        <v>45</v>
      </c>
      <c r="I653" s="10">
        <f>IFERROR(T653*H653,0)</f>
        <v/>
      </c>
      <c r="J653" s="11" t="n">
        <v>46021</v>
      </c>
      <c r="K653" s="11" t="n"/>
      <c r="L653" t="inlineStr">
        <is>
          <t>Debitar do STA</t>
        </is>
      </c>
      <c r="M653">
        <f>IF(L653="","",IFERROR(VLOOKUP(L653,mapGrupoStatus,2,0),"Outros"))</f>
        <v/>
      </c>
      <c r="N653">
        <f>IF(O653="","",IF(O653&lt;=30,"0-30 dias",IF(O653&lt;=60,"31-60 dias",IF(O653&lt;=90,"61-90 dias","Mais de 90 dias"))))</f>
        <v/>
      </c>
      <c r="O653">
        <f>IF(OR(M653="Pendente",M653="Em andamento"),IF(J653="","",TODAY()-J653),"")</f>
        <v/>
      </c>
      <c r="P653" t="n">
        <v>11726</v>
      </c>
      <c r="Q653" t="inlineStr">
        <is>
          <t>Norte Frio Refrigeração (11726)</t>
        </is>
      </c>
      <c r="R653" t="inlineStr">
        <is>
          <t>PC-0019</t>
        </is>
      </c>
      <c r="S653" t="inlineStr">
        <is>
          <t>Gaxeta da porta modelo 02</t>
        </is>
      </c>
      <c r="T653" t="n">
        <v>1</v>
      </c>
      <c r="U653" t="inlineStr"/>
      <c r="V653">
        <f>IF(J653="","",MONTH(J653))</f>
        <v/>
      </c>
      <c r="W653">
        <f>IF(J653="","",YEAR(J653))</f>
        <v/>
      </c>
      <c r="X653" t="inlineStr"/>
      <c r="Y653">
        <f>IFERROR(INDEX(Rastreio!$H$2:$H$200,MATCH(X653&amp;"|"&amp;U653,Rastreio!$A$2:$A$200,0)),"")</f>
        <v/>
      </c>
    </row>
    <row r="654">
      <c r="A654">
        <f>IFERROR(INDEX(STAs!$G$2:$G$61,MATCH(P654,STAs!$F$2:$F$61,0))&amp;"","")</f>
        <v/>
      </c>
      <c r="B654" t="n">
        <v>20016282</v>
      </c>
      <c r="C654" t="inlineStr">
        <is>
          <t>Não</t>
        </is>
      </c>
      <c r="D654" t="inlineStr">
        <is>
          <t>RJ</t>
        </is>
      </c>
      <c r="E654" t="inlineStr">
        <is>
          <t>SUDESTE RJ e ES</t>
        </is>
      </c>
      <c r="F654" t="inlineStr">
        <is>
          <t>Cliente B - Chopeira</t>
        </is>
      </c>
      <c r="G654" t="inlineStr">
        <is>
          <t>Refrigeradores</t>
        </is>
      </c>
      <c r="H654" s="10" t="n">
        <v>65</v>
      </c>
      <c r="I654" s="10">
        <f>IFERROR(T654*H654,0)</f>
        <v/>
      </c>
      <c r="J654" s="11" t="n">
        <v>46022</v>
      </c>
      <c r="K654" s="11" t="n">
        <v>46047</v>
      </c>
      <c r="L654" t="inlineStr">
        <is>
          <t>Ok. Devolvida</t>
        </is>
      </c>
      <c r="M654">
        <f>IF(L654="","",IFERROR(VLOOKUP(L654,mapGrupoStatus,2,0),"Outros"))</f>
        <v/>
      </c>
      <c r="N654">
        <f>IF(O654="","",IF(O654&lt;=30,"0-30 dias",IF(O654&lt;=60,"31-60 dias",IF(O654&lt;=90,"61-90 dias","Mais de 90 dias"))))</f>
        <v/>
      </c>
      <c r="O654">
        <f>IF(OR(M654="Pendente",M654="Em andamento"),IF(J654="","",TODAY()-J654),"")</f>
        <v/>
      </c>
      <c r="P654" t="n">
        <v>12336</v>
      </c>
      <c r="Q654" t="inlineStr">
        <is>
          <t>Termotec ME (12336)</t>
        </is>
      </c>
      <c r="R654" t="inlineStr">
        <is>
          <t>PC-0010</t>
        </is>
      </c>
      <c r="S654" t="inlineStr">
        <is>
          <t>Ventilador modelo 04</t>
        </is>
      </c>
      <c r="T654" t="n">
        <v>1</v>
      </c>
      <c r="U654" t="n">
        <v>129</v>
      </c>
      <c r="V654">
        <f>IF(J654="","",MONTH(J654))</f>
        <v/>
      </c>
      <c r="W654">
        <f>IF(J654="","",YEAR(J654))</f>
        <v/>
      </c>
      <c r="X654" t="inlineStr">
        <is>
          <t>CargoMax</t>
        </is>
      </c>
      <c r="Y654">
        <f>IFERROR(INDEX(Rastreio!$H$2:$H$200,MATCH(X654&amp;"|"&amp;U654,Rastreio!$A$2:$A$200,0)),"")</f>
        <v/>
      </c>
    </row>
    <row r="655">
      <c r="A655">
        <f>IFERROR(INDEX(STAs!$G$2:$G$61,MATCH(P655,STAs!$F$2:$F$61,0))&amp;"","")</f>
        <v/>
      </c>
      <c r="B655" t="n">
        <v>20022243</v>
      </c>
      <c r="C655" t="inlineStr">
        <is>
          <t>Sim</t>
        </is>
      </c>
      <c r="D655" t="inlineStr">
        <is>
          <t>CE</t>
        </is>
      </c>
      <c r="E655" t="inlineStr">
        <is>
          <t>NORDESTE</t>
        </is>
      </c>
      <c r="F655" t="inlineStr">
        <is>
          <t>Cliente C - Misturador</t>
        </is>
      </c>
      <c r="G655" t="inlineStr">
        <is>
          <t>Misturadores</t>
        </is>
      </c>
      <c r="H655" s="10" t="n">
        <v>40</v>
      </c>
      <c r="I655" s="10">
        <f>IFERROR(T655*H655,0)</f>
        <v/>
      </c>
      <c r="J655" s="11" t="n">
        <v>46022</v>
      </c>
      <c r="K655" s="11" t="n"/>
      <c r="L655" t="inlineStr">
        <is>
          <t>Debitar do STA</t>
        </is>
      </c>
      <c r="M655">
        <f>IF(L655="","",IFERROR(VLOOKUP(L655,mapGrupoStatus,2,0),"Outros"))</f>
        <v/>
      </c>
      <c r="N655">
        <f>IF(O655="","",IF(O655&lt;=30,"0-30 dias",IF(O655&lt;=60,"31-60 dias",IF(O655&lt;=90,"61-90 dias","Mais de 90 dias"))))</f>
        <v/>
      </c>
      <c r="O655">
        <f>IF(OR(M655="Pendente",M655="Em andamento"),IF(J655="","",TODAY()-J655),"")</f>
        <v/>
      </c>
      <c r="P655" t="n">
        <v>10615</v>
      </c>
      <c r="Q655" t="inlineStr">
        <is>
          <t>Brisa Técnica (10615)</t>
        </is>
      </c>
      <c r="R655" t="inlineStr">
        <is>
          <t>PC-0042</t>
        </is>
      </c>
      <c r="S655" t="inlineStr">
        <is>
          <t>Bico dosador modelo 01</t>
        </is>
      </c>
      <c r="T655" t="n">
        <v>3</v>
      </c>
      <c r="U655" t="inlineStr"/>
      <c r="V655">
        <f>IF(J655="","",MONTH(J655))</f>
        <v/>
      </c>
      <c r="W655">
        <f>IF(J655="","",YEAR(J655))</f>
        <v/>
      </c>
      <c r="X655" t="inlineStr"/>
      <c r="Y655">
        <f>IFERROR(INDEX(Rastreio!$H$2:$H$200,MATCH(X655&amp;"|"&amp;U655,Rastreio!$A$2:$A$200,0)),"")</f>
        <v/>
      </c>
    </row>
    <row r="656">
      <c r="A656">
        <f>IFERROR(INDEX(STAs!$G$2:$G$61,MATCH(P656,STAs!$F$2:$F$61,0))&amp;"","")</f>
        <v/>
      </c>
      <c r="B656" t="n">
        <v>20028437</v>
      </c>
      <c r="C656" t="inlineStr">
        <is>
          <t>Não</t>
        </is>
      </c>
      <c r="D656" t="inlineStr">
        <is>
          <t>ES</t>
        </is>
      </c>
      <c r="E656" t="inlineStr">
        <is>
          <t>SUDESTE RJ e ES</t>
        </is>
      </c>
      <c r="F656" t="inlineStr">
        <is>
          <t>Cliente C - Misturador</t>
        </is>
      </c>
      <c r="G656" t="inlineStr">
        <is>
          <t>Chopeiras</t>
        </is>
      </c>
      <c r="H656" s="10" t="n">
        <v>85</v>
      </c>
      <c r="I656" s="10">
        <f>IFERROR(T656*H656,0)</f>
        <v/>
      </c>
      <c r="J656" s="11" t="n">
        <v>46022</v>
      </c>
      <c r="K656" s="11" t="n">
        <v>46064</v>
      </c>
      <c r="L656" t="inlineStr">
        <is>
          <t>Ok. Devolvida</t>
        </is>
      </c>
      <c r="M656">
        <f>IF(L656="","",IFERROR(VLOOKUP(L656,mapGrupoStatus,2,0),"Outros"))</f>
        <v/>
      </c>
      <c r="N656">
        <f>IF(O656="","",IF(O656&lt;=30,"0-30 dias",IF(O656&lt;=60,"31-60 dias",IF(O656&lt;=90,"61-90 dias","Mais de 90 dias"))))</f>
        <v/>
      </c>
      <c r="O656">
        <f>IF(OR(M656="Pendente",M656="Em andamento"),IF(J656="","",TODAY()-J656),"")</f>
        <v/>
      </c>
      <c r="P656" t="n">
        <v>11099</v>
      </c>
      <c r="Q656" t="inlineStr">
        <is>
          <t>Refrigel Serviços (11099)</t>
        </is>
      </c>
      <c r="R656" t="inlineStr">
        <is>
          <t>PC-0028</t>
        </is>
      </c>
      <c r="S656" t="inlineStr">
        <is>
          <t>Torneira de chopp modelo 03</t>
        </is>
      </c>
      <c r="T656" t="n">
        <v>1</v>
      </c>
      <c r="U656" t="n">
        <v>153</v>
      </c>
      <c r="V656">
        <f>IF(J656="","",MONTH(J656))</f>
        <v/>
      </c>
      <c r="W656">
        <f>IF(J656="","",YEAR(J656))</f>
        <v/>
      </c>
      <c r="X656" t="inlineStr">
        <is>
          <t>LogExpress</t>
        </is>
      </c>
      <c r="Y656">
        <f>IFERROR(INDEX(Rastreio!$H$2:$H$200,MATCH(X656&amp;"|"&amp;U656,Rastreio!$A$2:$A$200,0)),"")</f>
        <v/>
      </c>
    </row>
    <row r="657">
      <c r="A657">
        <f>IFERROR(INDEX(STAs!$G$2:$G$61,MATCH(P657,STAs!$F$2:$F$61,0))&amp;"","")</f>
        <v/>
      </c>
      <c r="B657" t="n">
        <v>20015269</v>
      </c>
      <c r="C657" t="inlineStr">
        <is>
          <t>Não</t>
        </is>
      </c>
      <c r="D657" t="inlineStr">
        <is>
          <t>DF</t>
        </is>
      </c>
      <c r="E657" t="inlineStr">
        <is>
          <t>CENTRO OESTE</t>
        </is>
      </c>
      <c r="F657" t="inlineStr">
        <is>
          <t>Cliente B - Chopeira</t>
        </is>
      </c>
      <c r="G657" t="inlineStr">
        <is>
          <t>Misturadores</t>
        </is>
      </c>
      <c r="H657" s="10" t="n">
        <v>50</v>
      </c>
      <c r="I657" s="10">
        <f>IFERROR(T657*H657,0)</f>
        <v/>
      </c>
      <c r="J657" s="11" t="n">
        <v>46023</v>
      </c>
      <c r="K657" s="11" t="n">
        <v>46032</v>
      </c>
      <c r="L657" t="inlineStr">
        <is>
          <t>Ok. Devolvida</t>
        </is>
      </c>
      <c r="M657">
        <f>IF(L657="","",IFERROR(VLOOKUP(L657,mapGrupoStatus,2,0),"Outros"))</f>
        <v/>
      </c>
      <c r="N657">
        <f>IF(O657="","",IF(O657&lt;=30,"0-30 dias",IF(O657&lt;=60,"31-60 dias",IF(O657&lt;=90,"61-90 dias","Mais de 90 dias"))))</f>
        <v/>
      </c>
      <c r="O657">
        <f>IF(OR(M657="Pendente",M657="Em andamento"),IF(J657="","",TODAY()-J657),"")</f>
        <v/>
      </c>
      <c r="P657" t="n">
        <v>10021</v>
      </c>
      <c r="Q657" t="inlineStr">
        <is>
          <t>Termotec Técnica (10021)</t>
        </is>
      </c>
      <c r="R657" t="inlineStr">
        <is>
          <t>PC-0047</t>
        </is>
      </c>
      <c r="S657" t="inlineStr">
        <is>
          <t>Sensor de nível modelo 03</t>
        </is>
      </c>
      <c r="T657" t="n">
        <v>1</v>
      </c>
      <c r="U657" t="n">
        <v>127</v>
      </c>
      <c r="V657">
        <f>IF(J657="","",MONTH(J657))</f>
        <v/>
      </c>
      <c r="W657">
        <f>IF(J657="","",YEAR(J657))</f>
        <v/>
      </c>
      <c r="X657" t="inlineStr">
        <is>
          <t>CargoMax</t>
        </is>
      </c>
      <c r="Y657">
        <f>IFERROR(INDEX(Rastreio!$H$2:$H$200,MATCH(X657&amp;"|"&amp;U657,Rastreio!$A$2:$A$200,0)),"")</f>
        <v/>
      </c>
    </row>
    <row r="658">
      <c r="A658">
        <f>IFERROR(INDEX(STAs!$G$2:$G$61,MATCH(P658,STAs!$F$2:$F$61,0))&amp;"","")</f>
        <v/>
      </c>
      <c r="B658" t="n">
        <v>20016077</v>
      </c>
      <c r="C658" t="inlineStr">
        <is>
          <t>Sim</t>
        </is>
      </c>
      <c r="D658" t="inlineStr">
        <is>
          <t>CE</t>
        </is>
      </c>
      <c r="E658" t="inlineStr">
        <is>
          <t>NORDESTE</t>
        </is>
      </c>
      <c r="F658" t="inlineStr">
        <is>
          <t>Cliente C - Misturador</t>
        </is>
      </c>
      <c r="G658" t="inlineStr">
        <is>
          <t>Refrigeradores</t>
        </is>
      </c>
      <c r="H658" s="10" t="n">
        <v>70</v>
      </c>
      <c r="I658" s="10">
        <f>IFERROR(T658*H658,0)</f>
        <v/>
      </c>
      <c r="J658" s="11" t="n">
        <v>46023</v>
      </c>
      <c r="K658" s="11" t="n">
        <v>46069</v>
      </c>
      <c r="L658" t="inlineStr">
        <is>
          <t>Ok. Devolvida</t>
        </is>
      </c>
      <c r="M658">
        <f>IF(L658="","",IFERROR(VLOOKUP(L658,mapGrupoStatus,2,0),"Outros"))</f>
        <v/>
      </c>
      <c r="N658">
        <f>IF(O658="","",IF(O658&lt;=30,"0-30 dias",IF(O658&lt;=60,"31-60 dias",IF(O658&lt;=90,"61-90 dias","Mais de 90 dias"))))</f>
        <v/>
      </c>
      <c r="O658">
        <f>IF(OR(M658="Pendente",M658="Em andamento"),IF(J658="","",TODAY()-J658),"")</f>
        <v/>
      </c>
      <c r="P658" t="n">
        <v>10615</v>
      </c>
      <c r="Q658" t="inlineStr">
        <is>
          <t>Brisa Técnica (10615)</t>
        </is>
      </c>
      <c r="R658" t="inlineStr">
        <is>
          <t>PC-0009</t>
        </is>
      </c>
      <c r="S658" t="inlineStr">
        <is>
          <t>Ventilador modelo 03</t>
        </is>
      </c>
      <c r="T658" t="n">
        <v>2</v>
      </c>
      <c r="U658" t="n">
        <v>122</v>
      </c>
      <c r="V658">
        <f>IF(J658="","",MONTH(J658))</f>
        <v/>
      </c>
      <c r="W658">
        <f>IF(J658="","",YEAR(J658))</f>
        <v/>
      </c>
      <c r="X658" t="inlineStr">
        <is>
          <t>RotaSul</t>
        </is>
      </c>
      <c r="Y658">
        <f>IFERROR(INDEX(Rastreio!$H$2:$H$200,MATCH(X658&amp;"|"&amp;U658,Rastreio!$A$2:$A$200,0)),"")</f>
        <v/>
      </c>
    </row>
    <row r="659">
      <c r="A659">
        <f>IFERROR(INDEX(STAs!$G$2:$G$61,MATCH(P659,STAs!$F$2:$F$61,0))&amp;"","")</f>
        <v/>
      </c>
      <c r="B659" t="n">
        <v>20021212</v>
      </c>
      <c r="C659" t="inlineStr">
        <is>
          <t>Sim</t>
        </is>
      </c>
      <c r="D659" t="inlineStr">
        <is>
          <t>CE</t>
        </is>
      </c>
      <c r="E659" t="inlineStr">
        <is>
          <t>NORDESTE</t>
        </is>
      </c>
      <c r="F659" t="inlineStr">
        <is>
          <t>Cliente C - Misturador</t>
        </is>
      </c>
      <c r="G659" t="inlineStr">
        <is>
          <t>Refrigeradores</t>
        </is>
      </c>
      <c r="H659" s="10" t="n">
        <v>35</v>
      </c>
      <c r="I659" s="10">
        <f>IFERROR(T659*H659,0)</f>
        <v/>
      </c>
      <c r="J659" s="11" t="n">
        <v>46023</v>
      </c>
      <c r="K659" s="11" t="n">
        <v>46051</v>
      </c>
      <c r="L659" t="inlineStr">
        <is>
          <t>Ok. Devolvida</t>
        </is>
      </c>
      <c r="M659">
        <f>IF(L659="","",IFERROR(VLOOKUP(L659,mapGrupoStatus,2,0),"Outros"))</f>
        <v/>
      </c>
      <c r="N659">
        <f>IF(O659="","",IF(O659&lt;=30,"0-30 dias",IF(O659&lt;=60,"31-60 dias",IF(O659&lt;=90,"61-90 dias","Mais de 90 dias"))))</f>
        <v/>
      </c>
      <c r="O659">
        <f>IF(OR(M659="Pendente",M659="Em andamento"),IF(J659="","",TODAY()-J659),"")</f>
        <v/>
      </c>
      <c r="P659" t="n">
        <v>10615</v>
      </c>
      <c r="Q659" t="inlineStr">
        <is>
          <t>Brisa Técnica (10615)</t>
        </is>
      </c>
      <c r="R659" t="inlineStr">
        <is>
          <t>PC-0020</t>
        </is>
      </c>
      <c r="S659" t="inlineStr">
        <is>
          <t>Gaxeta da porta modelo 03</t>
        </is>
      </c>
      <c r="T659" t="n">
        <v>3</v>
      </c>
      <c r="U659" t="n">
        <v>133</v>
      </c>
      <c r="V659">
        <f>IF(J659="","",MONTH(J659))</f>
        <v/>
      </c>
      <c r="W659">
        <f>IF(J659="","",YEAR(J659))</f>
        <v/>
      </c>
      <c r="X659" t="inlineStr">
        <is>
          <t>EntregaJá</t>
        </is>
      </c>
      <c r="Y659">
        <f>IFERROR(INDEX(Rastreio!$H$2:$H$200,MATCH(X659&amp;"|"&amp;U659,Rastreio!$A$2:$A$200,0)),"")</f>
        <v/>
      </c>
    </row>
    <row r="660">
      <c r="A660">
        <f>IFERROR(INDEX(STAs!$G$2:$G$61,MATCH(P660,STAs!$F$2:$F$61,0))&amp;"","")</f>
        <v/>
      </c>
      <c r="B660" t="n">
        <v>20022820</v>
      </c>
      <c r="C660" t="inlineStr">
        <is>
          <t>Sim</t>
        </is>
      </c>
      <c r="D660" t="inlineStr">
        <is>
          <t>PR</t>
        </is>
      </c>
      <c r="E660" t="inlineStr">
        <is>
          <t>SUL</t>
        </is>
      </c>
      <c r="F660" t="inlineStr">
        <is>
          <t>Cliente C - Misturador</t>
        </is>
      </c>
      <c r="G660" t="inlineStr">
        <is>
          <t>Refrigeradores</t>
        </is>
      </c>
      <c r="H660" s="10" t="n">
        <v>155</v>
      </c>
      <c r="I660" s="10">
        <f>IFERROR(T660*H660,0)</f>
        <v/>
      </c>
      <c r="J660" s="11" t="n">
        <v>46023</v>
      </c>
      <c r="K660" s="11" t="n"/>
      <c r="L660" t="inlineStr">
        <is>
          <t>Debitar do STA</t>
        </is>
      </c>
      <c r="M660">
        <f>IF(L660="","",IFERROR(VLOOKUP(L660,mapGrupoStatus,2,0),"Outros"))</f>
        <v/>
      </c>
      <c r="N660">
        <f>IF(O660="","",IF(O660&lt;=30,"0-30 dias",IF(O660&lt;=60,"31-60 dias",IF(O660&lt;=90,"61-90 dias","Mais de 90 dias"))))</f>
        <v/>
      </c>
      <c r="O660">
        <f>IF(OR(M660="Pendente",M660="Em andamento"),IF(J660="","",TODAY()-J660),"")</f>
        <v/>
      </c>
      <c r="P660" t="n">
        <v>12724</v>
      </c>
      <c r="Q660" t="inlineStr">
        <is>
          <t>Cool Service &amp; Cia (12724)</t>
        </is>
      </c>
      <c r="R660" t="inlineStr">
        <is>
          <t>PC-0022</t>
        </is>
      </c>
      <c r="S660" t="inlineStr">
        <is>
          <t>Controlador digital modelo 02</t>
        </is>
      </c>
      <c r="T660" t="n">
        <v>1</v>
      </c>
      <c r="U660" t="inlineStr"/>
      <c r="V660">
        <f>IF(J660="","",MONTH(J660))</f>
        <v/>
      </c>
      <c r="W660">
        <f>IF(J660="","",YEAR(J660))</f>
        <v/>
      </c>
      <c r="X660" t="inlineStr"/>
      <c r="Y660">
        <f>IFERROR(INDEX(Rastreio!$H$2:$H$200,MATCH(X660&amp;"|"&amp;U660,Rastreio!$A$2:$A$200,0)),"")</f>
        <v/>
      </c>
    </row>
    <row r="661">
      <c r="A661">
        <f>IFERROR(INDEX(STAs!$G$2:$G$61,MATCH(P661,STAs!$F$2:$F$61,0))&amp;"","")</f>
        <v/>
      </c>
      <c r="B661" t="n">
        <v>20025334</v>
      </c>
      <c r="C661" t="inlineStr">
        <is>
          <t>Não</t>
        </is>
      </c>
      <c r="D661" t="inlineStr">
        <is>
          <t>ES</t>
        </is>
      </c>
      <c r="E661" t="inlineStr">
        <is>
          <t>SUDESTE RJ e ES</t>
        </is>
      </c>
      <c r="F661" t="inlineStr">
        <is>
          <t>Cliente A - Refrigerador</t>
        </is>
      </c>
      <c r="G661" t="inlineStr">
        <is>
          <t>Refrigeradores</t>
        </is>
      </c>
      <c r="H661" s="10" t="n">
        <v>330</v>
      </c>
      <c r="I661" s="10">
        <f>IFERROR(T661*H661,0)</f>
        <v/>
      </c>
      <c r="J661" s="11" t="n">
        <v>46023</v>
      </c>
      <c r="K661" s="11" t="n">
        <v>46067</v>
      </c>
      <c r="L661" t="inlineStr">
        <is>
          <t>Ok. Devolvida</t>
        </is>
      </c>
      <c r="M661">
        <f>IF(L661="","",IFERROR(VLOOKUP(L661,mapGrupoStatus,2,0),"Outros"))</f>
        <v/>
      </c>
      <c r="N661">
        <f>IF(O661="","",IF(O661&lt;=30,"0-30 dias",IF(O661&lt;=60,"31-60 dias",IF(O661&lt;=90,"61-90 dias","Mais de 90 dias"))))</f>
        <v/>
      </c>
      <c r="O661">
        <f>IF(OR(M661="Pendente",M661="Em andamento"),IF(J661="","",TODAY()-J661),"")</f>
        <v/>
      </c>
      <c r="P661" t="n">
        <v>11396</v>
      </c>
      <c r="Q661" t="inlineStr">
        <is>
          <t>Frio Manutenção (11396)</t>
        </is>
      </c>
      <c r="R661" t="inlineStr">
        <is>
          <t>PC-0003</t>
        </is>
      </c>
      <c r="S661" t="inlineStr">
        <is>
          <t>Compressor modelo 03</t>
        </is>
      </c>
      <c r="T661" t="n">
        <v>1</v>
      </c>
      <c r="U661" t="n">
        <v>143</v>
      </c>
      <c r="V661">
        <f>IF(J661="","",MONTH(J661))</f>
        <v/>
      </c>
      <c r="W661">
        <f>IF(J661="","",YEAR(J661))</f>
        <v/>
      </c>
      <c r="X661" t="inlineStr">
        <is>
          <t>CargoMax</t>
        </is>
      </c>
      <c r="Y661">
        <f>IFERROR(INDEX(Rastreio!$H$2:$H$200,MATCH(X661&amp;"|"&amp;U661,Rastreio!$A$2:$A$200,0)),"")</f>
        <v/>
      </c>
    </row>
    <row r="662">
      <c r="A662">
        <f>IFERROR(INDEX(STAs!$G$2:$G$61,MATCH(P662,STAs!$F$2:$F$61,0))&amp;"","")</f>
        <v/>
      </c>
      <c r="B662" t="n">
        <v>20004728</v>
      </c>
      <c r="C662" t="inlineStr">
        <is>
          <t>Não</t>
        </is>
      </c>
      <c r="D662" t="inlineStr">
        <is>
          <t>AM</t>
        </is>
      </c>
      <c r="E662" t="inlineStr">
        <is>
          <t>NORTE</t>
        </is>
      </c>
      <c r="F662" t="inlineStr">
        <is>
          <t>Cliente C - Misturador</t>
        </is>
      </c>
      <c r="G662" t="inlineStr">
        <is>
          <t>Chopeiras</t>
        </is>
      </c>
      <c r="H662" s="10" t="n">
        <v>85</v>
      </c>
      <c r="I662" s="10">
        <f>IFERROR(T662*H662,0)</f>
        <v/>
      </c>
      <c r="J662" s="11" t="n">
        <v>46024</v>
      </c>
      <c r="K662" s="11" t="n"/>
      <c r="L662" t="inlineStr">
        <is>
          <t>Não Devolve-Norte</t>
        </is>
      </c>
      <c r="M662">
        <f>IF(L662="","",IFERROR(VLOOKUP(L662,mapGrupoStatus,2,0),"Outros"))</f>
        <v/>
      </c>
      <c r="N662">
        <f>IF(O662="","",IF(O662&lt;=30,"0-30 dias",IF(O662&lt;=60,"31-60 dias",IF(O662&lt;=90,"61-90 dias","Mais de 90 dias"))))</f>
        <v/>
      </c>
      <c r="O662">
        <f>IF(OR(M662="Pendente",M662="Em andamento"),IF(J662="","",TODAY()-J662),"")</f>
        <v/>
      </c>
      <c r="P662" t="n">
        <v>12269</v>
      </c>
      <c r="Q662" t="inlineStr">
        <is>
          <t>Polar Técnica (12269)</t>
        </is>
      </c>
      <c r="R662" t="inlineStr">
        <is>
          <t>PC-0035</t>
        </is>
      </c>
      <c r="S662" t="inlineStr">
        <is>
          <t>Válvula extratora modelo 01</t>
        </is>
      </c>
      <c r="T662" t="n">
        <v>1</v>
      </c>
      <c r="U662" t="inlineStr"/>
      <c r="V662">
        <f>IF(J662="","",MONTH(J662))</f>
        <v/>
      </c>
      <c r="W662">
        <f>IF(J662="","",YEAR(J662))</f>
        <v/>
      </c>
      <c r="X662" t="inlineStr"/>
      <c r="Y662">
        <f>IFERROR(INDEX(Rastreio!$H$2:$H$200,MATCH(X662&amp;"|"&amp;U662,Rastreio!$A$2:$A$200,0)),"")</f>
        <v/>
      </c>
    </row>
    <row r="663">
      <c r="A663">
        <f>IFERROR(INDEX(STAs!$G$2:$G$61,MATCH(P663,STAs!$F$2:$F$61,0))&amp;"","")</f>
        <v/>
      </c>
      <c r="B663" t="n">
        <v>20008180</v>
      </c>
      <c r="C663" t="inlineStr">
        <is>
          <t>Não</t>
        </is>
      </c>
      <c r="D663" t="inlineStr">
        <is>
          <t>AC</t>
        </is>
      </c>
      <c r="E663" t="inlineStr">
        <is>
          <t>NORTE</t>
        </is>
      </c>
      <c r="F663" t="inlineStr">
        <is>
          <t>Cliente B - Chopeira</t>
        </is>
      </c>
      <c r="G663" t="inlineStr">
        <is>
          <t>Misturadores</t>
        </is>
      </c>
      <c r="H663" s="10" t="n">
        <v>50</v>
      </c>
      <c r="I663" s="10">
        <f>IFERROR(T663*H663,0)</f>
        <v/>
      </c>
      <c r="J663" s="11" t="n">
        <v>46024</v>
      </c>
      <c r="K663" s="11" t="n">
        <v>46040</v>
      </c>
      <c r="L663" t="inlineStr">
        <is>
          <t>Ok. Devolvida</t>
        </is>
      </c>
      <c r="M663">
        <f>IF(L663="","",IFERROR(VLOOKUP(L663,mapGrupoStatus,2,0),"Outros"))</f>
        <v/>
      </c>
      <c r="N663">
        <f>IF(O663="","",IF(O663&lt;=30,"0-30 dias",IF(O663&lt;=60,"31-60 dias",IF(O663&lt;=90,"61-90 dias","Mais de 90 dias"))))</f>
        <v/>
      </c>
      <c r="O663">
        <f>IF(OR(M663="Pendente",M663="Em andamento"),IF(J663="","",TODAY()-J663),"")</f>
        <v/>
      </c>
      <c r="P663" t="n">
        <v>10372</v>
      </c>
      <c r="Q663" t="inlineStr">
        <is>
          <t>Zero Grau ME (10372)</t>
        </is>
      </c>
      <c r="R663" t="inlineStr">
        <is>
          <t>PC-0044</t>
        </is>
      </c>
      <c r="S663" t="inlineStr">
        <is>
          <t>Bico dosador modelo 03</t>
        </is>
      </c>
      <c r="T663" t="n">
        <v>1</v>
      </c>
      <c r="U663" t="n">
        <v>114</v>
      </c>
      <c r="V663">
        <f>IF(J663="","",MONTH(J663))</f>
        <v/>
      </c>
      <c r="W663">
        <f>IF(J663="","",YEAR(J663))</f>
        <v/>
      </c>
      <c r="X663" t="inlineStr">
        <is>
          <t>RotaSul</t>
        </is>
      </c>
      <c r="Y663">
        <f>IFERROR(INDEX(Rastreio!$H$2:$H$200,MATCH(X663&amp;"|"&amp;U663,Rastreio!$A$2:$A$200,0)),"")</f>
        <v/>
      </c>
    </row>
    <row r="664">
      <c r="A664">
        <f>IFERROR(INDEX(STAs!$G$2:$G$61,MATCH(P664,STAs!$F$2:$F$61,0))&amp;"","")</f>
        <v/>
      </c>
      <c r="B664" t="n">
        <v>20009730</v>
      </c>
      <c r="C664" t="inlineStr">
        <is>
          <t>Não</t>
        </is>
      </c>
      <c r="D664" t="inlineStr">
        <is>
          <t>RO</t>
        </is>
      </c>
      <c r="E664" t="inlineStr">
        <is>
          <t>NORTE</t>
        </is>
      </c>
      <c r="F664" t="inlineStr">
        <is>
          <t>Cliente C - Misturador</t>
        </is>
      </c>
      <c r="G664" t="inlineStr">
        <is>
          <t>Refrigeradores</t>
        </is>
      </c>
      <c r="H664" s="10" t="n">
        <v>35</v>
      </c>
      <c r="I664" s="10">
        <f>IFERROR(T664*H664,0)</f>
        <v/>
      </c>
      <c r="J664" s="11" t="n">
        <v>46024</v>
      </c>
      <c r="K664" s="11" t="n"/>
      <c r="L664" t="inlineStr">
        <is>
          <t>NF Vencida</t>
        </is>
      </c>
      <c r="M664">
        <f>IF(L664="","",IFERROR(VLOOKUP(L664,mapGrupoStatus,2,0),"Outros"))</f>
        <v/>
      </c>
      <c r="N664">
        <f>IF(O664="","",IF(O664&lt;=30,"0-30 dias",IF(O664&lt;=60,"31-60 dias",IF(O664&lt;=90,"61-90 dias","Mais de 90 dias"))))</f>
        <v/>
      </c>
      <c r="O664">
        <f>IF(OR(M664="Pendente",M664="Em andamento"),IF(J664="","",TODAY()-J664),"")</f>
        <v/>
      </c>
      <c r="P664" t="n">
        <v>12019</v>
      </c>
      <c r="Q664" t="inlineStr">
        <is>
          <t>Ártico Serviços (12019)</t>
        </is>
      </c>
      <c r="R664" t="inlineStr">
        <is>
          <t>PC-0023</t>
        </is>
      </c>
      <c r="S664" t="inlineStr">
        <is>
          <t>Relé de partida modelo 01</t>
        </is>
      </c>
      <c r="T664" t="n">
        <v>1</v>
      </c>
      <c r="U664" t="inlineStr"/>
      <c r="V664">
        <f>IF(J664="","",MONTH(J664))</f>
        <v/>
      </c>
      <c r="W664">
        <f>IF(J664="","",YEAR(J664))</f>
        <v/>
      </c>
      <c r="X664" t="inlineStr"/>
      <c r="Y664">
        <f>IFERROR(INDEX(Rastreio!$H$2:$H$200,MATCH(X664&amp;"|"&amp;U664,Rastreio!$A$2:$A$200,0)),"")</f>
        <v/>
      </c>
    </row>
    <row r="665">
      <c r="A665">
        <f>IFERROR(INDEX(STAs!$G$2:$G$61,MATCH(P665,STAs!$F$2:$F$61,0))&amp;"","")</f>
        <v/>
      </c>
      <c r="B665" t="n">
        <v>20019734</v>
      </c>
      <c r="C665" t="inlineStr">
        <is>
          <t>Não</t>
        </is>
      </c>
      <c r="D665" t="inlineStr">
        <is>
          <t>SP</t>
        </is>
      </c>
      <c r="E665" t="inlineStr">
        <is>
          <t>SUDESTE SP</t>
        </is>
      </c>
      <c r="F665" t="inlineStr">
        <is>
          <t>Cliente B - Chopeira</t>
        </is>
      </c>
      <c r="G665" t="inlineStr">
        <is>
          <t>Misturadores</t>
        </is>
      </c>
      <c r="H665" s="10" t="n">
        <v>265</v>
      </c>
      <c r="I665" s="10">
        <f>IFERROR(T665*H665,0)</f>
        <v/>
      </c>
      <c r="J665" s="11" t="n">
        <v>46024</v>
      </c>
      <c r="K665" s="11" t="n"/>
      <c r="L665" t="inlineStr">
        <is>
          <t>Aguardando devolução</t>
        </is>
      </c>
      <c r="M665">
        <f>IF(L665="","",IFERROR(VLOOKUP(L665,mapGrupoStatus,2,0),"Outros"))</f>
        <v/>
      </c>
      <c r="N665">
        <f>IF(O665="","",IF(O665&lt;=30,"0-30 dias",IF(O665&lt;=60,"31-60 dias",IF(O665&lt;=90,"61-90 dias","Mais de 90 dias"))))</f>
        <v/>
      </c>
      <c r="O665">
        <f>IF(OR(M665="Pendente",M665="Em andamento"),IF(J665="","",TODAY()-J665),"")</f>
        <v/>
      </c>
      <c r="P665" t="n">
        <v>11710</v>
      </c>
      <c r="Q665" t="inlineStr">
        <is>
          <t>Brisa &amp; Cia (11710)</t>
        </is>
      </c>
      <c r="R665" t="inlineStr">
        <is>
          <t>PC-0038</t>
        </is>
      </c>
      <c r="S665" t="inlineStr">
        <is>
          <t>Bomba de recirculação modelo 02</t>
        </is>
      </c>
      <c r="T665" t="n">
        <v>1</v>
      </c>
      <c r="U665" t="inlineStr"/>
      <c r="V665">
        <f>IF(J665="","",MONTH(J665))</f>
        <v/>
      </c>
      <c r="W665">
        <f>IF(J665="","",YEAR(J665))</f>
        <v/>
      </c>
      <c r="X665" t="inlineStr"/>
      <c r="Y665">
        <f>IFERROR(INDEX(Rastreio!$H$2:$H$200,MATCH(X665&amp;"|"&amp;U665,Rastreio!$A$2:$A$200,0)),"")</f>
        <v/>
      </c>
    </row>
    <row r="666">
      <c r="A666">
        <f>IFERROR(INDEX(STAs!$G$2:$G$61,MATCH(P666,STAs!$F$2:$F$61,0))&amp;"","")</f>
        <v/>
      </c>
      <c r="B666" t="n">
        <v>20023347</v>
      </c>
      <c r="C666" t="inlineStr">
        <is>
          <t>Sim</t>
        </is>
      </c>
      <c r="D666" t="inlineStr">
        <is>
          <t>PR</t>
        </is>
      </c>
      <c r="E666" t="inlineStr">
        <is>
          <t>SUL</t>
        </is>
      </c>
      <c r="F666" t="inlineStr">
        <is>
          <t>Cliente A - Refrigerador</t>
        </is>
      </c>
      <c r="G666" t="inlineStr">
        <is>
          <t>Refrigeradores</t>
        </is>
      </c>
      <c r="H666" s="10" t="n">
        <v>330</v>
      </c>
      <c r="I666" s="10">
        <f>IFERROR(T666*H666,0)</f>
        <v/>
      </c>
      <c r="J666" s="11" t="n">
        <v>46024</v>
      </c>
      <c r="K666" s="11" t="n">
        <v>46048</v>
      </c>
      <c r="L666" t="inlineStr">
        <is>
          <t>Ok. Devolvida</t>
        </is>
      </c>
      <c r="M666">
        <f>IF(L666="","",IFERROR(VLOOKUP(L666,mapGrupoStatus,2,0),"Outros"))</f>
        <v/>
      </c>
      <c r="N666">
        <f>IF(O666="","",IF(O666&lt;=30,"0-30 dias",IF(O666&lt;=60,"31-60 dias",IF(O666&lt;=90,"61-90 dias","Mais de 90 dias"))))</f>
        <v/>
      </c>
      <c r="O666">
        <f>IF(OR(M666="Pendente",M666="Em andamento"),IF(J666="","",TODAY()-J666),"")</f>
        <v/>
      </c>
      <c r="P666" t="n">
        <v>10753</v>
      </c>
      <c r="Q666" t="inlineStr">
        <is>
          <t>Refrigel &amp; Cia (10753)</t>
        </is>
      </c>
      <c r="R666" t="inlineStr">
        <is>
          <t>PC-0003</t>
        </is>
      </c>
      <c r="S666" t="inlineStr">
        <is>
          <t>Compressor modelo 03</t>
        </is>
      </c>
      <c r="T666" t="n">
        <v>1</v>
      </c>
      <c r="U666" t="n">
        <v>135</v>
      </c>
      <c r="V666">
        <f>IF(J666="","",MONTH(J666))</f>
        <v/>
      </c>
      <c r="W666">
        <f>IF(J666="","",YEAR(J666))</f>
        <v/>
      </c>
      <c r="X666" t="inlineStr">
        <is>
          <t>EntregaJá</t>
        </is>
      </c>
      <c r="Y666">
        <f>IFERROR(INDEX(Rastreio!$H$2:$H$200,MATCH(X666&amp;"|"&amp;U666,Rastreio!$A$2:$A$200,0)),"")</f>
        <v/>
      </c>
    </row>
    <row r="667">
      <c r="A667">
        <f>IFERROR(INDEX(STAs!$G$2:$G$61,MATCH(P667,STAs!$F$2:$F$61,0))&amp;"","")</f>
        <v/>
      </c>
      <c r="B667" t="n">
        <v>20026049</v>
      </c>
      <c r="C667" t="inlineStr">
        <is>
          <t>Não</t>
        </is>
      </c>
      <c r="D667" t="inlineStr">
        <is>
          <t>PR</t>
        </is>
      </c>
      <c r="E667" t="inlineStr">
        <is>
          <t>SUL</t>
        </is>
      </c>
      <c r="F667" t="inlineStr">
        <is>
          <t>Cliente C - Misturador</t>
        </is>
      </c>
      <c r="G667" t="inlineStr">
        <is>
          <t>Misturadores</t>
        </is>
      </c>
      <c r="H667" s="10" t="n">
        <v>255</v>
      </c>
      <c r="I667" s="10">
        <f>IFERROR(T667*H667,0)</f>
        <v/>
      </c>
      <c r="J667" s="11" t="n">
        <v>46024</v>
      </c>
      <c r="K667" s="11" t="n"/>
      <c r="L667" t="inlineStr">
        <is>
          <t>Em transporte</t>
        </is>
      </c>
      <c r="M667">
        <f>IF(L667="","",IFERROR(VLOOKUP(L667,mapGrupoStatus,2,0),"Outros"))</f>
        <v/>
      </c>
      <c r="N667">
        <f>IF(O667="","",IF(O667&lt;=30,"0-30 dias",IF(O667&lt;=60,"31-60 dias",IF(O667&lt;=90,"61-90 dias","Mais de 90 dias"))))</f>
        <v/>
      </c>
      <c r="O667">
        <f>IF(OR(M667="Pendente",M667="Em andamento"),IF(J667="","",TODAY()-J667),"")</f>
        <v/>
      </c>
      <c r="P667" t="n">
        <v>10504</v>
      </c>
      <c r="Q667" t="inlineStr">
        <is>
          <t>Zero Grau Ltda (10504)</t>
        </is>
      </c>
      <c r="R667" t="inlineStr">
        <is>
          <t>PC-0037</t>
        </is>
      </c>
      <c r="S667" t="inlineStr">
        <is>
          <t>Bomba de recirculação modelo 01</t>
        </is>
      </c>
      <c r="T667" t="n">
        <v>1</v>
      </c>
      <c r="U667" t="n">
        <v>146</v>
      </c>
      <c r="V667">
        <f>IF(J667="","",MONTH(J667))</f>
        <v/>
      </c>
      <c r="W667">
        <f>IF(J667="","",YEAR(J667))</f>
        <v/>
      </c>
      <c r="X667" t="inlineStr">
        <is>
          <t>RotaSul</t>
        </is>
      </c>
      <c r="Y667">
        <f>IFERROR(INDEX(Rastreio!$H$2:$H$200,MATCH(X667&amp;"|"&amp;U667,Rastreio!$A$2:$A$200,0)),"")</f>
        <v/>
      </c>
    </row>
    <row r="668">
      <c r="A668">
        <f>IFERROR(INDEX(STAs!$G$2:$G$61,MATCH(P668,STAs!$F$2:$F$61,0))&amp;"","")</f>
        <v/>
      </c>
      <c r="B668" t="n">
        <v>20000893</v>
      </c>
      <c r="C668" t="inlineStr">
        <is>
          <t>Não</t>
        </is>
      </c>
      <c r="D668" t="inlineStr">
        <is>
          <t>ES</t>
        </is>
      </c>
      <c r="E668" t="inlineStr">
        <is>
          <t>SUDESTE RJ e ES</t>
        </is>
      </c>
      <c r="F668" t="inlineStr">
        <is>
          <t>Cliente C - Misturador</t>
        </is>
      </c>
      <c r="G668" t="inlineStr">
        <is>
          <t>Chopeiras</t>
        </is>
      </c>
      <c r="H668" s="10" t="n">
        <v>205</v>
      </c>
      <c r="I668" s="10">
        <f>IFERROR(T668*H668,0)</f>
        <v/>
      </c>
      <c r="J668" s="11" t="n">
        <v>46025</v>
      </c>
      <c r="K668" s="11" t="n">
        <v>46039</v>
      </c>
      <c r="L668" t="inlineStr">
        <is>
          <t>Ok. Devolvida</t>
        </is>
      </c>
      <c r="M668">
        <f>IF(L668="","",IFERROR(VLOOKUP(L668,mapGrupoStatus,2,0),"Outros"))</f>
        <v/>
      </c>
      <c r="N668">
        <f>IF(O668="","",IF(O668&lt;=30,"0-30 dias",IF(O668&lt;=60,"31-60 dias",IF(O668&lt;=90,"61-90 dias","Mais de 90 dias"))))</f>
        <v/>
      </c>
      <c r="O668">
        <f>IF(OR(M668="Pendente",M668="Em andamento"),IF(J668="","",TODAY()-J668),"")</f>
        <v/>
      </c>
      <c r="P668" t="n">
        <v>12555</v>
      </c>
      <c r="Q668" t="inlineStr">
        <is>
          <t>Cool Service Serviços (12555)</t>
        </is>
      </c>
      <c r="R668" t="inlineStr">
        <is>
          <t>PC-0031</t>
        </is>
      </c>
      <c r="S668" t="inlineStr">
        <is>
          <t>Serpentina modelo 03</t>
        </is>
      </c>
      <c r="T668" t="n">
        <v>1</v>
      </c>
      <c r="U668" t="n">
        <v>104</v>
      </c>
      <c r="V668">
        <f>IF(J668="","",MONTH(J668))</f>
        <v/>
      </c>
      <c r="W668">
        <f>IF(J668="","",YEAR(J668))</f>
        <v/>
      </c>
      <c r="X668" t="inlineStr">
        <is>
          <t>RotaSul</t>
        </is>
      </c>
      <c r="Y668">
        <f>IFERROR(INDEX(Rastreio!$H$2:$H$200,MATCH(X668&amp;"|"&amp;U668,Rastreio!$A$2:$A$200,0)),"")</f>
        <v/>
      </c>
    </row>
    <row r="669">
      <c r="A669">
        <f>IFERROR(INDEX(STAs!$G$2:$G$61,MATCH(P669,STAs!$F$2:$F$61,0))&amp;"","")</f>
        <v/>
      </c>
      <c r="B669" t="n">
        <v>20006878</v>
      </c>
      <c r="C669" t="inlineStr">
        <is>
          <t>Não</t>
        </is>
      </c>
      <c r="D669" t="inlineStr">
        <is>
          <t>AC</t>
        </is>
      </c>
      <c r="E669" t="inlineStr">
        <is>
          <t>NORTE</t>
        </is>
      </c>
      <c r="F669" t="inlineStr">
        <is>
          <t>Cliente C - Misturador</t>
        </is>
      </c>
      <c r="G669" t="inlineStr">
        <is>
          <t>Misturadores</t>
        </is>
      </c>
      <c r="H669" s="10" t="n">
        <v>60</v>
      </c>
      <c r="I669" s="10">
        <f>IFERROR(T669*H669,0)</f>
        <v/>
      </c>
      <c r="J669" s="11" t="n">
        <v>46025</v>
      </c>
      <c r="K669" s="11" t="n">
        <v>46061</v>
      </c>
      <c r="L669" t="inlineStr">
        <is>
          <t>Ok. Devolvida</t>
        </is>
      </c>
      <c r="M669">
        <f>IF(L669="","",IFERROR(VLOOKUP(L669,mapGrupoStatus,2,0),"Outros"))</f>
        <v/>
      </c>
      <c r="N669">
        <f>IF(O669="","",IF(O669&lt;=30,"0-30 dias",IF(O669&lt;=60,"31-60 dias",IF(O669&lt;=90,"61-90 dias","Mais de 90 dias"))))</f>
        <v/>
      </c>
      <c r="O669">
        <f>IF(OR(M669="Pendente",M669="Em andamento"),IF(J669="","",TODAY()-J669),"")</f>
        <v/>
      </c>
      <c r="P669" t="n">
        <v>11022</v>
      </c>
      <c r="Q669" t="inlineStr">
        <is>
          <t>Brisa Ltda (11022)</t>
        </is>
      </c>
      <c r="R669" t="inlineStr">
        <is>
          <t>PC-0048</t>
        </is>
      </c>
      <c r="S669" t="inlineStr">
        <is>
          <t>Sensor de nível modelo 04</t>
        </is>
      </c>
      <c r="T669" t="n">
        <v>1</v>
      </c>
      <c r="U669" t="n">
        <v>111</v>
      </c>
      <c r="V669">
        <f>IF(J669="","",MONTH(J669))</f>
        <v/>
      </c>
      <c r="W669">
        <f>IF(J669="","",YEAR(J669))</f>
        <v/>
      </c>
      <c r="X669" t="inlineStr">
        <is>
          <t>TransNorte</t>
        </is>
      </c>
      <c r="Y669">
        <f>IFERROR(INDEX(Rastreio!$H$2:$H$200,MATCH(X669&amp;"|"&amp;U669,Rastreio!$A$2:$A$200,0)),"")</f>
        <v/>
      </c>
    </row>
    <row r="670">
      <c r="A670">
        <f>IFERROR(INDEX(STAs!$G$2:$G$61,MATCH(P670,STAs!$F$2:$F$61,0))&amp;"","")</f>
        <v/>
      </c>
      <c r="B670" t="n">
        <v>20011092</v>
      </c>
      <c r="C670" t="inlineStr">
        <is>
          <t>Não</t>
        </is>
      </c>
      <c r="D670" t="inlineStr">
        <is>
          <t>GO</t>
        </is>
      </c>
      <c r="E670" t="inlineStr">
        <is>
          <t>CENTRO OESTE</t>
        </is>
      </c>
      <c r="F670" t="inlineStr">
        <is>
          <t>Cliente B - Chopeira</t>
        </is>
      </c>
      <c r="G670" t="inlineStr">
        <is>
          <t>Misturadores</t>
        </is>
      </c>
      <c r="H670" s="10" t="n">
        <v>255</v>
      </c>
      <c r="I670" s="10">
        <f>IFERROR(T670*H670,0)</f>
        <v/>
      </c>
      <c r="J670" s="11" t="n">
        <v>46025</v>
      </c>
      <c r="K670" s="11" t="n"/>
      <c r="L670" t="inlineStr">
        <is>
          <t>Aguardando devolução</t>
        </is>
      </c>
      <c r="M670">
        <f>IF(L670="","",IFERROR(VLOOKUP(L670,mapGrupoStatus,2,0),"Outros"))</f>
        <v/>
      </c>
      <c r="N670">
        <f>IF(O670="","",IF(O670&lt;=30,"0-30 dias",IF(O670&lt;=60,"31-60 dias",IF(O670&lt;=90,"61-90 dias","Mais de 90 dias"))))</f>
        <v/>
      </c>
      <c r="O670">
        <f>IF(OR(M670="Pendente",M670="Em andamento"),IF(J670="","",TODAY()-J670),"")</f>
        <v/>
      </c>
      <c r="P670" t="n">
        <v>11293</v>
      </c>
      <c r="Q670" t="inlineStr">
        <is>
          <t>Assistência Técnica Ltda (11293)</t>
        </is>
      </c>
      <c r="R670" t="inlineStr">
        <is>
          <t>PC-0037</t>
        </is>
      </c>
      <c r="S670" t="inlineStr">
        <is>
          <t>Bomba de recirculação modelo 01</t>
        </is>
      </c>
      <c r="T670" t="n">
        <v>1</v>
      </c>
      <c r="U670" t="inlineStr"/>
      <c r="V670">
        <f>IF(J670="","",MONTH(J670))</f>
        <v/>
      </c>
      <c r="W670">
        <f>IF(J670="","",YEAR(J670))</f>
        <v/>
      </c>
      <c r="X670" t="inlineStr"/>
      <c r="Y670">
        <f>IFERROR(INDEX(Rastreio!$H$2:$H$200,MATCH(X670&amp;"|"&amp;U670,Rastreio!$A$2:$A$200,0)),"")</f>
        <v/>
      </c>
    </row>
    <row r="671">
      <c r="A671">
        <f>IFERROR(INDEX(STAs!$G$2:$G$61,MATCH(P671,STAs!$F$2:$F$61,0))&amp;"","")</f>
        <v/>
      </c>
      <c r="B671" t="n">
        <v>20015313</v>
      </c>
      <c r="C671" t="inlineStr">
        <is>
          <t>Não</t>
        </is>
      </c>
      <c r="D671" t="inlineStr">
        <is>
          <t>SP</t>
        </is>
      </c>
      <c r="E671" t="inlineStr">
        <is>
          <t>SUDESTE SP</t>
        </is>
      </c>
      <c r="F671" t="inlineStr">
        <is>
          <t>Cliente C - Misturador</t>
        </is>
      </c>
      <c r="G671" t="inlineStr">
        <is>
          <t>Misturadores</t>
        </is>
      </c>
      <c r="H671" s="10" t="n">
        <v>200</v>
      </c>
      <c r="I671" s="10">
        <f>IFERROR(T671*H671,0)</f>
        <v/>
      </c>
      <c r="J671" s="11" t="n">
        <v>46025</v>
      </c>
      <c r="K671" s="11" t="n"/>
      <c r="L671" t="inlineStr">
        <is>
          <t>Aguardando Transporte</t>
        </is>
      </c>
      <c r="M671">
        <f>IF(L671="","",IFERROR(VLOOKUP(L671,mapGrupoStatus,2,0),"Outros"))</f>
        <v/>
      </c>
      <c r="N671">
        <f>IF(O671="","",IF(O671&lt;=30,"0-30 dias",IF(O671&lt;=60,"31-60 dias",IF(O671&lt;=90,"61-90 dias","Mais de 90 dias"))))</f>
        <v/>
      </c>
      <c r="O671">
        <f>IF(OR(M671="Pendente",M671="Em andamento"),IF(J671="","",TODAY()-J671),"")</f>
        <v/>
      </c>
      <c r="P671" t="n">
        <v>12901</v>
      </c>
      <c r="Q671" t="inlineStr">
        <is>
          <t>Frio Serviços (12901)</t>
        </is>
      </c>
      <c r="R671" t="inlineStr">
        <is>
          <t>PC-0040</t>
        </is>
      </c>
      <c r="S671" t="inlineStr">
        <is>
          <t>Motor agitador modelo 01</t>
        </is>
      </c>
      <c r="T671" t="n">
        <v>1</v>
      </c>
      <c r="U671" t="n">
        <v>124</v>
      </c>
      <c r="V671">
        <f>IF(J671="","",MONTH(J671))</f>
        <v/>
      </c>
      <c r="W671">
        <f>IF(J671="","",YEAR(J671))</f>
        <v/>
      </c>
      <c r="X671" t="inlineStr">
        <is>
          <t>TransNorte</t>
        </is>
      </c>
      <c r="Y671">
        <f>IFERROR(INDEX(Rastreio!$H$2:$H$200,MATCH(X671&amp;"|"&amp;U671,Rastreio!$A$2:$A$200,0)),"")</f>
        <v/>
      </c>
    </row>
    <row r="672">
      <c r="A672">
        <f>IFERROR(INDEX(STAs!$G$2:$G$61,MATCH(P672,STAs!$F$2:$F$61,0))&amp;"","")</f>
        <v/>
      </c>
      <c r="B672" t="n">
        <v>20015438</v>
      </c>
      <c r="C672" t="inlineStr">
        <is>
          <t>Não</t>
        </is>
      </c>
      <c r="D672" t="inlineStr">
        <is>
          <t>MS</t>
        </is>
      </c>
      <c r="E672" t="inlineStr">
        <is>
          <t>CENTRO OESTE</t>
        </is>
      </c>
      <c r="F672" t="inlineStr">
        <is>
          <t>Cliente A - Refrigerador</t>
        </is>
      </c>
      <c r="G672" t="inlineStr">
        <is>
          <t>Refrigeradores</t>
        </is>
      </c>
      <c r="H672" s="10" t="n">
        <v>190</v>
      </c>
      <c r="I672" s="10">
        <f>IFERROR(T672*H672,0)</f>
        <v/>
      </c>
      <c r="J672" s="11" t="n">
        <v>46025</v>
      </c>
      <c r="K672" s="11" t="n"/>
      <c r="L672" t="inlineStr">
        <is>
          <t>Debitar do STA</t>
        </is>
      </c>
      <c r="M672">
        <f>IF(L672="","",IFERROR(VLOOKUP(L672,mapGrupoStatus,2,0),"Outros"))</f>
        <v/>
      </c>
      <c r="N672">
        <f>IF(O672="","",IF(O672&lt;=30,"0-30 dias",IF(O672&lt;=60,"31-60 dias",IF(O672&lt;=90,"61-90 dias","Mais de 90 dias"))))</f>
        <v/>
      </c>
      <c r="O672">
        <f>IF(OR(M672="Pendente",M672="Em andamento"),IF(J672="","",TODAY()-J672),"")</f>
        <v/>
      </c>
      <c r="P672" t="n">
        <v>11726</v>
      </c>
      <c r="Q672" t="inlineStr">
        <is>
          <t>Norte Frio Refrigeração (11726)</t>
        </is>
      </c>
      <c r="R672" t="inlineStr">
        <is>
          <t>PC-0011</t>
        </is>
      </c>
      <c r="S672" t="inlineStr">
        <is>
          <t>Placa eletrônica modelo 01</t>
        </is>
      </c>
      <c r="T672" t="n">
        <v>1</v>
      </c>
      <c r="U672" t="inlineStr"/>
      <c r="V672">
        <f>IF(J672="","",MONTH(J672))</f>
        <v/>
      </c>
      <c r="W672">
        <f>IF(J672="","",YEAR(J672))</f>
        <v/>
      </c>
      <c r="X672" t="inlineStr"/>
      <c r="Y672">
        <f>IFERROR(INDEX(Rastreio!$H$2:$H$200,MATCH(X672&amp;"|"&amp;U672,Rastreio!$A$2:$A$200,0)),"")</f>
        <v/>
      </c>
    </row>
    <row r="673">
      <c r="A673">
        <f>IFERROR(INDEX(STAs!$G$2:$G$61,MATCH(P673,STAs!$F$2:$F$61,0))&amp;"","")</f>
        <v/>
      </c>
      <c r="B673" t="n">
        <v>20020925</v>
      </c>
      <c r="C673" t="inlineStr">
        <is>
          <t>Não</t>
        </is>
      </c>
      <c r="D673" t="inlineStr">
        <is>
          <t>PR</t>
        </is>
      </c>
      <c r="E673" t="inlineStr">
        <is>
          <t>SUL</t>
        </is>
      </c>
      <c r="F673" t="inlineStr">
        <is>
          <t>Cliente C - Misturador</t>
        </is>
      </c>
      <c r="G673" t="inlineStr">
        <is>
          <t>Chopeiras</t>
        </is>
      </c>
      <c r="H673" s="10" t="n">
        <v>210</v>
      </c>
      <c r="I673" s="10">
        <f>IFERROR(T673*H673,0)</f>
        <v/>
      </c>
      <c r="J673" s="11" t="n">
        <v>46025</v>
      </c>
      <c r="K673" s="11" t="n">
        <v>46032</v>
      </c>
      <c r="L673" t="inlineStr">
        <is>
          <t>Ok. Devolvida</t>
        </is>
      </c>
      <c r="M673">
        <f>IF(L673="","",IFERROR(VLOOKUP(L673,mapGrupoStatus,2,0),"Outros"))</f>
        <v/>
      </c>
      <c r="N673">
        <f>IF(O673="","",IF(O673&lt;=30,"0-30 dias",IF(O673&lt;=60,"31-60 dias",IF(O673&lt;=90,"61-90 dias","Mais de 90 dias"))))</f>
        <v/>
      </c>
      <c r="O673">
        <f>IF(OR(M673="Pendente",M673="Em andamento"),IF(J673="","",TODAY()-J673),"")</f>
        <v/>
      </c>
      <c r="P673" t="n">
        <v>11898</v>
      </c>
      <c r="Q673" t="inlineStr">
        <is>
          <t>Refrigel Express (11898)</t>
        </is>
      </c>
      <c r="R673" t="inlineStr">
        <is>
          <t>PC-0029</t>
        </is>
      </c>
      <c r="S673" t="inlineStr">
        <is>
          <t>Serpentina modelo 01</t>
        </is>
      </c>
      <c r="T673" t="n">
        <v>1</v>
      </c>
      <c r="U673" t="n">
        <v>138</v>
      </c>
      <c r="V673">
        <f>IF(J673="","",MONTH(J673))</f>
        <v/>
      </c>
      <c r="W673">
        <f>IF(J673="","",YEAR(J673))</f>
        <v/>
      </c>
      <c r="X673" t="inlineStr">
        <is>
          <t>LogExpress</t>
        </is>
      </c>
      <c r="Y673">
        <f>IFERROR(INDEX(Rastreio!$H$2:$H$200,MATCH(X673&amp;"|"&amp;U673,Rastreio!$A$2:$A$200,0)),"")</f>
        <v/>
      </c>
    </row>
    <row r="674">
      <c r="A674">
        <f>IFERROR(INDEX(STAs!$G$2:$G$61,MATCH(P674,STAs!$F$2:$F$61,0))&amp;"","")</f>
        <v/>
      </c>
      <c r="B674" t="n">
        <v>20022542</v>
      </c>
      <c r="C674" t="inlineStr">
        <is>
          <t>Não</t>
        </is>
      </c>
      <c r="D674" t="inlineStr">
        <is>
          <t>ES</t>
        </is>
      </c>
      <c r="E674" t="inlineStr">
        <is>
          <t>SUDESTE RJ e ES</t>
        </is>
      </c>
      <c r="F674" t="inlineStr">
        <is>
          <t>Cliente C - Misturador</t>
        </is>
      </c>
      <c r="G674" t="inlineStr">
        <is>
          <t>Misturadores</t>
        </is>
      </c>
      <c r="H674" s="10" t="n">
        <v>60</v>
      </c>
      <c r="I674" s="10">
        <f>IFERROR(T674*H674,0)</f>
        <v/>
      </c>
      <c r="J674" s="11" t="n">
        <v>46025</v>
      </c>
      <c r="K674" s="11" t="n">
        <v>46082</v>
      </c>
      <c r="L674" t="inlineStr">
        <is>
          <t>Ok. Devolvida</t>
        </is>
      </c>
      <c r="M674">
        <f>IF(L674="","",IFERROR(VLOOKUP(L674,mapGrupoStatus,2,0),"Outros"))</f>
        <v/>
      </c>
      <c r="N674">
        <f>IF(O674="","",IF(O674&lt;=30,"0-30 dias",IF(O674&lt;=60,"31-60 dias",IF(O674&lt;=90,"61-90 dias","Mais de 90 dias"))))</f>
        <v/>
      </c>
      <c r="O674">
        <f>IF(OR(M674="Pendente",M674="Em andamento"),IF(J674="","",TODAY()-J674),"")</f>
        <v/>
      </c>
      <c r="P674" t="n">
        <v>11396</v>
      </c>
      <c r="Q674" t="inlineStr">
        <is>
          <t>Frio Manutenção (11396)</t>
        </is>
      </c>
      <c r="R674" t="inlineStr">
        <is>
          <t>PC-0048</t>
        </is>
      </c>
      <c r="S674" t="inlineStr">
        <is>
          <t>Sensor de nível modelo 04</t>
        </is>
      </c>
      <c r="T674" t="n">
        <v>1</v>
      </c>
      <c r="U674" t="n">
        <v>137</v>
      </c>
      <c r="V674">
        <f>IF(J674="","",MONTH(J674))</f>
        <v/>
      </c>
      <c r="W674">
        <f>IF(J674="","",YEAR(J674))</f>
        <v/>
      </c>
      <c r="X674" t="inlineStr">
        <is>
          <t>ViaCargo</t>
        </is>
      </c>
      <c r="Y674">
        <f>IFERROR(INDEX(Rastreio!$H$2:$H$200,MATCH(X674&amp;"|"&amp;U674,Rastreio!$A$2:$A$200,0)),"")</f>
        <v/>
      </c>
    </row>
    <row r="675">
      <c r="A675">
        <f>IFERROR(INDEX(STAs!$G$2:$G$61,MATCH(P675,STAs!$F$2:$F$61,0))&amp;"","")</f>
        <v/>
      </c>
      <c r="B675" t="n">
        <v>20032371</v>
      </c>
      <c r="C675" t="inlineStr">
        <is>
          <t>Não</t>
        </is>
      </c>
      <c r="D675" t="inlineStr">
        <is>
          <t>RO</t>
        </is>
      </c>
      <c r="E675" t="inlineStr">
        <is>
          <t>NORTE</t>
        </is>
      </c>
      <c r="F675" t="inlineStr">
        <is>
          <t>Cliente A - Refrigerador</t>
        </is>
      </c>
      <c r="G675" t="inlineStr">
        <is>
          <t>Refrigeradores</t>
        </is>
      </c>
      <c r="H675" s="10" t="n">
        <v>190</v>
      </c>
      <c r="I675" s="10">
        <f>IFERROR(T675*H675,0)</f>
        <v/>
      </c>
      <c r="J675" s="11" t="n">
        <v>46025</v>
      </c>
      <c r="K675" s="11" t="n"/>
      <c r="L675" t="inlineStr">
        <is>
          <t>Em transporte</t>
        </is>
      </c>
      <c r="M675">
        <f>IF(L675="","",IFERROR(VLOOKUP(L675,mapGrupoStatus,2,0),"Outros"))</f>
        <v/>
      </c>
      <c r="N675">
        <f>IF(O675="","",IF(O675&lt;=30,"0-30 dias",IF(O675&lt;=60,"31-60 dias",IF(O675&lt;=90,"61-90 dias","Mais de 90 dias"))))</f>
        <v/>
      </c>
      <c r="O675">
        <f>IF(OR(M675="Pendente",M675="Em andamento"),IF(J675="","",TODAY()-J675),"")</f>
        <v/>
      </c>
      <c r="P675" t="n">
        <v>10172</v>
      </c>
      <c r="Q675" t="inlineStr">
        <is>
          <t>Frigo Serviços (10172)</t>
        </is>
      </c>
      <c r="R675" t="inlineStr">
        <is>
          <t>PC-0014</t>
        </is>
      </c>
      <c r="S675" t="inlineStr">
        <is>
          <t>Placa eletrônica modelo 04</t>
        </is>
      </c>
      <c r="T675" t="n">
        <v>1</v>
      </c>
      <c r="U675" t="n">
        <v>156</v>
      </c>
      <c r="V675">
        <f>IF(J675="","",MONTH(J675))</f>
        <v/>
      </c>
      <c r="W675">
        <f>IF(J675="","",YEAR(J675))</f>
        <v/>
      </c>
      <c r="X675" t="inlineStr">
        <is>
          <t>RotaSul</t>
        </is>
      </c>
      <c r="Y675">
        <f>IFERROR(INDEX(Rastreio!$H$2:$H$200,MATCH(X675&amp;"|"&amp;U675,Rastreio!$A$2:$A$200,0)),"")</f>
        <v/>
      </c>
    </row>
    <row r="676">
      <c r="A676">
        <f>IFERROR(INDEX(STAs!$G$2:$G$61,MATCH(P676,STAs!$F$2:$F$61,0))&amp;"","")</f>
        <v/>
      </c>
      <c r="B676" t="n">
        <v>20036144</v>
      </c>
      <c r="C676" t="inlineStr">
        <is>
          <t>Não</t>
        </is>
      </c>
      <c r="D676" t="inlineStr">
        <is>
          <t>DF</t>
        </is>
      </c>
      <c r="E676" t="inlineStr">
        <is>
          <t>CENTRO OESTE</t>
        </is>
      </c>
      <c r="F676" t="inlineStr">
        <is>
          <t>Cliente A - Refrigerador</t>
        </is>
      </c>
      <c r="G676" t="inlineStr">
        <is>
          <t>Refrigeradores</t>
        </is>
      </c>
      <c r="H676" s="10" t="n">
        <v>70</v>
      </c>
      <c r="I676" s="10">
        <f>IFERROR(T676*H676,0)</f>
        <v/>
      </c>
      <c r="J676" s="11" t="n">
        <v>46025</v>
      </c>
      <c r="K676" s="11" t="n">
        <v>46053</v>
      </c>
      <c r="L676" t="inlineStr">
        <is>
          <t>Ok. Devolvida</t>
        </is>
      </c>
      <c r="M676">
        <f>IF(L676="","",IFERROR(VLOOKUP(L676,mapGrupoStatus,2,0),"Outros"))</f>
        <v/>
      </c>
      <c r="N676">
        <f>IF(O676="","",IF(O676&lt;=30,"0-30 dias",IF(O676&lt;=60,"31-60 dias",IF(O676&lt;=90,"61-90 dias","Mais de 90 dias"))))</f>
        <v/>
      </c>
      <c r="O676">
        <f>IF(OR(M676="Pendente",M676="Em andamento"),IF(J676="","",TODAY()-J676),"")</f>
        <v/>
      </c>
      <c r="P676" t="n">
        <v>10021</v>
      </c>
      <c r="Q676" t="inlineStr">
        <is>
          <t>Termotec Técnica (10021)</t>
        </is>
      </c>
      <c r="R676" t="inlineStr">
        <is>
          <t>PC-0009</t>
        </is>
      </c>
      <c r="S676" t="inlineStr">
        <is>
          <t>Ventilador modelo 03</t>
        </is>
      </c>
      <c r="T676" t="n">
        <v>1</v>
      </c>
      <c r="U676" t="n">
        <v>164</v>
      </c>
      <c r="V676">
        <f>IF(J676="","",MONTH(J676))</f>
        <v/>
      </c>
      <c r="W676">
        <f>IF(J676="","",YEAR(J676))</f>
        <v/>
      </c>
      <c r="X676" t="inlineStr">
        <is>
          <t>LogExpress</t>
        </is>
      </c>
      <c r="Y676">
        <f>IFERROR(INDEX(Rastreio!$H$2:$H$200,MATCH(X676&amp;"|"&amp;U676,Rastreio!$A$2:$A$200,0)),"")</f>
        <v/>
      </c>
    </row>
    <row r="677">
      <c r="A677">
        <f>IFERROR(INDEX(STAs!$G$2:$G$61,MATCH(P677,STAs!$F$2:$F$61,0))&amp;"","")</f>
        <v/>
      </c>
      <c r="B677" t="n">
        <v>20001136</v>
      </c>
      <c r="C677" t="inlineStr">
        <is>
          <t>Não</t>
        </is>
      </c>
      <c r="D677" t="inlineStr">
        <is>
          <t>BA</t>
        </is>
      </c>
      <c r="E677" t="inlineStr">
        <is>
          <t>NORDESTE</t>
        </is>
      </c>
      <c r="F677" t="inlineStr">
        <is>
          <t>Cliente A - Refrigerador</t>
        </is>
      </c>
      <c r="G677" t="inlineStr">
        <is>
          <t>Chopeiras</t>
        </is>
      </c>
      <c r="H677" s="10" t="n">
        <v>85</v>
      </c>
      <c r="I677" s="10">
        <f>IFERROR(T677*H677,0)</f>
        <v/>
      </c>
      <c r="J677" s="11" t="n">
        <v>46026</v>
      </c>
      <c r="K677" s="11" t="n">
        <v>46067</v>
      </c>
      <c r="L677" t="inlineStr">
        <is>
          <t>Ok. Devolvida</t>
        </is>
      </c>
      <c r="M677">
        <f>IF(L677="","",IFERROR(VLOOKUP(L677,mapGrupoStatus,2,0),"Outros"))</f>
        <v/>
      </c>
      <c r="N677">
        <f>IF(O677="","",IF(O677&lt;=30,"0-30 dias",IF(O677&lt;=60,"31-60 dias",IF(O677&lt;=90,"61-90 dias","Mais de 90 dias"))))</f>
        <v/>
      </c>
      <c r="O677">
        <f>IF(OR(M677="Pendente",M677="Em andamento"),IF(J677="","",TODAY()-J677),"")</f>
        <v/>
      </c>
      <c r="P677" t="n">
        <v>11244</v>
      </c>
      <c r="Q677" t="inlineStr">
        <is>
          <t>Refrigeração Manutenção (11244)</t>
        </is>
      </c>
      <c r="R677" t="inlineStr">
        <is>
          <t>PC-0028</t>
        </is>
      </c>
      <c r="S677" t="inlineStr">
        <is>
          <t>Torneira de chopp modelo 03</t>
        </is>
      </c>
      <c r="T677" t="n">
        <v>1</v>
      </c>
      <c r="U677" t="n">
        <v>104</v>
      </c>
      <c r="V677">
        <f>IF(J677="","",MONTH(J677))</f>
        <v/>
      </c>
      <c r="W677">
        <f>IF(J677="","",YEAR(J677))</f>
        <v/>
      </c>
      <c r="X677" t="inlineStr">
        <is>
          <t>EntregaJá</t>
        </is>
      </c>
      <c r="Y677">
        <f>IFERROR(INDEX(Rastreio!$H$2:$H$200,MATCH(X677&amp;"|"&amp;U677,Rastreio!$A$2:$A$200,0)),"")</f>
        <v/>
      </c>
    </row>
    <row r="678">
      <c r="A678">
        <f>IFERROR(INDEX(STAs!$G$2:$G$61,MATCH(P678,STAs!$F$2:$F$61,0))&amp;"","")</f>
        <v/>
      </c>
      <c r="B678" t="n">
        <v>20013518</v>
      </c>
      <c r="C678" t="inlineStr">
        <is>
          <t>Não</t>
        </is>
      </c>
      <c r="D678" t="inlineStr">
        <is>
          <t>AP</t>
        </is>
      </c>
      <c r="E678" t="inlineStr">
        <is>
          <t>NORTE</t>
        </is>
      </c>
      <c r="F678" t="inlineStr">
        <is>
          <t>Cliente C - Misturador</t>
        </is>
      </c>
      <c r="G678" t="inlineStr">
        <is>
          <t>Misturadores</t>
        </is>
      </c>
      <c r="H678" s="10" t="n">
        <v>255</v>
      </c>
      <c r="I678" s="10">
        <f>IFERROR(T678*H678,0)</f>
        <v/>
      </c>
      <c r="J678" s="11" t="n">
        <v>46026</v>
      </c>
      <c r="K678" s="11" t="n"/>
      <c r="L678" t="inlineStr">
        <is>
          <t>Não Devolve-Norte</t>
        </is>
      </c>
      <c r="M678">
        <f>IF(L678="","",IFERROR(VLOOKUP(L678,mapGrupoStatus,2,0),"Outros"))</f>
        <v/>
      </c>
      <c r="N678">
        <f>IF(O678="","",IF(O678&lt;=30,"0-30 dias",IF(O678&lt;=60,"31-60 dias",IF(O678&lt;=90,"61-90 dias","Mais de 90 dias"))))</f>
        <v/>
      </c>
      <c r="O678">
        <f>IF(OR(M678="Pendente",M678="Em andamento"),IF(J678="","",TODAY()-J678),"")</f>
        <v/>
      </c>
      <c r="P678" t="n">
        <v>11859</v>
      </c>
      <c r="Q678" t="inlineStr">
        <is>
          <t>Ice Tech Serviços (11859)</t>
        </is>
      </c>
      <c r="R678" t="inlineStr">
        <is>
          <t>PC-0039</t>
        </is>
      </c>
      <c r="S678" t="inlineStr">
        <is>
          <t>Bomba de recirculação modelo 03</t>
        </is>
      </c>
      <c r="T678" t="n">
        <v>1</v>
      </c>
      <c r="U678" t="inlineStr"/>
      <c r="V678">
        <f>IF(J678="","",MONTH(J678))</f>
        <v/>
      </c>
      <c r="W678">
        <f>IF(J678="","",YEAR(J678))</f>
        <v/>
      </c>
      <c r="X678" t="inlineStr"/>
      <c r="Y678">
        <f>IFERROR(INDEX(Rastreio!$H$2:$H$200,MATCH(X678&amp;"|"&amp;U678,Rastreio!$A$2:$A$200,0)),"")</f>
        <v/>
      </c>
    </row>
    <row r="679">
      <c r="A679">
        <f>IFERROR(INDEX(STAs!$G$2:$G$61,MATCH(P679,STAs!$F$2:$F$61,0))&amp;"","")</f>
        <v/>
      </c>
      <c r="B679" t="n">
        <v>20037855</v>
      </c>
      <c r="C679" t="inlineStr">
        <is>
          <t>Não</t>
        </is>
      </c>
      <c r="D679" t="inlineStr">
        <is>
          <t>SP</t>
        </is>
      </c>
      <c r="E679" t="inlineStr">
        <is>
          <t>SUDESTE SP</t>
        </is>
      </c>
      <c r="F679" t="inlineStr">
        <is>
          <t>Cliente A - Refrigerador</t>
        </is>
      </c>
      <c r="G679" t="inlineStr">
        <is>
          <t>Refrigeradores</t>
        </is>
      </c>
      <c r="H679" s="10" t="n">
        <v>50</v>
      </c>
      <c r="I679" s="10">
        <f>IFERROR(T679*H679,0)</f>
        <v/>
      </c>
      <c r="J679" s="11" t="n">
        <v>46026</v>
      </c>
      <c r="K679" s="11" t="n"/>
      <c r="L679" t="inlineStr">
        <is>
          <t>Aguardando Transporte</t>
        </is>
      </c>
      <c r="M679">
        <f>IF(L679="","",IFERROR(VLOOKUP(L679,mapGrupoStatus,2,0),"Outros"))</f>
        <v/>
      </c>
      <c r="N679">
        <f>IF(O679="","",IF(O679&lt;=30,"0-30 dias",IF(O679&lt;=60,"31-60 dias",IF(O679&lt;=90,"61-90 dias","Mais de 90 dias"))))</f>
        <v/>
      </c>
      <c r="O679">
        <f>IF(OR(M679="Pendente",M679="Em andamento"),IF(J679="","",TODAY()-J679),"")</f>
        <v/>
      </c>
      <c r="P679" t="n">
        <v>11710</v>
      </c>
      <c r="Q679" t="inlineStr">
        <is>
          <t>Brisa &amp; Cia (11710)</t>
        </is>
      </c>
      <c r="R679" t="inlineStr">
        <is>
          <t>PC-0006</t>
        </is>
      </c>
      <c r="S679" t="inlineStr">
        <is>
          <t>Termostato modelo 03</t>
        </is>
      </c>
      <c r="T679" t="n">
        <v>1</v>
      </c>
      <c r="U679" t="n">
        <v>156</v>
      </c>
      <c r="V679">
        <f>IF(J679="","",MONTH(J679))</f>
        <v/>
      </c>
      <c r="W679">
        <f>IF(J679="","",YEAR(J679))</f>
        <v/>
      </c>
      <c r="X679" t="inlineStr">
        <is>
          <t>EntregaJá</t>
        </is>
      </c>
      <c r="Y679">
        <f>IFERROR(INDEX(Rastreio!$H$2:$H$200,MATCH(X679&amp;"|"&amp;U679,Rastreio!$A$2:$A$200,0)),"")</f>
        <v/>
      </c>
    </row>
    <row r="680">
      <c r="A680">
        <f>IFERROR(INDEX(STAs!$G$2:$G$61,MATCH(P680,STAs!$F$2:$F$61,0))&amp;"","")</f>
        <v/>
      </c>
      <c r="B680" t="n">
        <v>20012761</v>
      </c>
      <c r="C680" t="inlineStr">
        <is>
          <t>Não</t>
        </is>
      </c>
      <c r="D680" t="inlineStr">
        <is>
          <t>PR</t>
        </is>
      </c>
      <c r="E680" t="inlineStr">
        <is>
          <t>SUL</t>
        </is>
      </c>
      <c r="F680" t="inlineStr">
        <is>
          <t>Cliente C - Misturador</t>
        </is>
      </c>
      <c r="G680" t="inlineStr">
        <is>
          <t>Misturadores</t>
        </is>
      </c>
      <c r="H680" s="10" t="n">
        <v>60</v>
      </c>
      <c r="I680" s="10">
        <f>IFERROR(T680*H680,0)</f>
        <v/>
      </c>
      <c r="J680" s="11" t="n">
        <v>46027</v>
      </c>
      <c r="K680" s="11" t="n">
        <v>46049</v>
      </c>
      <c r="L680" t="inlineStr">
        <is>
          <t>Ok. Devolvida</t>
        </is>
      </c>
      <c r="M680">
        <f>IF(L680="","",IFERROR(VLOOKUP(L680,mapGrupoStatus,2,0),"Outros"))</f>
        <v/>
      </c>
      <c r="N680">
        <f>IF(O680="","",IF(O680&lt;=30,"0-30 dias",IF(O680&lt;=60,"31-60 dias",IF(O680&lt;=90,"61-90 dias","Mais de 90 dias"))))</f>
        <v/>
      </c>
      <c r="O680">
        <f>IF(OR(M680="Pendente",M680="Em andamento"),IF(J680="","",TODAY()-J680),"")</f>
        <v/>
      </c>
      <c r="P680" t="n">
        <v>11898</v>
      </c>
      <c r="Q680" t="inlineStr">
        <is>
          <t>Refrigel Express (11898)</t>
        </is>
      </c>
      <c r="R680" t="inlineStr">
        <is>
          <t>PC-0048</t>
        </is>
      </c>
      <c r="S680" t="inlineStr">
        <is>
          <t>Sensor de nível modelo 04</t>
        </is>
      </c>
      <c r="T680" t="n">
        <v>1</v>
      </c>
      <c r="U680" t="n">
        <v>120</v>
      </c>
      <c r="V680">
        <f>IF(J680="","",MONTH(J680))</f>
        <v/>
      </c>
      <c r="W680">
        <f>IF(J680="","",YEAR(J680))</f>
        <v/>
      </c>
      <c r="X680" t="inlineStr">
        <is>
          <t>RotaSul</t>
        </is>
      </c>
      <c r="Y680">
        <f>IFERROR(INDEX(Rastreio!$H$2:$H$200,MATCH(X680&amp;"|"&amp;U680,Rastreio!$A$2:$A$200,0)),"")</f>
        <v/>
      </c>
    </row>
    <row r="681">
      <c r="A681">
        <f>IFERROR(INDEX(STAs!$G$2:$G$61,MATCH(P681,STAs!$F$2:$F$61,0))&amp;"","")</f>
        <v/>
      </c>
      <c r="B681" t="n">
        <v>20017375</v>
      </c>
      <c r="C681" t="inlineStr">
        <is>
          <t>Não</t>
        </is>
      </c>
      <c r="D681" t="inlineStr">
        <is>
          <t>RO</t>
        </is>
      </c>
      <c r="E681" t="inlineStr">
        <is>
          <t>NORTE</t>
        </is>
      </c>
      <c r="F681" t="inlineStr">
        <is>
          <t>Cliente A - Refrigerador</t>
        </is>
      </c>
      <c r="G681" t="inlineStr">
        <is>
          <t>Misturadores</t>
        </is>
      </c>
      <c r="H681" s="10" t="n">
        <v>35</v>
      </c>
      <c r="I681" s="10">
        <f>IFERROR(T681*H681,0)</f>
        <v/>
      </c>
      <c r="J681" s="11" t="n">
        <v>46027</v>
      </c>
      <c r="K681" s="11" t="n"/>
      <c r="L681" t="inlineStr">
        <is>
          <t>Não Devolve-Norte</t>
        </is>
      </c>
      <c r="M681">
        <f>IF(L681="","",IFERROR(VLOOKUP(L681,mapGrupoStatus,2,0),"Outros"))</f>
        <v/>
      </c>
      <c r="N681">
        <f>IF(O681="","",IF(O681&lt;=30,"0-30 dias",IF(O681&lt;=60,"31-60 dias",IF(O681&lt;=90,"61-90 dias","Mais de 90 dias"))))</f>
        <v/>
      </c>
      <c r="O681">
        <f>IF(OR(M681="Pendente",M681="Em andamento"),IF(J681="","",TODAY()-J681),"")</f>
        <v/>
      </c>
      <c r="P681" t="n">
        <v>10172</v>
      </c>
      <c r="Q681" t="inlineStr">
        <is>
          <t>Frigo Serviços (10172)</t>
        </is>
      </c>
      <c r="R681" t="inlineStr">
        <is>
          <t>PC-0043</t>
        </is>
      </c>
      <c r="S681" t="inlineStr">
        <is>
          <t>Bico dosador modelo 02</t>
        </is>
      </c>
      <c r="T681" t="n">
        <v>2</v>
      </c>
      <c r="U681" t="inlineStr"/>
      <c r="V681">
        <f>IF(J681="","",MONTH(J681))</f>
        <v/>
      </c>
      <c r="W681">
        <f>IF(J681="","",YEAR(J681))</f>
        <v/>
      </c>
      <c r="X681" t="inlineStr"/>
      <c r="Y681">
        <f>IFERROR(INDEX(Rastreio!$H$2:$H$200,MATCH(X681&amp;"|"&amp;U681,Rastreio!$A$2:$A$200,0)),"")</f>
        <v/>
      </c>
    </row>
    <row r="682">
      <c r="A682">
        <f>IFERROR(INDEX(STAs!$G$2:$G$61,MATCH(P682,STAs!$F$2:$F$61,0))&amp;"","")</f>
        <v/>
      </c>
      <c r="B682" t="n">
        <v>20020297</v>
      </c>
      <c r="C682" t="inlineStr">
        <is>
          <t>Não</t>
        </is>
      </c>
      <c r="D682" t="inlineStr">
        <is>
          <t>RR</t>
        </is>
      </c>
      <c r="E682" t="inlineStr">
        <is>
          <t>NORTE</t>
        </is>
      </c>
      <c r="F682" t="inlineStr">
        <is>
          <t>Cliente A - Refrigerador</t>
        </is>
      </c>
      <c r="G682" t="inlineStr">
        <is>
          <t>Misturadores</t>
        </is>
      </c>
      <c r="H682" s="10" t="n">
        <v>50</v>
      </c>
      <c r="I682" s="10">
        <f>IFERROR(T682*H682,0)</f>
        <v/>
      </c>
      <c r="J682" s="11" t="n">
        <v>46027</v>
      </c>
      <c r="K682" s="11" t="n"/>
      <c r="L682" t="inlineStr">
        <is>
          <t>Aguardando devolução</t>
        </is>
      </c>
      <c r="M682">
        <f>IF(L682="","",IFERROR(VLOOKUP(L682,mapGrupoStatus,2,0),"Outros"))</f>
        <v/>
      </c>
      <c r="N682">
        <f>IF(O682="","",IF(O682&lt;=30,"0-30 dias",IF(O682&lt;=60,"31-60 dias",IF(O682&lt;=90,"61-90 dias","Mais de 90 dias"))))</f>
        <v/>
      </c>
      <c r="O682">
        <f>IF(OR(M682="Pendente",M682="Em andamento"),IF(J682="","",TODAY()-J682),"")</f>
        <v/>
      </c>
      <c r="P682" t="n">
        <v>11818</v>
      </c>
      <c r="Q682" t="inlineStr">
        <is>
          <t>Termotec Ltda (11818)</t>
        </is>
      </c>
      <c r="R682" t="inlineStr">
        <is>
          <t>PC-0044</t>
        </is>
      </c>
      <c r="S682" t="inlineStr">
        <is>
          <t>Bico dosador modelo 03</t>
        </is>
      </c>
      <c r="T682" t="n">
        <v>1</v>
      </c>
      <c r="U682" t="inlineStr"/>
      <c r="V682">
        <f>IF(J682="","",MONTH(J682))</f>
        <v/>
      </c>
      <c r="W682">
        <f>IF(J682="","",YEAR(J682))</f>
        <v/>
      </c>
      <c r="X682" t="inlineStr"/>
      <c r="Y682">
        <f>IFERROR(INDEX(Rastreio!$H$2:$H$200,MATCH(X682&amp;"|"&amp;U682,Rastreio!$A$2:$A$200,0)),"")</f>
        <v/>
      </c>
    </row>
    <row r="683">
      <c r="A683">
        <f>IFERROR(INDEX(STAs!$G$2:$G$61,MATCH(P683,STAs!$F$2:$F$61,0))&amp;"","")</f>
        <v/>
      </c>
      <c r="B683" t="n">
        <v>20036684</v>
      </c>
      <c r="C683" t="inlineStr">
        <is>
          <t>Não</t>
        </is>
      </c>
      <c r="D683" t="inlineStr">
        <is>
          <t>RS</t>
        </is>
      </c>
      <c r="E683" t="inlineStr">
        <is>
          <t>SUL</t>
        </is>
      </c>
      <c r="F683" t="inlineStr">
        <is>
          <t>Cliente B - Chopeira</t>
        </is>
      </c>
      <c r="G683" t="inlineStr">
        <is>
          <t>Refrigeradores</t>
        </is>
      </c>
      <c r="H683" s="10" t="n">
        <v>35</v>
      </c>
      <c r="I683" s="10">
        <f>IFERROR(T683*H683,0)</f>
        <v/>
      </c>
      <c r="J683" s="11" t="n">
        <v>46027</v>
      </c>
      <c r="K683" s="11" t="n">
        <v>46052</v>
      </c>
      <c r="L683" t="inlineStr">
        <is>
          <t>Ok. Devolvida</t>
        </is>
      </c>
      <c r="M683">
        <f>IF(L683="","",IFERROR(VLOOKUP(L683,mapGrupoStatus,2,0),"Outros"))</f>
        <v/>
      </c>
      <c r="N683">
        <f>IF(O683="","",IF(O683&lt;=30,"0-30 dias",IF(O683&lt;=60,"31-60 dias",IF(O683&lt;=90,"61-90 dias","Mais de 90 dias"))))</f>
        <v/>
      </c>
      <c r="O683">
        <f>IF(OR(M683="Pendente",M683="Em andamento"),IF(J683="","",TODAY()-J683),"")</f>
        <v/>
      </c>
      <c r="P683" t="n">
        <v>11459</v>
      </c>
      <c r="Q683" t="inlineStr">
        <is>
          <t>Frio ME (11459)</t>
        </is>
      </c>
      <c r="R683" t="inlineStr">
        <is>
          <t>PC-0024</t>
        </is>
      </c>
      <c r="S683" t="inlineStr">
        <is>
          <t>Relé de partida modelo 02</t>
        </is>
      </c>
      <c r="T683" t="n">
        <v>1</v>
      </c>
      <c r="U683" t="n">
        <v>151</v>
      </c>
      <c r="V683">
        <f>IF(J683="","",MONTH(J683))</f>
        <v/>
      </c>
      <c r="W683">
        <f>IF(J683="","",YEAR(J683))</f>
        <v/>
      </c>
      <c r="X683" t="inlineStr">
        <is>
          <t>EntregaJá</t>
        </is>
      </c>
      <c r="Y683">
        <f>IFERROR(INDEX(Rastreio!$H$2:$H$200,MATCH(X683&amp;"|"&amp;U683,Rastreio!$A$2:$A$200,0)),"")</f>
        <v/>
      </c>
    </row>
    <row r="684">
      <c r="A684">
        <f>IFERROR(INDEX(STAs!$G$2:$G$61,MATCH(P684,STAs!$F$2:$F$61,0))&amp;"","")</f>
        <v/>
      </c>
      <c r="B684" t="n">
        <v>20000485</v>
      </c>
      <c r="C684" t="inlineStr">
        <is>
          <t>Não</t>
        </is>
      </c>
      <c r="D684" t="inlineStr">
        <is>
          <t>PB</t>
        </is>
      </c>
      <c r="E684" t="inlineStr">
        <is>
          <t>NORDESTE</t>
        </is>
      </c>
      <c r="F684" t="inlineStr">
        <is>
          <t>Cliente C - Misturador</t>
        </is>
      </c>
      <c r="G684" t="inlineStr">
        <is>
          <t>Refrigeradores</t>
        </is>
      </c>
      <c r="H684" s="10" t="n">
        <v>35</v>
      </c>
      <c r="I684" s="10">
        <f>IFERROR(T684*H684,0)</f>
        <v/>
      </c>
      <c r="J684" s="11" t="n">
        <v>46028</v>
      </c>
      <c r="K684" s="11" t="n">
        <v>46081</v>
      </c>
      <c r="L684" t="inlineStr">
        <is>
          <t>Ok. Devolvida</t>
        </is>
      </c>
      <c r="M684">
        <f>IF(L684="","",IFERROR(VLOOKUP(L684,mapGrupoStatus,2,0),"Outros"))</f>
        <v/>
      </c>
      <c r="N684">
        <f>IF(O684="","",IF(O684&lt;=30,"0-30 dias",IF(O684&lt;=60,"31-60 dias",IF(O684&lt;=90,"61-90 dias","Mais de 90 dias"))))</f>
        <v/>
      </c>
      <c r="O684">
        <f>IF(OR(M684="Pendente",M684="Em andamento"),IF(J684="","",TODAY()-J684),"")</f>
        <v/>
      </c>
      <c r="P684" t="n">
        <v>11741</v>
      </c>
      <c r="Q684" t="inlineStr">
        <is>
          <t>Clima Refrigeração (11741)</t>
        </is>
      </c>
      <c r="R684" t="inlineStr">
        <is>
          <t>PC-0020</t>
        </is>
      </c>
      <c r="S684" t="inlineStr">
        <is>
          <t>Gaxeta da porta modelo 03</t>
        </is>
      </c>
      <c r="T684" t="n">
        <v>1</v>
      </c>
      <c r="U684" t="n">
        <v>100</v>
      </c>
      <c r="V684">
        <f>IF(J684="","",MONTH(J684))</f>
        <v/>
      </c>
      <c r="W684">
        <f>IF(J684="","",YEAR(J684))</f>
        <v/>
      </c>
      <c r="X684" t="inlineStr">
        <is>
          <t>RotaSul</t>
        </is>
      </c>
      <c r="Y684">
        <f>IFERROR(INDEX(Rastreio!$H$2:$H$200,MATCH(X684&amp;"|"&amp;U684,Rastreio!$A$2:$A$200,0)),"")</f>
        <v/>
      </c>
    </row>
    <row r="685">
      <c r="A685">
        <f>IFERROR(INDEX(STAs!$G$2:$G$61,MATCH(P685,STAs!$F$2:$F$61,0))&amp;"","")</f>
        <v/>
      </c>
      <c r="B685" t="n">
        <v>20003503</v>
      </c>
      <c r="C685" t="inlineStr">
        <is>
          <t>Não</t>
        </is>
      </c>
      <c r="D685" t="inlineStr">
        <is>
          <t>MG</t>
        </is>
      </c>
      <c r="E685" t="inlineStr">
        <is>
          <t>SUDESTE MG</t>
        </is>
      </c>
      <c r="F685" t="inlineStr">
        <is>
          <t>Cliente A - Refrigerador</t>
        </is>
      </c>
      <c r="G685" t="inlineStr">
        <is>
          <t>Misturadores</t>
        </is>
      </c>
      <c r="H685" s="10" t="n">
        <v>200</v>
      </c>
      <c r="I685" s="10">
        <f>IFERROR(T685*H685,0)</f>
        <v/>
      </c>
      <c r="J685" s="11" t="n">
        <v>46028</v>
      </c>
      <c r="K685" s="11" t="n"/>
      <c r="L685" t="inlineStr">
        <is>
          <t>Não Devolve-Norte</t>
        </is>
      </c>
      <c r="M685">
        <f>IF(L685="","",IFERROR(VLOOKUP(L685,mapGrupoStatus,2,0),"Outros"))</f>
        <v/>
      </c>
      <c r="N685">
        <f>IF(O685="","",IF(O685&lt;=30,"0-30 dias",IF(O685&lt;=60,"31-60 dias",IF(O685&lt;=90,"61-90 dias","Mais de 90 dias"))))</f>
        <v/>
      </c>
      <c r="O685">
        <f>IF(OR(M685="Pendente",M685="Em andamento"),IF(J685="","",TODAY()-J685),"")</f>
        <v/>
      </c>
      <c r="P685" t="n">
        <v>12689</v>
      </c>
      <c r="Q685" t="inlineStr">
        <is>
          <t>Norte Frio Manutenção (12689)</t>
        </is>
      </c>
      <c r="R685" t="inlineStr">
        <is>
          <t>PC-0040</t>
        </is>
      </c>
      <c r="S685" t="inlineStr">
        <is>
          <t>Motor agitador modelo 01</t>
        </is>
      </c>
      <c r="T685" t="n">
        <v>2</v>
      </c>
      <c r="U685" t="inlineStr"/>
      <c r="V685">
        <f>IF(J685="","",MONTH(J685))</f>
        <v/>
      </c>
      <c r="W685">
        <f>IF(J685="","",YEAR(J685))</f>
        <v/>
      </c>
      <c r="X685" t="inlineStr"/>
      <c r="Y685">
        <f>IFERROR(INDEX(Rastreio!$H$2:$H$200,MATCH(X685&amp;"|"&amp;U685,Rastreio!$A$2:$A$200,0)),"")</f>
        <v/>
      </c>
    </row>
    <row r="686">
      <c r="A686">
        <f>IFERROR(INDEX(STAs!$G$2:$G$61,MATCH(P686,STAs!$F$2:$F$61,0))&amp;"","")</f>
        <v/>
      </c>
      <c r="B686" t="n">
        <v>20006813</v>
      </c>
      <c r="C686" t="inlineStr">
        <is>
          <t>Não</t>
        </is>
      </c>
      <c r="D686" t="inlineStr">
        <is>
          <t>SP</t>
        </is>
      </c>
      <c r="E686" t="inlineStr">
        <is>
          <t>SUDESTE SP</t>
        </is>
      </c>
      <c r="F686" t="inlineStr">
        <is>
          <t>Cliente A - Refrigerador</t>
        </is>
      </c>
      <c r="G686" t="inlineStr">
        <is>
          <t>Refrigeradores</t>
        </is>
      </c>
      <c r="H686" s="10" t="n">
        <v>25</v>
      </c>
      <c r="I686" s="10">
        <f>IFERROR(T686*H686,0)</f>
        <v/>
      </c>
      <c r="J686" s="11" t="n">
        <v>46028</v>
      </c>
      <c r="K686" s="11" t="n">
        <v>46079</v>
      </c>
      <c r="L686" t="inlineStr">
        <is>
          <t>Ok. Devolvida</t>
        </is>
      </c>
      <c r="M686">
        <f>IF(L686="","",IFERROR(VLOOKUP(L686,mapGrupoStatus,2,0),"Outros"))</f>
        <v/>
      </c>
      <c r="N686">
        <f>IF(O686="","",IF(O686&lt;=30,"0-30 dias",IF(O686&lt;=60,"31-60 dias",IF(O686&lt;=90,"61-90 dias","Mais de 90 dias"))))</f>
        <v/>
      </c>
      <c r="O686">
        <f>IF(OR(M686="Pendente",M686="Em andamento"),IF(J686="","",TODAY()-J686),"")</f>
        <v/>
      </c>
      <c r="P686" t="n">
        <v>11365</v>
      </c>
      <c r="Q686" t="inlineStr">
        <is>
          <t>Ártico Express (11365)</t>
        </is>
      </c>
      <c r="R686" t="inlineStr">
        <is>
          <t>PC-0015</t>
        </is>
      </c>
      <c r="S686" t="inlineStr">
        <is>
          <t>Filtro secador modelo 01</t>
        </is>
      </c>
      <c r="T686" t="n">
        <v>1</v>
      </c>
      <c r="U686" t="n">
        <v>117</v>
      </c>
      <c r="V686">
        <f>IF(J686="","",MONTH(J686))</f>
        <v/>
      </c>
      <c r="W686">
        <f>IF(J686="","",YEAR(J686))</f>
        <v/>
      </c>
      <c r="X686" t="inlineStr">
        <is>
          <t>ViaCargo</t>
        </is>
      </c>
      <c r="Y686">
        <f>IFERROR(INDEX(Rastreio!$H$2:$H$200,MATCH(X686&amp;"|"&amp;U686,Rastreio!$A$2:$A$200,0)),"")</f>
        <v/>
      </c>
    </row>
    <row r="687">
      <c r="A687">
        <f>IFERROR(INDEX(STAs!$G$2:$G$61,MATCH(P687,STAs!$F$2:$F$61,0))&amp;"","")</f>
        <v/>
      </c>
      <c r="B687" t="n">
        <v>20007283</v>
      </c>
      <c r="C687" t="inlineStr">
        <is>
          <t>Não</t>
        </is>
      </c>
      <c r="D687" t="inlineStr">
        <is>
          <t>SP</t>
        </is>
      </c>
      <c r="E687" t="inlineStr">
        <is>
          <t>SUDESTE SP</t>
        </is>
      </c>
      <c r="F687" t="inlineStr">
        <is>
          <t>Cliente B - Chopeira</t>
        </is>
      </c>
      <c r="G687" t="inlineStr">
        <is>
          <t>Refrigeradores</t>
        </is>
      </c>
      <c r="H687" s="10" t="n">
        <v>185</v>
      </c>
      <c r="I687" s="10">
        <f>IFERROR(T687*H687,0)</f>
        <v/>
      </c>
      <c r="J687" s="11" t="n">
        <v>46028</v>
      </c>
      <c r="K687" s="11" t="n"/>
      <c r="L687" t="inlineStr">
        <is>
          <t>Em andamento</t>
        </is>
      </c>
      <c r="M687">
        <f>IF(L687="","",IFERROR(VLOOKUP(L687,mapGrupoStatus,2,0),"Outros"))</f>
        <v/>
      </c>
      <c r="N687">
        <f>IF(O687="","",IF(O687&lt;=30,"0-30 dias",IF(O687&lt;=60,"31-60 dias",IF(O687&lt;=90,"61-90 dias","Mais de 90 dias"))))</f>
        <v/>
      </c>
      <c r="O687">
        <f>IF(OR(M687="Pendente",M687="Em andamento"),IF(J687="","",TODAY()-J687),"")</f>
        <v/>
      </c>
      <c r="P687" t="n">
        <v>11365</v>
      </c>
      <c r="Q687" t="inlineStr">
        <is>
          <t>Ártico Express (11365)</t>
        </is>
      </c>
      <c r="R687" t="inlineStr">
        <is>
          <t>PC-0013</t>
        </is>
      </c>
      <c r="S687" t="inlineStr">
        <is>
          <t>Placa eletrônica modelo 03</t>
        </is>
      </c>
      <c r="T687" t="n">
        <v>1</v>
      </c>
      <c r="U687" t="n">
        <v>112</v>
      </c>
      <c r="V687">
        <f>IF(J687="","",MONTH(J687))</f>
        <v/>
      </c>
      <c r="W687">
        <f>IF(J687="","",YEAR(J687))</f>
        <v/>
      </c>
      <c r="X687" t="inlineStr">
        <is>
          <t>CargoMax</t>
        </is>
      </c>
      <c r="Y687">
        <f>IFERROR(INDEX(Rastreio!$H$2:$H$200,MATCH(X687&amp;"|"&amp;U687,Rastreio!$A$2:$A$200,0)),"")</f>
        <v/>
      </c>
    </row>
    <row r="688">
      <c r="A688">
        <f>IFERROR(INDEX(STAs!$G$2:$G$61,MATCH(P688,STAs!$F$2:$F$61,0))&amp;"","")</f>
        <v/>
      </c>
      <c r="B688" t="n">
        <v>20024707</v>
      </c>
      <c r="C688" t="inlineStr">
        <is>
          <t>Não</t>
        </is>
      </c>
      <c r="D688" t="inlineStr">
        <is>
          <t>GO</t>
        </is>
      </c>
      <c r="E688" t="inlineStr">
        <is>
          <t>CENTRO OESTE</t>
        </is>
      </c>
      <c r="F688" t="inlineStr">
        <is>
          <t>Cliente B - Chopeira</t>
        </is>
      </c>
      <c r="G688" t="inlineStr">
        <is>
          <t>Refrigeradores</t>
        </is>
      </c>
      <c r="H688" s="10" t="n">
        <v>330</v>
      </c>
      <c r="I688" s="10">
        <f>IFERROR(T688*H688,0)</f>
        <v/>
      </c>
      <c r="J688" s="11" t="n">
        <v>46028</v>
      </c>
      <c r="K688" s="11" t="n"/>
      <c r="L688" t="inlineStr">
        <is>
          <t>Aguardando devolução</t>
        </is>
      </c>
      <c r="M688">
        <f>IF(L688="","",IFERROR(VLOOKUP(L688,mapGrupoStatus,2,0),"Outros"))</f>
        <v/>
      </c>
      <c r="N688">
        <f>IF(O688="","",IF(O688&lt;=30,"0-30 dias",IF(O688&lt;=60,"31-60 dias",IF(O688&lt;=90,"61-90 dias","Mais de 90 dias"))))</f>
        <v/>
      </c>
      <c r="O688">
        <f>IF(OR(M688="Pendente",M688="Em andamento"),IF(J688="","",TODAY()-J688),"")</f>
        <v/>
      </c>
      <c r="P688" t="n">
        <v>12007</v>
      </c>
      <c r="Q688" t="inlineStr">
        <is>
          <t>Refrigel Ltda (12007)</t>
        </is>
      </c>
      <c r="R688" t="inlineStr">
        <is>
          <t>PC-0003</t>
        </is>
      </c>
      <c r="S688" t="inlineStr">
        <is>
          <t>Compressor modelo 03</t>
        </is>
      </c>
      <c r="T688" t="n">
        <v>1</v>
      </c>
      <c r="U688" t="inlineStr"/>
      <c r="V688">
        <f>IF(J688="","",MONTH(J688))</f>
        <v/>
      </c>
      <c r="W688">
        <f>IF(J688="","",YEAR(J688))</f>
        <v/>
      </c>
      <c r="X688" t="inlineStr"/>
      <c r="Y688">
        <f>IFERROR(INDEX(Rastreio!$H$2:$H$200,MATCH(X688&amp;"|"&amp;U688,Rastreio!$A$2:$A$200,0)),"")</f>
        <v/>
      </c>
    </row>
    <row r="689">
      <c r="A689">
        <f>IFERROR(INDEX(STAs!$G$2:$G$61,MATCH(P689,STAs!$F$2:$F$61,0))&amp;"","")</f>
        <v/>
      </c>
      <c r="B689" t="n">
        <v>20040898</v>
      </c>
      <c r="C689" t="inlineStr">
        <is>
          <t>Não</t>
        </is>
      </c>
      <c r="D689" t="inlineStr">
        <is>
          <t>SC</t>
        </is>
      </c>
      <c r="E689" t="inlineStr">
        <is>
          <t>SUL</t>
        </is>
      </c>
      <c r="F689" t="inlineStr">
        <is>
          <t>Cliente B - Chopeira</t>
        </is>
      </c>
      <c r="G689" t="inlineStr">
        <is>
          <t>Refrigeradores</t>
        </is>
      </c>
      <c r="H689" s="10" t="n">
        <v>330</v>
      </c>
      <c r="I689" s="10">
        <f>IFERROR(T689*H689,0)</f>
        <v/>
      </c>
      <c r="J689" s="11" t="n">
        <v>46028</v>
      </c>
      <c r="K689" s="11" t="n"/>
      <c r="L689" t="inlineStr">
        <is>
          <t>Aguardando Transporte</t>
        </is>
      </c>
      <c r="M689">
        <f>IF(L689="","",IFERROR(VLOOKUP(L689,mapGrupoStatus,2,0),"Outros"))</f>
        <v/>
      </c>
      <c r="N689">
        <f>IF(O689="","",IF(O689&lt;=30,"0-30 dias",IF(O689&lt;=60,"31-60 dias",IF(O689&lt;=90,"61-90 dias","Mais de 90 dias"))))</f>
        <v/>
      </c>
      <c r="O689">
        <f>IF(OR(M689="Pendente",M689="Em andamento"),IF(J689="","",TODAY()-J689),"")</f>
        <v/>
      </c>
      <c r="P689" t="n">
        <v>12138</v>
      </c>
      <c r="Q689" t="inlineStr">
        <is>
          <t>Refrigeração Serviços (12138)</t>
        </is>
      </c>
      <c r="R689" t="inlineStr">
        <is>
          <t>PC-0003</t>
        </is>
      </c>
      <c r="S689" t="inlineStr">
        <is>
          <t>Compressor modelo 03</t>
        </is>
      </c>
      <c r="T689" t="n">
        <v>1</v>
      </c>
      <c r="U689" t="n">
        <v>161</v>
      </c>
      <c r="V689">
        <f>IF(J689="","",MONTH(J689))</f>
        <v/>
      </c>
      <c r="W689">
        <f>IF(J689="","",YEAR(J689))</f>
        <v/>
      </c>
      <c r="X689" t="inlineStr">
        <is>
          <t>EntregaJá</t>
        </is>
      </c>
      <c r="Y689">
        <f>IFERROR(INDEX(Rastreio!$H$2:$H$200,MATCH(X689&amp;"|"&amp;U689,Rastreio!$A$2:$A$200,0)),"")</f>
        <v/>
      </c>
    </row>
    <row r="690">
      <c r="A690">
        <f>IFERROR(INDEX(STAs!$G$2:$G$61,MATCH(P690,STAs!$F$2:$F$61,0))&amp;"","")</f>
        <v/>
      </c>
      <c r="B690" t="n">
        <v>20000699</v>
      </c>
      <c r="C690" t="inlineStr">
        <is>
          <t>Não</t>
        </is>
      </c>
      <c r="D690" t="inlineStr">
        <is>
          <t>BA</t>
        </is>
      </c>
      <c r="E690" t="inlineStr">
        <is>
          <t>NORDESTE</t>
        </is>
      </c>
      <c r="F690" t="inlineStr">
        <is>
          <t>Cliente C - Misturador</t>
        </is>
      </c>
      <c r="G690" t="inlineStr">
        <is>
          <t>Refrigeradores</t>
        </is>
      </c>
      <c r="H690" s="10" t="n">
        <v>155</v>
      </c>
      <c r="I690" s="10">
        <f>IFERROR(T690*H690,0)</f>
        <v/>
      </c>
      <c r="J690" s="11" t="n">
        <v>46029</v>
      </c>
      <c r="K690" s="11" t="n">
        <v>46048</v>
      </c>
      <c r="L690" t="inlineStr">
        <is>
          <t>Ok. Devolvida</t>
        </is>
      </c>
      <c r="M690">
        <f>IF(L690="","",IFERROR(VLOOKUP(L690,mapGrupoStatus,2,0),"Outros"))</f>
        <v/>
      </c>
      <c r="N690">
        <f>IF(O690="","",IF(O690&lt;=30,"0-30 dias",IF(O690&lt;=60,"31-60 dias",IF(O690&lt;=90,"61-90 dias","Mais de 90 dias"))))</f>
        <v/>
      </c>
      <c r="O690">
        <f>IF(OR(M690="Pendente",M690="Em andamento"),IF(J690="","",TODAY()-J690),"")</f>
        <v/>
      </c>
      <c r="P690" t="n">
        <v>12194</v>
      </c>
      <c r="Q690" t="inlineStr">
        <is>
          <t>Polar &amp; Cia (12194)</t>
        </is>
      </c>
      <c r="R690" t="inlineStr">
        <is>
          <t>PC-0021</t>
        </is>
      </c>
      <c r="S690" t="inlineStr">
        <is>
          <t>Controlador digital modelo 01</t>
        </is>
      </c>
      <c r="T690" t="n">
        <v>1</v>
      </c>
      <c r="U690" t="n">
        <v>104</v>
      </c>
      <c r="V690">
        <f>IF(J690="","",MONTH(J690))</f>
        <v/>
      </c>
      <c r="W690">
        <f>IF(J690="","",YEAR(J690))</f>
        <v/>
      </c>
      <c r="X690" t="inlineStr">
        <is>
          <t>EntregaJá</t>
        </is>
      </c>
      <c r="Y690">
        <f>IFERROR(INDEX(Rastreio!$H$2:$H$200,MATCH(X690&amp;"|"&amp;U690,Rastreio!$A$2:$A$200,0)),"")</f>
        <v/>
      </c>
    </row>
    <row r="691">
      <c r="A691">
        <f>IFERROR(INDEX(STAs!$G$2:$G$61,MATCH(P691,STAs!$F$2:$F$61,0))&amp;"","")</f>
        <v/>
      </c>
      <c r="B691" t="n">
        <v>20011874</v>
      </c>
      <c r="C691" t="inlineStr">
        <is>
          <t>Não</t>
        </is>
      </c>
      <c r="D691" t="inlineStr">
        <is>
          <t>MG</t>
        </is>
      </c>
      <c r="E691" t="inlineStr">
        <is>
          <t>SUDESTE MG</t>
        </is>
      </c>
      <c r="F691" t="inlineStr">
        <is>
          <t>Cliente A - Refrigerador</t>
        </is>
      </c>
      <c r="G691" t="inlineStr">
        <is>
          <t>Refrigeradores</t>
        </is>
      </c>
      <c r="H691" s="10" t="n">
        <v>175</v>
      </c>
      <c r="I691" s="10">
        <f>IFERROR(T691*H691,0)</f>
        <v/>
      </c>
      <c r="J691" s="11" t="n">
        <v>46029</v>
      </c>
      <c r="K691" s="11" t="n"/>
      <c r="L691" t="inlineStr">
        <is>
          <t>Aguardando devolução</t>
        </is>
      </c>
      <c r="M691">
        <f>IF(L691="","",IFERROR(VLOOKUP(L691,mapGrupoStatus,2,0),"Outros"))</f>
        <v/>
      </c>
      <c r="N691">
        <f>IF(O691="","",IF(O691&lt;=30,"0-30 dias",IF(O691&lt;=60,"31-60 dias",IF(O691&lt;=90,"61-90 dias","Mais de 90 dias"))))</f>
        <v/>
      </c>
      <c r="O691">
        <f>IF(OR(M691="Pendente",M691="Em andamento"),IF(J691="","",TODAY()-J691),"")</f>
        <v/>
      </c>
      <c r="P691" t="n">
        <v>11494</v>
      </c>
      <c r="Q691" t="inlineStr">
        <is>
          <t>Clima Técnica (11494)</t>
        </is>
      </c>
      <c r="R691" t="inlineStr">
        <is>
          <t>PC-0012</t>
        </is>
      </c>
      <c r="S691" t="inlineStr">
        <is>
          <t>Placa eletrônica modelo 02</t>
        </is>
      </c>
      <c r="T691" t="n">
        <v>1</v>
      </c>
      <c r="U691" t="inlineStr"/>
      <c r="V691">
        <f>IF(J691="","",MONTH(J691))</f>
        <v/>
      </c>
      <c r="W691">
        <f>IF(J691="","",YEAR(J691))</f>
        <v/>
      </c>
      <c r="X691" t="inlineStr"/>
      <c r="Y691">
        <f>IFERROR(INDEX(Rastreio!$H$2:$H$200,MATCH(X691&amp;"|"&amp;U691,Rastreio!$A$2:$A$200,0)),"")</f>
        <v/>
      </c>
    </row>
    <row r="692">
      <c r="A692">
        <f>IFERROR(INDEX(STAs!$G$2:$G$61,MATCH(P692,STAs!$F$2:$F$61,0))&amp;"","")</f>
        <v/>
      </c>
      <c r="B692" t="n">
        <v>20034030</v>
      </c>
      <c r="C692" t="inlineStr">
        <is>
          <t>Não</t>
        </is>
      </c>
      <c r="D692" t="inlineStr">
        <is>
          <t>GO</t>
        </is>
      </c>
      <c r="E692" t="inlineStr">
        <is>
          <t>CENTRO OESTE</t>
        </is>
      </c>
      <c r="F692" t="inlineStr">
        <is>
          <t>Cliente B - Chopeira</t>
        </is>
      </c>
      <c r="G692" t="inlineStr">
        <is>
          <t>Refrigeradores</t>
        </is>
      </c>
      <c r="H692" s="10" t="n">
        <v>45</v>
      </c>
      <c r="I692" s="10">
        <f>IFERROR(T692*H692,0)</f>
        <v/>
      </c>
      <c r="J692" s="11" t="n">
        <v>46029</v>
      </c>
      <c r="K692" s="11" t="n"/>
      <c r="L692" t="inlineStr">
        <is>
          <t>Em andamento</t>
        </is>
      </c>
      <c r="M692">
        <f>IF(L692="","",IFERROR(VLOOKUP(L692,mapGrupoStatus,2,0),"Outros"))</f>
        <v/>
      </c>
      <c r="N692">
        <f>IF(O692="","",IF(O692&lt;=30,"0-30 dias",IF(O692&lt;=60,"31-60 dias",IF(O692&lt;=90,"61-90 dias","Mais de 90 dias"))))</f>
        <v/>
      </c>
      <c r="O692">
        <f>IF(OR(M692="Pendente",M692="Em andamento"),IF(J692="","",TODAY()-J692),"")</f>
        <v/>
      </c>
      <c r="P692" t="n">
        <v>10317</v>
      </c>
      <c r="Q692" t="inlineStr">
        <is>
          <t>Termotec Manutenção (10317)</t>
        </is>
      </c>
      <c r="R692" t="inlineStr">
        <is>
          <t>PC-0018</t>
        </is>
      </c>
      <c r="S692" t="inlineStr">
        <is>
          <t>Gaxeta da porta modelo 01</t>
        </is>
      </c>
      <c r="T692" t="n">
        <v>3</v>
      </c>
      <c r="U692" t="n">
        <v>153</v>
      </c>
      <c r="V692">
        <f>IF(J692="","",MONTH(J692))</f>
        <v/>
      </c>
      <c r="W692">
        <f>IF(J692="","",YEAR(J692))</f>
        <v/>
      </c>
      <c r="X692" t="inlineStr">
        <is>
          <t>ViaCargo</t>
        </is>
      </c>
      <c r="Y692">
        <f>IFERROR(INDEX(Rastreio!$H$2:$H$200,MATCH(X692&amp;"|"&amp;U692,Rastreio!$A$2:$A$200,0)),"")</f>
        <v/>
      </c>
    </row>
    <row r="693">
      <c r="A693">
        <f>IFERROR(INDEX(STAs!$G$2:$G$61,MATCH(P693,STAs!$F$2:$F$61,0))&amp;"","")</f>
        <v/>
      </c>
      <c r="B693" t="n">
        <v>20036339</v>
      </c>
      <c r="C693" t="inlineStr">
        <is>
          <t>Não</t>
        </is>
      </c>
      <c r="D693" t="inlineStr">
        <is>
          <t>TO</t>
        </is>
      </c>
      <c r="E693" t="inlineStr">
        <is>
          <t>NORTE</t>
        </is>
      </c>
      <c r="F693" t="inlineStr">
        <is>
          <t>Cliente C - Misturador</t>
        </is>
      </c>
      <c r="G693" t="inlineStr">
        <is>
          <t>Refrigeradores</t>
        </is>
      </c>
      <c r="H693" s="10" t="n">
        <v>190</v>
      </c>
      <c r="I693" s="10">
        <f>IFERROR(T693*H693,0)</f>
        <v/>
      </c>
      <c r="J693" s="11" t="n">
        <v>46029</v>
      </c>
      <c r="K693" s="11" t="n"/>
      <c r="L693" t="inlineStr">
        <is>
          <t>Aguardando devolução</t>
        </is>
      </c>
      <c r="M693">
        <f>IF(L693="","",IFERROR(VLOOKUP(L693,mapGrupoStatus,2,0),"Outros"))</f>
        <v/>
      </c>
      <c r="N693">
        <f>IF(O693="","",IF(O693&lt;=30,"0-30 dias",IF(O693&lt;=60,"31-60 dias",IF(O693&lt;=90,"61-90 dias","Mais de 90 dias"))))</f>
        <v/>
      </c>
      <c r="O693">
        <f>IF(OR(M693="Pendente",M693="Em andamento"),IF(J693="","",TODAY()-J693),"")</f>
        <v/>
      </c>
      <c r="P693" t="n">
        <v>10939</v>
      </c>
      <c r="Q693" t="inlineStr">
        <is>
          <t>Zero Grau Manutenção (10939)</t>
        </is>
      </c>
      <c r="R693" t="inlineStr">
        <is>
          <t>PC-0014</t>
        </is>
      </c>
      <c r="S693" t="inlineStr">
        <is>
          <t>Placa eletrônica modelo 04</t>
        </is>
      </c>
      <c r="T693" t="n">
        <v>1</v>
      </c>
      <c r="U693" t="inlineStr"/>
      <c r="V693">
        <f>IF(J693="","",MONTH(J693))</f>
        <v/>
      </c>
      <c r="W693">
        <f>IF(J693="","",YEAR(J693))</f>
        <v/>
      </c>
      <c r="X693" t="inlineStr"/>
      <c r="Y693">
        <f>IFERROR(INDEX(Rastreio!$H$2:$H$200,MATCH(X693&amp;"|"&amp;U693,Rastreio!$A$2:$A$200,0)),"")</f>
        <v/>
      </c>
    </row>
    <row r="694">
      <c r="A694">
        <f>IFERROR(INDEX(STAs!$G$2:$G$61,MATCH(P694,STAs!$F$2:$F$61,0))&amp;"","")</f>
        <v/>
      </c>
      <c r="B694" t="n">
        <v>20000041</v>
      </c>
      <c r="C694" t="inlineStr">
        <is>
          <t>Não</t>
        </is>
      </c>
      <c r="D694" t="inlineStr">
        <is>
          <t>GO</t>
        </is>
      </c>
      <c r="E694" t="inlineStr">
        <is>
          <t>CENTRO OESTE</t>
        </is>
      </c>
      <c r="F694" t="inlineStr">
        <is>
          <t>Cliente B - Chopeira</t>
        </is>
      </c>
      <c r="G694" t="inlineStr">
        <is>
          <t>Refrigeradores</t>
        </is>
      </c>
      <c r="H694" s="10" t="n">
        <v>45</v>
      </c>
      <c r="I694" s="10">
        <f>IFERROR(T694*H694,0)</f>
        <v/>
      </c>
      <c r="J694" s="11" t="n">
        <v>46030</v>
      </c>
      <c r="K694" s="11" t="n"/>
      <c r="L694" t="inlineStr">
        <is>
          <t>Aguardando devolução</t>
        </is>
      </c>
      <c r="M694">
        <f>IF(L694="","",IFERROR(VLOOKUP(L694,mapGrupoStatus,2,0),"Outros"))</f>
        <v/>
      </c>
      <c r="N694">
        <f>IF(O694="","",IF(O694&lt;=30,"0-30 dias",IF(O694&lt;=60,"31-60 dias",IF(O694&lt;=90,"61-90 dias","Mais de 90 dias"))))</f>
        <v/>
      </c>
      <c r="O694">
        <f>IF(OR(M694="Pendente",M694="Em andamento"),IF(J694="","",TODAY()-J694),"")</f>
        <v/>
      </c>
      <c r="P694" t="n">
        <v>11293</v>
      </c>
      <c r="Q694" t="inlineStr">
        <is>
          <t>Assistência Técnica Ltda (11293)</t>
        </is>
      </c>
      <c r="R694" t="inlineStr">
        <is>
          <t>PC-0018</t>
        </is>
      </c>
      <c r="S694" t="inlineStr">
        <is>
          <t>Gaxeta da porta modelo 01</t>
        </is>
      </c>
      <c r="T694" t="n">
        <v>1</v>
      </c>
      <c r="U694" t="inlineStr"/>
      <c r="V694">
        <f>IF(J694="","",MONTH(J694))</f>
        <v/>
      </c>
      <c r="W694">
        <f>IF(J694="","",YEAR(J694))</f>
        <v/>
      </c>
      <c r="X694" t="inlineStr"/>
      <c r="Y694">
        <f>IFERROR(INDEX(Rastreio!$H$2:$H$200,MATCH(X694&amp;"|"&amp;U694,Rastreio!$A$2:$A$200,0)),"")</f>
        <v/>
      </c>
    </row>
    <row r="695">
      <c r="A695">
        <f>IFERROR(INDEX(STAs!$G$2:$G$61,MATCH(P695,STAs!$F$2:$F$61,0))&amp;"","")</f>
        <v/>
      </c>
      <c r="B695" t="n">
        <v>20010045</v>
      </c>
      <c r="C695" t="inlineStr">
        <is>
          <t>Não</t>
        </is>
      </c>
      <c r="D695" t="inlineStr">
        <is>
          <t>SP</t>
        </is>
      </c>
      <c r="E695" t="inlineStr">
        <is>
          <t>SUDESTE SP</t>
        </is>
      </c>
      <c r="F695" t="inlineStr">
        <is>
          <t>Cliente A - Refrigerador</t>
        </is>
      </c>
      <c r="G695" t="inlineStr">
        <is>
          <t>Refrigeradores</t>
        </is>
      </c>
      <c r="H695" s="10" t="n">
        <v>25</v>
      </c>
      <c r="I695" s="10">
        <f>IFERROR(T695*H695,0)</f>
        <v/>
      </c>
      <c r="J695" s="11" t="n">
        <v>46030</v>
      </c>
      <c r="K695" s="11" t="n">
        <v>46046</v>
      </c>
      <c r="L695" t="inlineStr">
        <is>
          <t>Ok. Devolvida</t>
        </is>
      </c>
      <c r="M695">
        <f>IF(L695="","",IFERROR(VLOOKUP(L695,mapGrupoStatus,2,0),"Outros"))</f>
        <v/>
      </c>
      <c r="N695">
        <f>IF(O695="","",IF(O695&lt;=30,"0-30 dias",IF(O695&lt;=60,"31-60 dias",IF(O695&lt;=90,"61-90 dias","Mais de 90 dias"))))</f>
        <v/>
      </c>
      <c r="O695">
        <f>IF(OR(M695="Pendente",M695="Em andamento"),IF(J695="","",TODAY()-J695),"")</f>
        <v/>
      </c>
      <c r="P695" t="n">
        <v>10538</v>
      </c>
      <c r="Q695" t="inlineStr">
        <is>
          <t>Frio Refrigeração (10538)</t>
        </is>
      </c>
      <c r="R695" t="inlineStr">
        <is>
          <t>PC-0015</t>
        </is>
      </c>
      <c r="S695" t="inlineStr">
        <is>
          <t>Filtro secador modelo 01</t>
        </is>
      </c>
      <c r="T695" t="n">
        <v>2</v>
      </c>
      <c r="U695" t="n">
        <v>119</v>
      </c>
      <c r="V695">
        <f>IF(J695="","",MONTH(J695))</f>
        <v/>
      </c>
      <c r="W695">
        <f>IF(J695="","",YEAR(J695))</f>
        <v/>
      </c>
      <c r="X695" t="inlineStr">
        <is>
          <t>EntregaJá</t>
        </is>
      </c>
      <c r="Y695">
        <f>IFERROR(INDEX(Rastreio!$H$2:$H$200,MATCH(X695&amp;"|"&amp;U695,Rastreio!$A$2:$A$200,0)),"")</f>
        <v/>
      </c>
    </row>
    <row r="696">
      <c r="A696">
        <f>IFERROR(INDEX(STAs!$G$2:$G$61,MATCH(P696,STAs!$F$2:$F$61,0))&amp;"","")</f>
        <v/>
      </c>
      <c r="B696" t="n">
        <v>20017896</v>
      </c>
      <c r="C696" t="inlineStr">
        <is>
          <t>Não</t>
        </is>
      </c>
      <c r="D696" t="inlineStr">
        <is>
          <t>RO</t>
        </is>
      </c>
      <c r="E696" t="inlineStr">
        <is>
          <t>NORTE</t>
        </is>
      </c>
      <c r="F696" t="inlineStr">
        <is>
          <t>Cliente C - Misturador</t>
        </is>
      </c>
      <c r="G696" t="inlineStr">
        <is>
          <t>Misturadores</t>
        </is>
      </c>
      <c r="H696" s="10" t="n">
        <v>50</v>
      </c>
      <c r="I696" s="10">
        <f>IFERROR(T696*H696,0)</f>
        <v/>
      </c>
      <c r="J696" s="11" t="n">
        <v>46030</v>
      </c>
      <c r="K696" s="11" t="n"/>
      <c r="L696" t="inlineStr">
        <is>
          <t>Não Devolve-Norte</t>
        </is>
      </c>
      <c r="M696">
        <f>IF(L696="","",IFERROR(VLOOKUP(L696,mapGrupoStatus,2,0),"Outros"))</f>
        <v/>
      </c>
      <c r="N696">
        <f>IF(O696="","",IF(O696&lt;=30,"0-30 dias",IF(O696&lt;=60,"31-60 dias",IF(O696&lt;=90,"61-90 dias","Mais de 90 dias"))))</f>
        <v/>
      </c>
      <c r="O696">
        <f>IF(OR(M696="Pendente",M696="Em andamento"),IF(J696="","",TODAY()-J696),"")</f>
        <v/>
      </c>
      <c r="P696" t="n">
        <v>10172</v>
      </c>
      <c r="Q696" t="inlineStr">
        <is>
          <t>Frigo Serviços (10172)</t>
        </is>
      </c>
      <c r="R696" t="inlineStr">
        <is>
          <t>PC-0045</t>
        </is>
      </c>
      <c r="S696" t="inlineStr">
        <is>
          <t>Sensor de nível modelo 01</t>
        </is>
      </c>
      <c r="T696" t="n">
        <v>1</v>
      </c>
      <c r="U696" t="inlineStr"/>
      <c r="V696">
        <f>IF(J696="","",MONTH(J696))</f>
        <v/>
      </c>
      <c r="W696">
        <f>IF(J696="","",YEAR(J696))</f>
        <v/>
      </c>
      <c r="X696" t="inlineStr"/>
      <c r="Y696">
        <f>IFERROR(INDEX(Rastreio!$H$2:$H$200,MATCH(X696&amp;"|"&amp;U696,Rastreio!$A$2:$A$200,0)),"")</f>
        <v/>
      </c>
    </row>
    <row r="697">
      <c r="A697">
        <f>IFERROR(INDEX(STAs!$G$2:$G$61,MATCH(P697,STAs!$F$2:$F$61,0))&amp;"","")</f>
        <v/>
      </c>
      <c r="B697" t="n">
        <v>20025640</v>
      </c>
      <c r="C697" t="inlineStr">
        <is>
          <t>Não</t>
        </is>
      </c>
      <c r="D697" t="inlineStr">
        <is>
          <t>SP</t>
        </is>
      </c>
      <c r="E697" t="inlineStr">
        <is>
          <t>SUDESTE SP</t>
        </is>
      </c>
      <c r="F697" t="inlineStr">
        <is>
          <t>Cliente B - Chopeira</t>
        </is>
      </c>
      <c r="G697" t="inlineStr">
        <is>
          <t>Chopeiras</t>
        </is>
      </c>
      <c r="H697" s="10" t="n">
        <v>85</v>
      </c>
      <c r="I697" s="10">
        <f>IFERROR(T697*H697,0)</f>
        <v/>
      </c>
      <c r="J697" s="11" t="n">
        <v>46030</v>
      </c>
      <c r="K697" s="11" t="n"/>
      <c r="L697" t="inlineStr">
        <is>
          <t>Em andamento</t>
        </is>
      </c>
      <c r="M697">
        <f>IF(L697="","",IFERROR(VLOOKUP(L697,mapGrupoStatus,2,0),"Outros"))</f>
        <v/>
      </c>
      <c r="N697">
        <f>IF(O697="","",IF(O697&lt;=30,"0-30 dias",IF(O697&lt;=60,"31-60 dias",IF(O697&lt;=90,"61-90 dias","Mais de 90 dias"))))</f>
        <v/>
      </c>
      <c r="O697">
        <f>IF(OR(M697="Pendente",M697="Em andamento"),IF(J697="","",TODAY()-J697),"")</f>
        <v/>
      </c>
      <c r="P697" t="n">
        <v>12052</v>
      </c>
      <c r="Q697" t="inlineStr">
        <is>
          <t>Brisa Refrigeração (12052)</t>
        </is>
      </c>
      <c r="R697" t="inlineStr">
        <is>
          <t>PC-0028</t>
        </is>
      </c>
      <c r="S697" t="inlineStr">
        <is>
          <t>Torneira de chopp modelo 03</t>
        </is>
      </c>
      <c r="T697" t="n">
        <v>1</v>
      </c>
      <c r="U697" t="n">
        <v>147</v>
      </c>
      <c r="V697">
        <f>IF(J697="","",MONTH(J697))</f>
        <v/>
      </c>
      <c r="W697">
        <f>IF(J697="","",YEAR(J697))</f>
        <v/>
      </c>
      <c r="X697" t="inlineStr">
        <is>
          <t>LogExpress</t>
        </is>
      </c>
      <c r="Y697">
        <f>IFERROR(INDEX(Rastreio!$H$2:$H$200,MATCH(X697&amp;"|"&amp;U697,Rastreio!$A$2:$A$200,0)),"")</f>
        <v/>
      </c>
    </row>
    <row r="698">
      <c r="A698">
        <f>IFERROR(INDEX(STAs!$G$2:$G$61,MATCH(P698,STAs!$F$2:$F$61,0))&amp;"","")</f>
        <v/>
      </c>
      <c r="B698" t="n">
        <v>20026411</v>
      </c>
      <c r="C698" t="inlineStr">
        <is>
          <t>Sim</t>
        </is>
      </c>
      <c r="D698" t="inlineStr">
        <is>
          <t>PR</t>
        </is>
      </c>
      <c r="E698" t="inlineStr">
        <is>
          <t>SUL</t>
        </is>
      </c>
      <c r="F698" t="inlineStr">
        <is>
          <t>Cliente C - Misturador</t>
        </is>
      </c>
      <c r="G698" t="inlineStr">
        <is>
          <t>Refrigeradores</t>
        </is>
      </c>
      <c r="H698" s="10" t="n">
        <v>330</v>
      </c>
      <c r="I698" s="10">
        <f>IFERROR(T698*H698,0)</f>
        <v/>
      </c>
      <c r="J698" s="11" t="n">
        <v>46030</v>
      </c>
      <c r="K698" s="11" t="n"/>
      <c r="L698" t="inlineStr">
        <is>
          <t>Em transporte</t>
        </is>
      </c>
      <c r="M698">
        <f>IF(L698="","",IFERROR(VLOOKUP(L698,mapGrupoStatus,2,0),"Outros"))</f>
        <v/>
      </c>
      <c r="N698">
        <f>IF(O698="","",IF(O698&lt;=30,"0-30 dias",IF(O698&lt;=60,"31-60 dias",IF(O698&lt;=90,"61-90 dias","Mais de 90 dias"))))</f>
        <v/>
      </c>
      <c r="O698">
        <f>IF(OR(M698="Pendente",M698="Em andamento"),IF(J698="","",TODAY()-J698),"")</f>
        <v/>
      </c>
      <c r="P698" t="n">
        <v>12724</v>
      </c>
      <c r="Q698" t="inlineStr">
        <is>
          <t>Cool Service &amp; Cia (12724)</t>
        </is>
      </c>
      <c r="R698" t="inlineStr">
        <is>
          <t>PC-0003</t>
        </is>
      </c>
      <c r="S698" t="inlineStr">
        <is>
          <t>Compressor modelo 03</t>
        </is>
      </c>
      <c r="T698" t="n">
        <v>3</v>
      </c>
      <c r="U698" t="n">
        <v>143</v>
      </c>
      <c r="V698">
        <f>IF(J698="","",MONTH(J698))</f>
        <v/>
      </c>
      <c r="W698">
        <f>IF(J698="","",YEAR(J698))</f>
        <v/>
      </c>
      <c r="X698" t="inlineStr">
        <is>
          <t>ViaCargo</t>
        </is>
      </c>
      <c r="Y698">
        <f>IFERROR(INDEX(Rastreio!$H$2:$H$200,MATCH(X698&amp;"|"&amp;U698,Rastreio!$A$2:$A$200,0)),"")</f>
        <v/>
      </c>
    </row>
    <row r="699">
      <c r="A699">
        <f>IFERROR(INDEX(STAs!$G$2:$G$61,MATCH(P699,STAs!$F$2:$F$61,0))&amp;"","")</f>
        <v/>
      </c>
      <c r="B699" t="n">
        <v>20031347</v>
      </c>
      <c r="C699" t="inlineStr">
        <is>
          <t>Não</t>
        </is>
      </c>
      <c r="D699" t="inlineStr">
        <is>
          <t>RO</t>
        </is>
      </c>
      <c r="E699" t="inlineStr">
        <is>
          <t>NORTE</t>
        </is>
      </c>
      <c r="F699" t="inlineStr">
        <is>
          <t>Cliente A - Refrigerador</t>
        </is>
      </c>
      <c r="G699" t="inlineStr">
        <is>
          <t>Misturadores</t>
        </is>
      </c>
      <c r="H699" s="10" t="n">
        <v>255</v>
      </c>
      <c r="I699" s="10">
        <f>IFERROR(T699*H699,0)</f>
        <v/>
      </c>
      <c r="J699" s="11" t="n">
        <v>46030</v>
      </c>
      <c r="K699" s="11" t="n">
        <v>46084</v>
      </c>
      <c r="L699" t="inlineStr">
        <is>
          <t>Ok. Devolvida</t>
        </is>
      </c>
      <c r="M699">
        <f>IF(L699="","",IFERROR(VLOOKUP(L699,mapGrupoStatus,2,0),"Outros"))</f>
        <v/>
      </c>
      <c r="N699">
        <f>IF(O699="","",IF(O699&lt;=30,"0-30 dias",IF(O699&lt;=60,"31-60 dias",IF(O699&lt;=90,"61-90 dias","Mais de 90 dias"))))</f>
        <v/>
      </c>
      <c r="O699">
        <f>IF(OR(M699="Pendente",M699="Em andamento"),IF(J699="","",TODAY()-J699),"")</f>
        <v/>
      </c>
      <c r="P699" t="n">
        <v>10172</v>
      </c>
      <c r="Q699" t="inlineStr">
        <is>
          <t>Frigo Serviços (10172)</t>
        </is>
      </c>
      <c r="R699" t="inlineStr">
        <is>
          <t>PC-0039</t>
        </is>
      </c>
      <c r="S699" t="inlineStr">
        <is>
          <t>Bomba de recirculação modelo 03</t>
        </is>
      </c>
      <c r="T699" t="n">
        <v>1</v>
      </c>
      <c r="U699" t="n">
        <v>158</v>
      </c>
      <c r="V699">
        <f>IF(J699="","",MONTH(J699))</f>
        <v/>
      </c>
      <c r="W699">
        <f>IF(J699="","",YEAR(J699))</f>
        <v/>
      </c>
      <c r="X699" t="inlineStr">
        <is>
          <t>LogExpress</t>
        </is>
      </c>
      <c r="Y699">
        <f>IFERROR(INDEX(Rastreio!$H$2:$H$200,MATCH(X699&amp;"|"&amp;U699,Rastreio!$A$2:$A$200,0)),"")</f>
        <v/>
      </c>
    </row>
    <row r="700">
      <c r="A700">
        <f>IFERROR(INDEX(STAs!$G$2:$G$61,MATCH(P700,STAs!$F$2:$F$61,0))&amp;"","")</f>
        <v/>
      </c>
      <c r="B700" t="n">
        <v>20034589</v>
      </c>
      <c r="C700" t="inlineStr">
        <is>
          <t>Não</t>
        </is>
      </c>
      <c r="D700" t="inlineStr">
        <is>
          <t>MG</t>
        </is>
      </c>
      <c r="E700" t="inlineStr">
        <is>
          <t>SUDESTE MG</t>
        </is>
      </c>
      <c r="F700" t="inlineStr">
        <is>
          <t>Cliente C - Misturador</t>
        </is>
      </c>
      <c r="G700" t="inlineStr">
        <is>
          <t>Refrigeradores</t>
        </is>
      </c>
      <c r="H700" s="10" t="n">
        <v>45</v>
      </c>
      <c r="I700" s="10">
        <f>IFERROR(T700*H700,0)</f>
        <v/>
      </c>
      <c r="J700" s="11" t="n">
        <v>46030</v>
      </c>
      <c r="K700" s="11" t="n"/>
      <c r="L700" t="inlineStr">
        <is>
          <t>Debitar do STA</t>
        </is>
      </c>
      <c r="M700">
        <f>IF(L700="","",IFERROR(VLOOKUP(L700,mapGrupoStatus,2,0),"Outros"))</f>
        <v/>
      </c>
      <c r="N700">
        <f>IF(O700="","",IF(O700&lt;=30,"0-30 dias",IF(O700&lt;=60,"31-60 dias",IF(O700&lt;=90,"61-90 dias","Mais de 90 dias"))))</f>
        <v/>
      </c>
      <c r="O700">
        <f>IF(OR(M700="Pendente",M700="Em andamento"),IF(J700="","",TODAY()-J700),"")</f>
        <v/>
      </c>
      <c r="P700" t="n">
        <v>12158</v>
      </c>
      <c r="Q700" t="inlineStr">
        <is>
          <t>Gelo Serviços (12158)</t>
        </is>
      </c>
      <c r="R700" t="inlineStr">
        <is>
          <t>PC-0018</t>
        </is>
      </c>
      <c r="S700" t="inlineStr">
        <is>
          <t>Gaxeta da porta modelo 01</t>
        </is>
      </c>
      <c r="T700" t="n">
        <v>1</v>
      </c>
      <c r="U700" t="inlineStr"/>
      <c r="V700">
        <f>IF(J700="","",MONTH(J700))</f>
        <v/>
      </c>
      <c r="W700">
        <f>IF(J700="","",YEAR(J700))</f>
        <v/>
      </c>
      <c r="X700" t="inlineStr"/>
      <c r="Y700">
        <f>IFERROR(INDEX(Rastreio!$H$2:$H$200,MATCH(X700&amp;"|"&amp;U700,Rastreio!$A$2:$A$200,0)),"")</f>
        <v/>
      </c>
    </row>
    <row r="701">
      <c r="A701">
        <f>IFERROR(INDEX(STAs!$G$2:$G$61,MATCH(P701,STAs!$F$2:$F$61,0))&amp;"","")</f>
        <v/>
      </c>
      <c r="B701" t="n">
        <v>20034763</v>
      </c>
      <c r="C701" t="inlineStr">
        <is>
          <t>Não</t>
        </is>
      </c>
      <c r="D701" t="inlineStr">
        <is>
          <t>ES</t>
        </is>
      </c>
      <c r="E701" t="inlineStr">
        <is>
          <t>SUDESTE RJ e ES</t>
        </is>
      </c>
      <c r="F701" t="inlineStr">
        <is>
          <t>Cliente A - Refrigerador</t>
        </is>
      </c>
      <c r="G701" t="inlineStr">
        <is>
          <t>Refrigeradores</t>
        </is>
      </c>
      <c r="H701" s="10" t="n">
        <v>175</v>
      </c>
      <c r="I701" s="10">
        <f>IFERROR(T701*H701,0)</f>
        <v/>
      </c>
      <c r="J701" s="11" t="n">
        <v>46030</v>
      </c>
      <c r="K701" s="11" t="n">
        <v>46046</v>
      </c>
      <c r="L701" t="inlineStr">
        <is>
          <t>Ok. Devolvida</t>
        </is>
      </c>
      <c r="M701">
        <f>IF(L701="","",IFERROR(VLOOKUP(L701,mapGrupoStatus,2,0),"Outros"))</f>
        <v/>
      </c>
      <c r="N701">
        <f>IF(O701="","",IF(O701&lt;=30,"0-30 dias",IF(O701&lt;=60,"31-60 dias",IF(O701&lt;=90,"61-90 dias","Mais de 90 dias"))))</f>
        <v/>
      </c>
      <c r="O701">
        <f>IF(OR(M701="Pendente",M701="Em andamento"),IF(J701="","",TODAY()-J701),"")</f>
        <v/>
      </c>
      <c r="P701" t="n">
        <v>11162</v>
      </c>
      <c r="Q701" t="inlineStr">
        <is>
          <t>Ártico Refrigeração (11162)</t>
        </is>
      </c>
      <c r="R701" t="inlineStr">
        <is>
          <t>PC-0012</t>
        </is>
      </c>
      <c r="S701" t="inlineStr">
        <is>
          <t>Placa eletrônica modelo 02</t>
        </is>
      </c>
      <c r="T701" t="n">
        <v>1</v>
      </c>
      <c r="U701" t="n">
        <v>155</v>
      </c>
      <c r="V701">
        <f>IF(J701="","",MONTH(J701))</f>
        <v/>
      </c>
      <c r="W701">
        <f>IF(J701="","",YEAR(J701))</f>
        <v/>
      </c>
      <c r="X701" t="inlineStr">
        <is>
          <t>ViaCargo</t>
        </is>
      </c>
      <c r="Y701">
        <f>IFERROR(INDEX(Rastreio!$H$2:$H$200,MATCH(X701&amp;"|"&amp;U701,Rastreio!$A$2:$A$200,0)),"")</f>
        <v/>
      </c>
    </row>
    <row r="702">
      <c r="A702">
        <f>IFERROR(INDEX(STAs!$G$2:$G$61,MATCH(P702,STAs!$F$2:$F$61,0))&amp;"","")</f>
        <v/>
      </c>
      <c r="B702" t="n">
        <v>20035298</v>
      </c>
      <c r="C702" t="inlineStr">
        <is>
          <t>Não</t>
        </is>
      </c>
      <c r="D702" t="inlineStr">
        <is>
          <t>RJ</t>
        </is>
      </c>
      <c r="E702" t="inlineStr">
        <is>
          <t>SUDESTE RJ e ES</t>
        </is>
      </c>
      <c r="F702" t="inlineStr">
        <is>
          <t>Cliente A - Refrigerador</t>
        </is>
      </c>
      <c r="G702" t="inlineStr">
        <is>
          <t>Refrigeradores</t>
        </is>
      </c>
      <c r="H702" s="10" t="n">
        <v>185</v>
      </c>
      <c r="I702" s="10">
        <f>IFERROR(T702*H702,0)</f>
        <v/>
      </c>
      <c r="J702" s="11" t="n">
        <v>46030</v>
      </c>
      <c r="K702" s="11" t="n"/>
      <c r="L702" t="inlineStr">
        <is>
          <t>Em transporte</t>
        </is>
      </c>
      <c r="M702">
        <f>IF(L702="","",IFERROR(VLOOKUP(L702,mapGrupoStatus,2,0),"Outros"))</f>
        <v/>
      </c>
      <c r="N702">
        <f>IF(O702="","",IF(O702&lt;=30,"0-30 dias",IF(O702&lt;=60,"31-60 dias",IF(O702&lt;=90,"61-90 dias","Mais de 90 dias"))))</f>
        <v/>
      </c>
      <c r="O702">
        <f>IF(OR(M702="Pendente",M702="Em andamento"),IF(J702="","",TODAY()-J702),"")</f>
        <v/>
      </c>
      <c r="P702" t="n">
        <v>12811</v>
      </c>
      <c r="Q702" t="inlineStr">
        <is>
          <t>Norte Frio Técnica (12811)</t>
        </is>
      </c>
      <c r="R702" t="inlineStr">
        <is>
          <t>PC-0013</t>
        </is>
      </c>
      <c r="S702" t="inlineStr">
        <is>
          <t>Placa eletrônica modelo 03</t>
        </is>
      </c>
      <c r="T702" t="n">
        <v>1</v>
      </c>
      <c r="U702" t="n">
        <v>148</v>
      </c>
      <c r="V702">
        <f>IF(J702="","",MONTH(J702))</f>
        <v/>
      </c>
      <c r="W702">
        <f>IF(J702="","",YEAR(J702))</f>
        <v/>
      </c>
      <c r="X702" t="inlineStr">
        <is>
          <t>EntregaJá</t>
        </is>
      </c>
      <c r="Y702">
        <f>IFERROR(INDEX(Rastreio!$H$2:$H$200,MATCH(X702&amp;"|"&amp;U702,Rastreio!$A$2:$A$200,0)),"")</f>
        <v/>
      </c>
    </row>
    <row r="703">
      <c r="A703">
        <f>IFERROR(INDEX(STAs!$G$2:$G$61,MATCH(P703,STAs!$F$2:$F$61,0))&amp;"","")</f>
        <v/>
      </c>
      <c r="B703" t="n">
        <v>20037937</v>
      </c>
      <c r="C703" t="inlineStr">
        <is>
          <t>Não</t>
        </is>
      </c>
      <c r="D703" t="inlineStr">
        <is>
          <t>PI</t>
        </is>
      </c>
      <c r="E703" t="inlineStr">
        <is>
          <t>NORDESTE</t>
        </is>
      </c>
      <c r="F703" t="inlineStr">
        <is>
          <t>Cliente A - Refrigerador</t>
        </is>
      </c>
      <c r="G703" t="inlineStr">
        <is>
          <t>Chopeiras</t>
        </is>
      </c>
      <c r="H703" s="10" t="n">
        <v>85</v>
      </c>
      <c r="I703" s="10">
        <f>IFERROR(T703*H703,0)</f>
        <v/>
      </c>
      <c r="J703" s="11" t="n">
        <v>46030</v>
      </c>
      <c r="K703" s="11" t="n"/>
      <c r="L703" t="inlineStr">
        <is>
          <t>Em transporte</t>
        </is>
      </c>
      <c r="M703">
        <f>IF(L703="","",IFERROR(VLOOKUP(L703,mapGrupoStatus,2,0),"Outros"))</f>
        <v/>
      </c>
      <c r="N703">
        <f>IF(O703="","",IF(O703&lt;=30,"0-30 dias",IF(O703&lt;=60,"31-60 dias",IF(O703&lt;=90,"61-90 dias","Mais de 90 dias"))))</f>
        <v/>
      </c>
      <c r="O703">
        <f>IF(OR(M703="Pendente",M703="Em andamento"),IF(J703="","",TODAY()-J703),"")</f>
        <v/>
      </c>
      <c r="P703" t="n">
        <v>12936</v>
      </c>
      <c r="Q703" t="inlineStr">
        <is>
          <t>Frigo Técnica (12936)</t>
        </is>
      </c>
      <c r="R703" t="inlineStr">
        <is>
          <t>PC-0035</t>
        </is>
      </c>
      <c r="S703" t="inlineStr">
        <is>
          <t>Válvula extratora modelo 01</t>
        </is>
      </c>
      <c r="T703" t="n">
        <v>2</v>
      </c>
      <c r="U703" t="n">
        <v>156</v>
      </c>
      <c r="V703">
        <f>IF(J703="","",MONTH(J703))</f>
        <v/>
      </c>
      <c r="W703">
        <f>IF(J703="","",YEAR(J703))</f>
        <v/>
      </c>
      <c r="X703" t="inlineStr">
        <is>
          <t>EntregaJá</t>
        </is>
      </c>
      <c r="Y703">
        <f>IFERROR(INDEX(Rastreio!$H$2:$H$200,MATCH(X703&amp;"|"&amp;U703,Rastreio!$A$2:$A$200,0)),"")</f>
        <v/>
      </c>
    </row>
    <row r="704">
      <c r="A704">
        <f>IFERROR(INDEX(STAs!$G$2:$G$61,MATCH(P704,STAs!$F$2:$F$61,0))&amp;"","")</f>
        <v/>
      </c>
      <c r="B704" t="n">
        <v>20039272</v>
      </c>
      <c r="C704" t="inlineStr">
        <is>
          <t>Não</t>
        </is>
      </c>
      <c r="D704" t="inlineStr">
        <is>
          <t>DF</t>
        </is>
      </c>
      <c r="E704" t="inlineStr">
        <is>
          <t>CENTRO OESTE</t>
        </is>
      </c>
      <c r="F704" t="inlineStr">
        <is>
          <t>Cliente A - Refrigerador</t>
        </is>
      </c>
      <c r="G704" t="inlineStr">
        <is>
          <t>Refrigeradores</t>
        </is>
      </c>
      <c r="H704" s="10" t="n">
        <v>25</v>
      </c>
      <c r="I704" s="10">
        <f>IFERROR(T704*H704,0)</f>
        <v/>
      </c>
      <c r="J704" s="11" t="n">
        <v>46030</v>
      </c>
      <c r="K704" s="11" t="n">
        <v>46064</v>
      </c>
      <c r="L704" t="inlineStr">
        <is>
          <t>Ok. Devolvida</t>
        </is>
      </c>
      <c r="M704">
        <f>IF(L704="","",IFERROR(VLOOKUP(L704,mapGrupoStatus,2,0),"Outros"))</f>
        <v/>
      </c>
      <c r="N704">
        <f>IF(O704="","",IF(O704&lt;=30,"0-30 dias",IF(O704&lt;=60,"31-60 dias",IF(O704&lt;=90,"61-90 dias","Mais de 90 dias"))))</f>
        <v/>
      </c>
      <c r="O704">
        <f>IF(OR(M704="Pendente",M704="Em andamento"),IF(J704="","",TODAY()-J704),"")</f>
        <v/>
      </c>
      <c r="P704" t="n">
        <v>10021</v>
      </c>
      <c r="Q704" t="inlineStr">
        <is>
          <t>Termotec Técnica (10021)</t>
        </is>
      </c>
      <c r="R704" t="inlineStr">
        <is>
          <t>PC-0015</t>
        </is>
      </c>
      <c r="S704" t="inlineStr">
        <is>
          <t>Filtro secador modelo 01</t>
        </is>
      </c>
      <c r="T704" t="n">
        <v>1</v>
      </c>
      <c r="U704" t="n">
        <v>156</v>
      </c>
      <c r="V704">
        <f>IF(J704="","",MONTH(J704))</f>
        <v/>
      </c>
      <c r="W704">
        <f>IF(J704="","",YEAR(J704))</f>
        <v/>
      </c>
      <c r="X704" t="inlineStr">
        <is>
          <t>EntregaJá</t>
        </is>
      </c>
      <c r="Y704">
        <f>IFERROR(INDEX(Rastreio!$H$2:$H$200,MATCH(X704&amp;"|"&amp;U704,Rastreio!$A$2:$A$200,0)),"")</f>
        <v/>
      </c>
    </row>
    <row r="705">
      <c r="A705">
        <f>IFERROR(INDEX(STAs!$G$2:$G$61,MATCH(P705,STAs!$F$2:$F$61,0))&amp;"","")</f>
        <v/>
      </c>
      <c r="B705" t="n">
        <v>20013790</v>
      </c>
      <c r="C705" t="inlineStr">
        <is>
          <t>Não</t>
        </is>
      </c>
      <c r="D705" t="inlineStr">
        <is>
          <t>PI</t>
        </is>
      </c>
      <c r="E705" t="inlineStr">
        <is>
          <t>NORDESTE</t>
        </is>
      </c>
      <c r="F705" t="inlineStr">
        <is>
          <t>Cliente B - Chopeira</t>
        </is>
      </c>
      <c r="G705" t="inlineStr">
        <is>
          <t>Misturadores</t>
        </is>
      </c>
      <c r="H705" s="10" t="n">
        <v>50</v>
      </c>
      <c r="I705" s="10">
        <f>IFERROR(T705*H705,0)</f>
        <v/>
      </c>
      <c r="J705" s="11" t="n">
        <v>46031</v>
      </c>
      <c r="K705" s="11" t="n"/>
      <c r="L705" t="inlineStr">
        <is>
          <t>Aguardando devolução</t>
        </is>
      </c>
      <c r="M705">
        <f>IF(L705="","",IFERROR(VLOOKUP(L705,mapGrupoStatus,2,0),"Outros"))</f>
        <v/>
      </c>
      <c r="N705">
        <f>IF(O705="","",IF(O705&lt;=30,"0-30 dias",IF(O705&lt;=60,"31-60 dias",IF(O705&lt;=90,"61-90 dias","Mais de 90 dias"))))</f>
        <v/>
      </c>
      <c r="O705">
        <f>IF(OR(M705="Pendente",M705="Em andamento"),IF(J705="","",TODAY()-J705),"")</f>
        <v/>
      </c>
      <c r="P705" t="n">
        <v>10562</v>
      </c>
      <c r="Q705" t="inlineStr">
        <is>
          <t>Clima &amp; Cia (10562)</t>
        </is>
      </c>
      <c r="R705" t="inlineStr">
        <is>
          <t>PC-0045</t>
        </is>
      </c>
      <c r="S705" t="inlineStr">
        <is>
          <t>Sensor de nível modelo 01</t>
        </is>
      </c>
      <c r="T705" t="n">
        <v>1</v>
      </c>
      <c r="U705" t="inlineStr"/>
      <c r="V705">
        <f>IF(J705="","",MONTH(J705))</f>
        <v/>
      </c>
      <c r="W705">
        <f>IF(J705="","",YEAR(J705))</f>
        <v/>
      </c>
      <c r="X705" t="inlineStr"/>
      <c r="Y705">
        <f>IFERROR(INDEX(Rastreio!$H$2:$H$200,MATCH(X705&amp;"|"&amp;U705,Rastreio!$A$2:$A$200,0)),"")</f>
        <v/>
      </c>
    </row>
    <row r="706">
      <c r="A706">
        <f>IFERROR(INDEX(STAs!$G$2:$G$61,MATCH(P706,STAs!$F$2:$F$61,0))&amp;"","")</f>
        <v/>
      </c>
      <c r="B706" t="n">
        <v>20038959</v>
      </c>
      <c r="C706" t="inlineStr">
        <is>
          <t>Não</t>
        </is>
      </c>
      <c r="D706" t="inlineStr">
        <is>
          <t>AM</t>
        </is>
      </c>
      <c r="E706" t="inlineStr">
        <is>
          <t>NORTE</t>
        </is>
      </c>
      <c r="F706" t="inlineStr">
        <is>
          <t>Cliente B - Chopeira</t>
        </is>
      </c>
      <c r="G706" t="inlineStr">
        <is>
          <t>Refrigeradores</t>
        </is>
      </c>
      <c r="H706" s="10" t="n">
        <v>50</v>
      </c>
      <c r="I706" s="10">
        <f>IFERROR(T706*H706,0)</f>
        <v/>
      </c>
      <c r="J706" s="11" t="n">
        <v>46031</v>
      </c>
      <c r="K706" s="11" t="n"/>
      <c r="L706" t="inlineStr">
        <is>
          <t>Não Devolve-Norte</t>
        </is>
      </c>
      <c r="M706">
        <f>IF(L706="","",IFERROR(VLOOKUP(L706,mapGrupoStatus,2,0),"Outros"))</f>
        <v/>
      </c>
      <c r="N706">
        <f>IF(O706="","",IF(O706&lt;=30,"0-30 dias",IF(O706&lt;=60,"31-60 dias",IF(O706&lt;=90,"61-90 dias","Mais de 90 dias"))))</f>
        <v/>
      </c>
      <c r="O706">
        <f>IF(OR(M706="Pendente",M706="Em andamento"),IF(J706="","",TODAY()-J706),"")</f>
        <v/>
      </c>
      <c r="P706" t="n">
        <v>10842</v>
      </c>
      <c r="Q706" t="inlineStr">
        <is>
          <t>Frigo &amp; Cia (10842)</t>
        </is>
      </c>
      <c r="R706" t="inlineStr">
        <is>
          <t>PC-0006</t>
        </is>
      </c>
      <c r="S706" t="inlineStr">
        <is>
          <t>Termostato modelo 03</t>
        </is>
      </c>
      <c r="T706" t="n">
        <v>1</v>
      </c>
      <c r="U706" t="inlineStr"/>
      <c r="V706">
        <f>IF(J706="","",MONTH(J706))</f>
        <v/>
      </c>
      <c r="W706">
        <f>IF(J706="","",YEAR(J706))</f>
        <v/>
      </c>
      <c r="X706" t="inlineStr"/>
      <c r="Y706">
        <f>IFERROR(INDEX(Rastreio!$H$2:$H$200,MATCH(X706&amp;"|"&amp;U706,Rastreio!$A$2:$A$200,0)),"")</f>
        <v/>
      </c>
    </row>
    <row r="707">
      <c r="A707">
        <f>IFERROR(INDEX(STAs!$G$2:$G$61,MATCH(P707,STAs!$F$2:$F$61,0))&amp;"","")</f>
        <v/>
      </c>
      <c r="B707" t="n">
        <v>20040866</v>
      </c>
      <c r="C707" t="inlineStr">
        <is>
          <t>Não</t>
        </is>
      </c>
      <c r="D707" t="inlineStr">
        <is>
          <t>PR</t>
        </is>
      </c>
      <c r="E707" t="inlineStr">
        <is>
          <t>SUL</t>
        </is>
      </c>
      <c r="F707" t="inlineStr">
        <is>
          <t>Cliente A - Refrigerador</t>
        </is>
      </c>
      <c r="G707" t="inlineStr">
        <is>
          <t>Refrigeradores</t>
        </is>
      </c>
      <c r="H707" s="10" t="n">
        <v>55</v>
      </c>
      <c r="I707" s="10">
        <f>IFERROR(T707*H707,0)</f>
        <v/>
      </c>
      <c r="J707" s="11" t="n">
        <v>46031</v>
      </c>
      <c r="K707" s="11" t="n"/>
      <c r="L707" t="inlineStr">
        <is>
          <t>Em andamento</t>
        </is>
      </c>
      <c r="M707">
        <f>IF(L707="","",IFERROR(VLOOKUP(L707,mapGrupoStatus,2,0),"Outros"))</f>
        <v/>
      </c>
      <c r="N707">
        <f>IF(O707="","",IF(O707&lt;=30,"0-30 dias",IF(O707&lt;=60,"31-60 dias",IF(O707&lt;=90,"61-90 dias","Mais de 90 dias"))))</f>
        <v/>
      </c>
      <c r="O707">
        <f>IF(OR(M707="Pendente",M707="Em andamento"),IF(J707="","",TODAY()-J707),"")</f>
        <v/>
      </c>
      <c r="P707" t="n">
        <v>11898</v>
      </c>
      <c r="Q707" t="inlineStr">
        <is>
          <t>Refrigel Express (11898)</t>
        </is>
      </c>
      <c r="R707" t="inlineStr">
        <is>
          <t>PC-0008</t>
        </is>
      </c>
      <c r="S707" t="inlineStr">
        <is>
          <t>Ventilador modelo 02</t>
        </is>
      </c>
      <c r="T707" t="n">
        <v>1</v>
      </c>
      <c r="U707" t="n">
        <v>178</v>
      </c>
      <c r="V707">
        <f>IF(J707="","",MONTH(J707))</f>
        <v/>
      </c>
      <c r="W707">
        <f>IF(J707="","",YEAR(J707))</f>
        <v/>
      </c>
      <c r="X707" t="inlineStr">
        <is>
          <t>RotaSul</t>
        </is>
      </c>
      <c r="Y707">
        <f>IFERROR(INDEX(Rastreio!$H$2:$H$200,MATCH(X707&amp;"|"&amp;U707,Rastreio!$A$2:$A$200,0)),"")</f>
        <v/>
      </c>
    </row>
    <row r="708">
      <c r="A708">
        <f>IFERROR(INDEX(STAs!$G$2:$G$61,MATCH(P708,STAs!$F$2:$F$61,0))&amp;"","")</f>
        <v/>
      </c>
      <c r="B708" t="n">
        <v>20001330</v>
      </c>
      <c r="C708" t="inlineStr">
        <is>
          <t>Não</t>
        </is>
      </c>
      <c r="D708" t="inlineStr">
        <is>
          <t>SP</t>
        </is>
      </c>
      <c r="E708" t="inlineStr">
        <is>
          <t>SUDESTE SP</t>
        </is>
      </c>
      <c r="F708" t="inlineStr">
        <is>
          <t>Cliente B - Chopeira</t>
        </is>
      </c>
      <c r="G708" t="inlineStr">
        <is>
          <t>Refrigeradores</t>
        </is>
      </c>
      <c r="H708" s="10" t="n">
        <v>45</v>
      </c>
      <c r="I708" s="10">
        <f>IFERROR(T708*H708,0)</f>
        <v/>
      </c>
      <c r="J708" s="11" t="n">
        <v>46032</v>
      </c>
      <c r="K708" s="11" t="n"/>
      <c r="L708" t="inlineStr">
        <is>
          <t>Debitar do STA</t>
        </is>
      </c>
      <c r="M708">
        <f>IF(L708="","",IFERROR(VLOOKUP(L708,mapGrupoStatus,2,0),"Outros"))</f>
        <v/>
      </c>
      <c r="N708">
        <f>IF(O708="","",IF(O708&lt;=30,"0-30 dias",IF(O708&lt;=60,"31-60 dias",IF(O708&lt;=90,"61-90 dias","Mais de 90 dias"))))</f>
        <v/>
      </c>
      <c r="O708">
        <f>IF(OR(M708="Pendente",M708="Em andamento"),IF(J708="","",TODAY()-J708),"")</f>
        <v/>
      </c>
      <c r="P708" t="n">
        <v>12901</v>
      </c>
      <c r="Q708" t="inlineStr">
        <is>
          <t>Frio Serviços (12901)</t>
        </is>
      </c>
      <c r="R708" t="inlineStr">
        <is>
          <t>PC-0018</t>
        </is>
      </c>
      <c r="S708" t="inlineStr">
        <is>
          <t>Gaxeta da porta modelo 01</t>
        </is>
      </c>
      <c r="T708" t="n">
        <v>3</v>
      </c>
      <c r="U708" t="inlineStr"/>
      <c r="V708">
        <f>IF(J708="","",MONTH(J708))</f>
        <v/>
      </c>
      <c r="W708">
        <f>IF(J708="","",YEAR(J708))</f>
        <v/>
      </c>
      <c r="X708" t="inlineStr"/>
      <c r="Y708">
        <f>IFERROR(INDEX(Rastreio!$H$2:$H$200,MATCH(X708&amp;"|"&amp;U708,Rastreio!$A$2:$A$200,0)),"")</f>
        <v/>
      </c>
    </row>
    <row r="709">
      <c r="A709">
        <f>IFERROR(INDEX(STAs!$G$2:$G$61,MATCH(P709,STAs!$F$2:$F$61,0))&amp;"","")</f>
        <v/>
      </c>
      <c r="B709" t="n">
        <v>20004965</v>
      </c>
      <c r="C709" t="inlineStr">
        <is>
          <t>Não</t>
        </is>
      </c>
      <c r="D709" t="inlineStr">
        <is>
          <t>BA</t>
        </is>
      </c>
      <c r="E709" t="inlineStr">
        <is>
          <t>NORDESTE</t>
        </is>
      </c>
      <c r="F709" t="inlineStr">
        <is>
          <t>Cliente B - Chopeira</t>
        </is>
      </c>
      <c r="G709" t="inlineStr">
        <is>
          <t>Chopeiras</t>
        </is>
      </c>
      <c r="H709" s="10" t="n">
        <v>85</v>
      </c>
      <c r="I709" s="10">
        <f>IFERROR(T709*H709,0)</f>
        <v/>
      </c>
      <c r="J709" s="11" t="n">
        <v>46032</v>
      </c>
      <c r="K709" s="11" t="n"/>
      <c r="L709" t="inlineStr">
        <is>
          <t>Aguardando devolução</t>
        </is>
      </c>
      <c r="M709">
        <f>IF(L709="","",IFERROR(VLOOKUP(L709,mapGrupoStatus,2,0),"Outros"))</f>
        <v/>
      </c>
      <c r="N709">
        <f>IF(O709="","",IF(O709&lt;=30,"0-30 dias",IF(O709&lt;=60,"31-60 dias",IF(O709&lt;=90,"61-90 dias","Mais de 90 dias"))))</f>
        <v/>
      </c>
      <c r="O709">
        <f>IF(OR(M709="Pendente",M709="Em andamento"),IF(J709="","",TODAY()-J709),"")</f>
        <v/>
      </c>
      <c r="P709" t="n">
        <v>11538</v>
      </c>
      <c r="Q709" t="inlineStr">
        <is>
          <t>Clima Manutenção (11538)</t>
        </is>
      </c>
      <c r="R709" t="inlineStr">
        <is>
          <t>PC-0036</t>
        </is>
      </c>
      <c r="S709" t="inlineStr">
        <is>
          <t>Válvula extratora modelo 02</t>
        </is>
      </c>
      <c r="T709" t="n">
        <v>3</v>
      </c>
      <c r="U709" t="inlineStr"/>
      <c r="V709">
        <f>IF(J709="","",MONTH(J709))</f>
        <v/>
      </c>
      <c r="W709">
        <f>IF(J709="","",YEAR(J709))</f>
        <v/>
      </c>
      <c r="X709" t="inlineStr"/>
      <c r="Y709">
        <f>IFERROR(INDEX(Rastreio!$H$2:$H$200,MATCH(X709&amp;"|"&amp;U709,Rastreio!$A$2:$A$200,0)),"")</f>
        <v/>
      </c>
    </row>
    <row r="710">
      <c r="A710">
        <f>IFERROR(INDEX(STAs!$G$2:$G$61,MATCH(P710,STAs!$F$2:$F$61,0))&amp;"","")</f>
        <v/>
      </c>
      <c r="B710" t="n">
        <v>20012237</v>
      </c>
      <c r="C710" t="inlineStr">
        <is>
          <t>Sim</t>
        </is>
      </c>
      <c r="D710" t="inlineStr">
        <is>
          <t>GO</t>
        </is>
      </c>
      <c r="E710" t="inlineStr">
        <is>
          <t>CENTRO OESTE</t>
        </is>
      </c>
      <c r="F710" t="inlineStr">
        <is>
          <t>Cliente A - Refrigerador</t>
        </is>
      </c>
      <c r="G710" t="inlineStr">
        <is>
          <t>Misturadores</t>
        </is>
      </c>
      <c r="H710" s="10" t="n">
        <v>200</v>
      </c>
      <c r="I710" s="10">
        <f>IFERROR(T710*H710,0)</f>
        <v/>
      </c>
      <c r="J710" s="11" t="n">
        <v>46032</v>
      </c>
      <c r="K710" s="11" t="n">
        <v>46051</v>
      </c>
      <c r="L710" t="inlineStr">
        <is>
          <t>Ok. Devolvida</t>
        </is>
      </c>
      <c r="M710">
        <f>IF(L710="","",IFERROR(VLOOKUP(L710,mapGrupoStatus,2,0),"Outros"))</f>
        <v/>
      </c>
      <c r="N710">
        <f>IF(O710="","",IF(O710&lt;=30,"0-30 dias",IF(O710&lt;=60,"31-60 dias",IF(O710&lt;=90,"61-90 dias","Mais de 90 dias"))))</f>
        <v/>
      </c>
      <c r="O710">
        <f>IF(OR(M710="Pendente",M710="Em andamento"),IF(J710="","",TODAY()-J710),"")</f>
        <v/>
      </c>
      <c r="P710" t="n">
        <v>11677</v>
      </c>
      <c r="Q710" t="inlineStr">
        <is>
          <t>Cool Service Manutenção (11677)</t>
        </is>
      </c>
      <c r="R710" t="inlineStr">
        <is>
          <t>PC-0040</t>
        </is>
      </c>
      <c r="S710" t="inlineStr">
        <is>
          <t>Motor agitador modelo 01</t>
        </is>
      </c>
      <c r="T710" t="n">
        <v>2</v>
      </c>
      <c r="U710" t="n">
        <v>123</v>
      </c>
      <c r="V710">
        <f>IF(J710="","",MONTH(J710))</f>
        <v/>
      </c>
      <c r="W710">
        <f>IF(J710="","",YEAR(J710))</f>
        <v/>
      </c>
      <c r="X710" t="inlineStr">
        <is>
          <t>CargoMax</t>
        </is>
      </c>
      <c r="Y710">
        <f>IFERROR(INDEX(Rastreio!$H$2:$H$200,MATCH(X710&amp;"|"&amp;U710,Rastreio!$A$2:$A$200,0)),"")</f>
        <v/>
      </c>
    </row>
    <row r="711">
      <c r="A711">
        <f>IFERROR(INDEX(STAs!$G$2:$G$61,MATCH(P711,STAs!$F$2:$F$61,0))&amp;"","")</f>
        <v/>
      </c>
      <c r="B711" t="n">
        <v>20023004</v>
      </c>
      <c r="C711" t="inlineStr">
        <is>
          <t>Não</t>
        </is>
      </c>
      <c r="D711" t="inlineStr">
        <is>
          <t>MS</t>
        </is>
      </c>
      <c r="E711" t="inlineStr">
        <is>
          <t>CENTRO OESTE</t>
        </is>
      </c>
      <c r="F711" t="inlineStr">
        <is>
          <t>Cliente A - Refrigerador</t>
        </is>
      </c>
      <c r="G711" t="inlineStr">
        <is>
          <t>Refrigeradores</t>
        </is>
      </c>
      <c r="H711" s="10" t="n">
        <v>45</v>
      </c>
      <c r="I711" s="10">
        <f>IFERROR(T711*H711,0)</f>
        <v/>
      </c>
      <c r="J711" s="11" t="n">
        <v>46032</v>
      </c>
      <c r="K711" s="11" t="n"/>
      <c r="L711" t="inlineStr">
        <is>
          <t>Em andamento</t>
        </is>
      </c>
      <c r="M711">
        <f>IF(L711="","",IFERROR(VLOOKUP(L711,mapGrupoStatus,2,0),"Outros"))</f>
        <v/>
      </c>
      <c r="N711">
        <f>IF(O711="","",IF(O711&lt;=30,"0-30 dias",IF(O711&lt;=60,"31-60 dias",IF(O711&lt;=90,"61-90 dias","Mais de 90 dias"))))</f>
        <v/>
      </c>
      <c r="O711">
        <f>IF(OR(M711="Pendente",M711="Em andamento"),IF(J711="","",TODAY()-J711),"")</f>
        <v/>
      </c>
      <c r="P711" t="n">
        <v>12280</v>
      </c>
      <c r="Q711" t="inlineStr">
        <is>
          <t>Termotec &amp; Cia (12280)</t>
        </is>
      </c>
      <c r="R711" t="inlineStr">
        <is>
          <t>PC-0018</t>
        </is>
      </c>
      <c r="S711" t="inlineStr">
        <is>
          <t>Gaxeta da porta modelo 01</t>
        </is>
      </c>
      <c r="T711" t="n">
        <v>2</v>
      </c>
      <c r="U711" t="n">
        <v>135</v>
      </c>
      <c r="V711">
        <f>IF(J711="","",MONTH(J711))</f>
        <v/>
      </c>
      <c r="W711">
        <f>IF(J711="","",YEAR(J711))</f>
        <v/>
      </c>
      <c r="X711" t="inlineStr">
        <is>
          <t>EntregaJá</t>
        </is>
      </c>
      <c r="Y711">
        <f>IFERROR(INDEX(Rastreio!$H$2:$H$200,MATCH(X711&amp;"|"&amp;U711,Rastreio!$A$2:$A$200,0)),"")</f>
        <v/>
      </c>
    </row>
    <row r="712">
      <c r="A712">
        <f>IFERROR(INDEX(STAs!$G$2:$G$61,MATCH(P712,STAs!$F$2:$F$61,0))&amp;"","")</f>
        <v/>
      </c>
      <c r="B712" t="n">
        <v>20032328</v>
      </c>
      <c r="C712" t="inlineStr">
        <is>
          <t>Sim</t>
        </is>
      </c>
      <c r="D712" t="inlineStr">
        <is>
          <t>GO</t>
        </is>
      </c>
      <c r="E712" t="inlineStr">
        <is>
          <t>CENTRO OESTE</t>
        </is>
      </c>
      <c r="F712" t="inlineStr">
        <is>
          <t>Cliente A - Refrigerador</t>
        </is>
      </c>
      <c r="G712" t="inlineStr">
        <is>
          <t>Refrigeradores</t>
        </is>
      </c>
      <c r="H712" s="10" t="n">
        <v>35</v>
      </c>
      <c r="I712" s="10">
        <f>IFERROR(T712*H712,0)</f>
        <v/>
      </c>
      <c r="J712" s="11" t="n">
        <v>46032</v>
      </c>
      <c r="K712" s="11" t="n"/>
      <c r="L712" t="inlineStr">
        <is>
          <t>Aguardando devolução</t>
        </is>
      </c>
      <c r="M712">
        <f>IF(L712="","",IFERROR(VLOOKUP(L712,mapGrupoStatus,2,0),"Outros"))</f>
        <v/>
      </c>
      <c r="N712">
        <f>IF(O712="","",IF(O712&lt;=30,"0-30 dias",IF(O712&lt;=60,"31-60 dias",IF(O712&lt;=90,"61-90 dias","Mais de 90 dias"))))</f>
        <v/>
      </c>
      <c r="O712">
        <f>IF(OR(M712="Pendente",M712="Em andamento"),IF(J712="","",TODAY()-J712),"")</f>
        <v/>
      </c>
      <c r="P712" t="n">
        <v>11677</v>
      </c>
      <c r="Q712" t="inlineStr">
        <is>
          <t>Cool Service Manutenção (11677)</t>
        </is>
      </c>
      <c r="R712" t="inlineStr">
        <is>
          <t>PC-0016</t>
        </is>
      </c>
      <c r="S712" t="inlineStr">
        <is>
          <t>Filtro secador modelo 02</t>
        </is>
      </c>
      <c r="T712" t="n">
        <v>1</v>
      </c>
      <c r="U712" t="inlineStr"/>
      <c r="V712">
        <f>IF(J712="","",MONTH(J712))</f>
        <v/>
      </c>
      <c r="W712">
        <f>IF(J712="","",YEAR(J712))</f>
        <v/>
      </c>
      <c r="X712" t="inlineStr"/>
      <c r="Y712">
        <f>IFERROR(INDEX(Rastreio!$H$2:$H$200,MATCH(X712&amp;"|"&amp;U712,Rastreio!$A$2:$A$200,0)),"")</f>
        <v/>
      </c>
    </row>
    <row r="713">
      <c r="A713">
        <f>IFERROR(INDEX(STAs!$G$2:$G$61,MATCH(P713,STAs!$F$2:$F$61,0))&amp;"","")</f>
        <v/>
      </c>
      <c r="B713" t="n">
        <v>20035324</v>
      </c>
      <c r="C713" t="inlineStr">
        <is>
          <t>Não</t>
        </is>
      </c>
      <c r="D713" t="inlineStr">
        <is>
          <t>SP</t>
        </is>
      </c>
      <c r="E713" t="inlineStr">
        <is>
          <t>SUDESTE SP</t>
        </is>
      </c>
      <c r="F713" t="inlineStr">
        <is>
          <t>Cliente C - Misturador</t>
        </is>
      </c>
      <c r="G713" t="inlineStr">
        <is>
          <t>Refrigeradores</t>
        </is>
      </c>
      <c r="H713" s="10" t="n">
        <v>155</v>
      </c>
      <c r="I713" s="10">
        <f>IFERROR(T713*H713,0)</f>
        <v/>
      </c>
      <c r="J713" s="11" t="n">
        <v>46032</v>
      </c>
      <c r="K713" s="11" t="n"/>
      <c r="L713" t="inlineStr">
        <is>
          <t>Debitar do STA</t>
        </is>
      </c>
      <c r="M713">
        <f>IF(L713="","",IFERROR(VLOOKUP(L713,mapGrupoStatus,2,0),"Outros"))</f>
        <v/>
      </c>
      <c r="N713">
        <f>IF(O713="","",IF(O713&lt;=30,"0-30 dias",IF(O713&lt;=60,"31-60 dias",IF(O713&lt;=90,"61-90 dias","Mais de 90 dias"))))</f>
        <v/>
      </c>
      <c r="O713">
        <f>IF(OR(M713="Pendente",M713="Em andamento"),IF(J713="","",TODAY()-J713),"")</f>
        <v/>
      </c>
      <c r="P713" t="n">
        <v>11710</v>
      </c>
      <c r="Q713" t="inlineStr">
        <is>
          <t>Brisa &amp; Cia (11710)</t>
        </is>
      </c>
      <c r="R713" t="inlineStr">
        <is>
          <t>PC-0021</t>
        </is>
      </c>
      <c r="S713" t="inlineStr">
        <is>
          <t>Controlador digital modelo 01</t>
        </is>
      </c>
      <c r="T713" t="n">
        <v>2</v>
      </c>
      <c r="U713" t="inlineStr"/>
      <c r="V713">
        <f>IF(J713="","",MONTH(J713))</f>
        <v/>
      </c>
      <c r="W713">
        <f>IF(J713="","",YEAR(J713))</f>
        <v/>
      </c>
      <c r="X713" t="inlineStr"/>
      <c r="Y713">
        <f>IFERROR(INDEX(Rastreio!$H$2:$H$200,MATCH(X713&amp;"|"&amp;U713,Rastreio!$A$2:$A$200,0)),"")</f>
        <v/>
      </c>
    </row>
    <row r="714">
      <c r="A714">
        <f>IFERROR(INDEX(STAs!$G$2:$G$61,MATCH(P714,STAs!$F$2:$F$61,0))&amp;"","")</f>
        <v/>
      </c>
      <c r="B714" t="n">
        <v>20007155</v>
      </c>
      <c r="C714" t="inlineStr">
        <is>
          <t>Não</t>
        </is>
      </c>
      <c r="D714" t="inlineStr">
        <is>
          <t>MS</t>
        </is>
      </c>
      <c r="E714" t="inlineStr">
        <is>
          <t>CENTRO OESTE</t>
        </is>
      </c>
      <c r="F714" t="inlineStr">
        <is>
          <t>Cliente A - Refrigerador</t>
        </is>
      </c>
      <c r="G714" t="inlineStr">
        <is>
          <t>Misturadores</t>
        </is>
      </c>
      <c r="H714" s="10" t="n">
        <v>265</v>
      </c>
      <c r="I714" s="10">
        <f>IFERROR(T714*H714,0)</f>
        <v/>
      </c>
      <c r="J714" s="11" t="n">
        <v>46033</v>
      </c>
      <c r="K714" s="11" t="n"/>
      <c r="L714" t="inlineStr">
        <is>
          <t>Debitar do STA</t>
        </is>
      </c>
      <c r="M714">
        <f>IF(L714="","",IFERROR(VLOOKUP(L714,mapGrupoStatus,2,0),"Outros"))</f>
        <v/>
      </c>
      <c r="N714">
        <f>IF(O714="","",IF(O714&lt;=30,"0-30 dias",IF(O714&lt;=60,"31-60 dias",IF(O714&lt;=90,"61-90 dias","Mais de 90 dias"))))</f>
        <v/>
      </c>
      <c r="O714">
        <f>IF(OR(M714="Pendente",M714="Em andamento"),IF(J714="","",TODAY()-J714),"")</f>
        <v/>
      </c>
      <c r="P714" t="n">
        <v>10302</v>
      </c>
      <c r="Q714" t="inlineStr">
        <is>
          <t>Ice Tech Express (10302)</t>
        </is>
      </c>
      <c r="R714" t="inlineStr">
        <is>
          <t>PC-0038</t>
        </is>
      </c>
      <c r="S714" t="inlineStr">
        <is>
          <t>Bomba de recirculação modelo 02</t>
        </is>
      </c>
      <c r="T714" t="n">
        <v>1</v>
      </c>
      <c r="U714" t="inlineStr"/>
      <c r="V714">
        <f>IF(J714="","",MONTH(J714))</f>
        <v/>
      </c>
      <c r="W714">
        <f>IF(J714="","",YEAR(J714))</f>
        <v/>
      </c>
      <c r="X714" t="inlineStr"/>
      <c r="Y714">
        <f>IFERROR(INDEX(Rastreio!$H$2:$H$200,MATCH(X714&amp;"|"&amp;U714,Rastreio!$A$2:$A$200,0)),"")</f>
        <v/>
      </c>
    </row>
    <row r="715">
      <c r="A715">
        <f>IFERROR(INDEX(STAs!$G$2:$G$61,MATCH(P715,STAs!$F$2:$F$61,0))&amp;"","")</f>
        <v/>
      </c>
      <c r="B715" t="n">
        <v>20011286</v>
      </c>
      <c r="C715" t="inlineStr">
        <is>
          <t>Não</t>
        </is>
      </c>
      <c r="D715" t="inlineStr">
        <is>
          <t>RJ</t>
        </is>
      </c>
      <c r="E715" t="inlineStr">
        <is>
          <t>SUDESTE RJ e ES</t>
        </is>
      </c>
      <c r="F715" t="inlineStr">
        <is>
          <t>Cliente C - Misturador</t>
        </is>
      </c>
      <c r="G715" t="inlineStr">
        <is>
          <t>Refrigeradores</t>
        </is>
      </c>
      <c r="H715" s="10" t="n">
        <v>35</v>
      </c>
      <c r="I715" s="10">
        <f>IFERROR(T715*H715,0)</f>
        <v/>
      </c>
      <c r="J715" s="11" t="n">
        <v>46033</v>
      </c>
      <c r="K715" s="11" t="n">
        <v>46054</v>
      </c>
      <c r="L715" t="inlineStr">
        <is>
          <t>Ok. Devolvida</t>
        </is>
      </c>
      <c r="M715">
        <f>IF(L715="","",IFERROR(VLOOKUP(L715,mapGrupoStatus,2,0),"Outros"))</f>
        <v/>
      </c>
      <c r="N715">
        <f>IF(O715="","",IF(O715&lt;=30,"0-30 dias",IF(O715&lt;=60,"31-60 dias",IF(O715&lt;=90,"61-90 dias","Mais de 90 dias"))))</f>
        <v/>
      </c>
      <c r="O715">
        <f>IF(OR(M715="Pendente",M715="Em andamento"),IF(J715="","",TODAY()-J715),"")</f>
        <v/>
      </c>
      <c r="P715" t="n">
        <v>11059</v>
      </c>
      <c r="Q715" t="inlineStr">
        <is>
          <t>Frio Ltda (11059)</t>
        </is>
      </c>
      <c r="R715" t="inlineStr">
        <is>
          <t>PC-0024</t>
        </is>
      </c>
      <c r="S715" t="inlineStr">
        <is>
          <t>Relé de partida modelo 02</t>
        </is>
      </c>
      <c r="T715" t="n">
        <v>1</v>
      </c>
      <c r="U715" t="n">
        <v>119</v>
      </c>
      <c r="V715">
        <f>IF(J715="","",MONTH(J715))</f>
        <v/>
      </c>
      <c r="W715">
        <f>IF(J715="","",YEAR(J715))</f>
        <v/>
      </c>
      <c r="X715" t="inlineStr">
        <is>
          <t>TransNorte</t>
        </is>
      </c>
      <c r="Y715">
        <f>IFERROR(INDEX(Rastreio!$H$2:$H$200,MATCH(X715&amp;"|"&amp;U715,Rastreio!$A$2:$A$200,0)),"")</f>
        <v/>
      </c>
    </row>
    <row r="716">
      <c r="A716">
        <f>IFERROR(INDEX(STAs!$G$2:$G$61,MATCH(P716,STAs!$F$2:$F$61,0))&amp;"","")</f>
        <v/>
      </c>
      <c r="B716" t="n">
        <v>20017714</v>
      </c>
      <c r="C716" t="inlineStr">
        <is>
          <t>Sim</t>
        </is>
      </c>
      <c r="D716" t="inlineStr">
        <is>
          <t>PR</t>
        </is>
      </c>
      <c r="E716" t="inlineStr">
        <is>
          <t>SUL</t>
        </is>
      </c>
      <c r="F716" t="inlineStr">
        <is>
          <t>Cliente B - Chopeira</t>
        </is>
      </c>
      <c r="G716" t="inlineStr">
        <is>
          <t>Refrigeradores</t>
        </is>
      </c>
      <c r="H716" s="10" t="n">
        <v>70</v>
      </c>
      <c r="I716" s="10">
        <f>IFERROR(T716*H716,0)</f>
        <v/>
      </c>
      <c r="J716" s="11" t="n">
        <v>46033</v>
      </c>
      <c r="K716" s="11" t="n"/>
      <c r="L716" t="inlineStr">
        <is>
          <t>Aguardando devolução</t>
        </is>
      </c>
      <c r="M716">
        <f>IF(L716="","",IFERROR(VLOOKUP(L716,mapGrupoStatus,2,0),"Outros"))</f>
        <v/>
      </c>
      <c r="N716">
        <f>IF(O716="","",IF(O716&lt;=30,"0-30 dias",IF(O716&lt;=60,"31-60 dias",IF(O716&lt;=90,"61-90 dias","Mais de 90 dias"))))</f>
        <v/>
      </c>
      <c r="O716">
        <f>IF(OR(M716="Pendente",M716="Em andamento"),IF(J716="","",TODAY()-J716),"")</f>
        <v/>
      </c>
      <c r="P716" t="n">
        <v>10913</v>
      </c>
      <c r="Q716" t="inlineStr">
        <is>
          <t>Ice Tech &amp; Cia (10913)</t>
        </is>
      </c>
      <c r="R716" t="inlineStr">
        <is>
          <t>PC-0009</t>
        </is>
      </c>
      <c r="S716" t="inlineStr">
        <is>
          <t>Ventilador modelo 03</t>
        </is>
      </c>
      <c r="T716" t="n">
        <v>1</v>
      </c>
      <c r="U716" t="inlineStr"/>
      <c r="V716">
        <f>IF(J716="","",MONTH(J716))</f>
        <v/>
      </c>
      <c r="W716">
        <f>IF(J716="","",YEAR(J716))</f>
        <v/>
      </c>
      <c r="X716" t="inlineStr"/>
      <c r="Y716">
        <f>IFERROR(INDEX(Rastreio!$H$2:$H$200,MATCH(X716&amp;"|"&amp;U716,Rastreio!$A$2:$A$200,0)),"")</f>
        <v/>
      </c>
    </row>
    <row r="717">
      <c r="A717">
        <f>IFERROR(INDEX(STAs!$G$2:$G$61,MATCH(P717,STAs!$F$2:$F$61,0))&amp;"","")</f>
        <v/>
      </c>
      <c r="B717" t="n">
        <v>20020230</v>
      </c>
      <c r="C717" t="inlineStr">
        <is>
          <t>Não</t>
        </is>
      </c>
      <c r="D717" t="inlineStr">
        <is>
          <t>RR</t>
        </is>
      </c>
      <c r="E717" t="inlineStr">
        <is>
          <t>NORTE</t>
        </is>
      </c>
      <c r="F717" t="inlineStr">
        <is>
          <t>Cliente C - Misturador</t>
        </is>
      </c>
      <c r="G717" t="inlineStr">
        <is>
          <t>Chopeiras</t>
        </is>
      </c>
      <c r="H717" s="10" t="n">
        <v>100</v>
      </c>
      <c r="I717" s="10">
        <f>IFERROR(T717*H717,0)</f>
        <v/>
      </c>
      <c r="J717" s="11" t="n">
        <v>46033</v>
      </c>
      <c r="K717" s="11" t="n">
        <v>46045</v>
      </c>
      <c r="L717" t="inlineStr">
        <is>
          <t>Ok. Devolvida</t>
        </is>
      </c>
      <c r="M717">
        <f>IF(L717="","",IFERROR(VLOOKUP(L717,mapGrupoStatus,2,0),"Outros"))</f>
        <v/>
      </c>
      <c r="N717">
        <f>IF(O717="","",IF(O717&lt;=30,"0-30 dias",IF(O717&lt;=60,"31-60 dias",IF(O717&lt;=90,"61-90 dias","Mais de 90 dias"))))</f>
        <v/>
      </c>
      <c r="O717">
        <f>IF(OR(M717="Pendente",M717="Em andamento"),IF(J717="","",TODAY()-J717),"")</f>
        <v/>
      </c>
      <c r="P717" t="n">
        <v>10468</v>
      </c>
      <c r="Q717" t="inlineStr">
        <is>
          <t>Clima Express (10468)</t>
        </is>
      </c>
      <c r="R717" t="inlineStr">
        <is>
          <t>PC-0027</t>
        </is>
      </c>
      <c r="S717" t="inlineStr">
        <is>
          <t>Torneira de chopp modelo 02</t>
        </is>
      </c>
      <c r="T717" t="n">
        <v>1</v>
      </c>
      <c r="U717" t="n">
        <v>135</v>
      </c>
      <c r="V717">
        <f>IF(J717="","",MONTH(J717))</f>
        <v/>
      </c>
      <c r="W717">
        <f>IF(J717="","",YEAR(J717))</f>
        <v/>
      </c>
      <c r="X717" t="inlineStr">
        <is>
          <t>LogExpress</t>
        </is>
      </c>
      <c r="Y717">
        <f>IFERROR(INDEX(Rastreio!$H$2:$H$200,MATCH(X717&amp;"|"&amp;U717,Rastreio!$A$2:$A$200,0)),"")</f>
        <v/>
      </c>
    </row>
    <row r="718">
      <c r="A718">
        <f>IFERROR(INDEX(STAs!$G$2:$G$61,MATCH(P718,STAs!$F$2:$F$61,0))&amp;"","")</f>
        <v/>
      </c>
      <c r="B718" t="n">
        <v>20026672</v>
      </c>
      <c r="C718" t="inlineStr">
        <is>
          <t>Não</t>
        </is>
      </c>
      <c r="D718" t="inlineStr">
        <is>
          <t>PI</t>
        </is>
      </c>
      <c r="E718" t="inlineStr">
        <is>
          <t>NORDESTE</t>
        </is>
      </c>
      <c r="F718" t="inlineStr">
        <is>
          <t>Cliente A - Refrigerador</t>
        </is>
      </c>
      <c r="G718" t="inlineStr">
        <is>
          <t>Misturadores</t>
        </is>
      </c>
      <c r="H718" s="10" t="n">
        <v>50</v>
      </c>
      <c r="I718" s="10">
        <f>IFERROR(T718*H718,0)</f>
        <v/>
      </c>
      <c r="J718" s="11" t="n">
        <v>46033</v>
      </c>
      <c r="K718" s="11" t="n"/>
      <c r="L718" t="inlineStr">
        <is>
          <t>NF Vencida</t>
        </is>
      </c>
      <c r="M718">
        <f>IF(L718="","",IFERROR(VLOOKUP(L718,mapGrupoStatus,2,0),"Outros"))</f>
        <v/>
      </c>
      <c r="N718">
        <f>IF(O718="","",IF(O718&lt;=30,"0-30 dias",IF(O718&lt;=60,"31-60 dias",IF(O718&lt;=90,"61-90 dias","Mais de 90 dias"))))</f>
        <v/>
      </c>
      <c r="O718">
        <f>IF(OR(M718="Pendente",M718="Em andamento"),IF(J718="","",TODAY()-J718),"")</f>
        <v/>
      </c>
      <c r="P718" t="n">
        <v>12936</v>
      </c>
      <c r="Q718" t="inlineStr">
        <is>
          <t>Frigo Técnica (12936)</t>
        </is>
      </c>
      <c r="R718" t="inlineStr">
        <is>
          <t>PC-0045</t>
        </is>
      </c>
      <c r="S718" t="inlineStr">
        <is>
          <t>Sensor de nível modelo 01</t>
        </is>
      </c>
      <c r="T718" t="n">
        <v>1</v>
      </c>
      <c r="U718" t="inlineStr"/>
      <c r="V718">
        <f>IF(J718="","",MONTH(J718))</f>
        <v/>
      </c>
      <c r="W718">
        <f>IF(J718="","",YEAR(J718))</f>
        <v/>
      </c>
      <c r="X718" t="inlineStr"/>
      <c r="Y718">
        <f>IFERROR(INDEX(Rastreio!$H$2:$H$200,MATCH(X718&amp;"|"&amp;U718,Rastreio!$A$2:$A$200,0)),"")</f>
        <v/>
      </c>
    </row>
    <row r="719">
      <c r="A719">
        <f>IFERROR(INDEX(STAs!$G$2:$G$61,MATCH(P719,STAs!$F$2:$F$61,0))&amp;"","")</f>
        <v/>
      </c>
      <c r="B719" t="n">
        <v>20029357</v>
      </c>
      <c r="C719" t="inlineStr">
        <is>
          <t>Sim</t>
        </is>
      </c>
      <c r="D719" t="inlineStr">
        <is>
          <t>PR</t>
        </is>
      </c>
      <c r="E719" t="inlineStr">
        <is>
          <t>SUL</t>
        </is>
      </c>
      <c r="F719" t="inlineStr">
        <is>
          <t>Cliente A - Refrigerador</t>
        </is>
      </c>
      <c r="G719" t="inlineStr">
        <is>
          <t>Refrigeradores</t>
        </is>
      </c>
      <c r="H719" s="10" t="n">
        <v>190</v>
      </c>
      <c r="I719" s="10">
        <f>IFERROR(T719*H719,0)</f>
        <v/>
      </c>
      <c r="J719" s="11" t="n">
        <v>46033</v>
      </c>
      <c r="K719" s="11" t="n"/>
      <c r="L719" t="inlineStr">
        <is>
          <t>NPD</t>
        </is>
      </c>
      <c r="M719">
        <f>IF(L719="","",IFERROR(VLOOKUP(L719,mapGrupoStatus,2,0),"Outros"))</f>
        <v/>
      </c>
      <c r="N719">
        <f>IF(O719="","",IF(O719&lt;=30,"0-30 dias",IF(O719&lt;=60,"31-60 dias",IF(O719&lt;=90,"61-90 dias","Mais de 90 dias"))))</f>
        <v/>
      </c>
      <c r="O719">
        <f>IF(OR(M719="Pendente",M719="Em andamento"),IF(J719="","",TODAY()-J719),"")</f>
        <v/>
      </c>
      <c r="P719" t="n">
        <v>12724</v>
      </c>
      <c r="Q719" t="inlineStr">
        <is>
          <t>Cool Service &amp; Cia (12724)</t>
        </is>
      </c>
      <c r="R719" t="inlineStr">
        <is>
          <t>PC-0011</t>
        </is>
      </c>
      <c r="S719" t="inlineStr">
        <is>
          <t>Placa eletrônica modelo 01</t>
        </is>
      </c>
      <c r="T719" t="n">
        <v>2</v>
      </c>
      <c r="U719" t="inlineStr"/>
      <c r="V719">
        <f>IF(J719="","",MONTH(J719))</f>
        <v/>
      </c>
      <c r="W719">
        <f>IF(J719="","",YEAR(J719))</f>
        <v/>
      </c>
      <c r="X719" t="inlineStr"/>
      <c r="Y719">
        <f>IFERROR(INDEX(Rastreio!$H$2:$H$200,MATCH(X719&amp;"|"&amp;U719,Rastreio!$A$2:$A$200,0)),"")</f>
        <v/>
      </c>
    </row>
    <row r="720">
      <c r="A720">
        <f>IFERROR(INDEX(STAs!$G$2:$G$61,MATCH(P720,STAs!$F$2:$F$61,0))&amp;"","")</f>
        <v/>
      </c>
      <c r="B720" t="n">
        <v>20004172</v>
      </c>
      <c r="C720" t="inlineStr">
        <is>
          <t>Não</t>
        </is>
      </c>
      <c r="D720" t="inlineStr">
        <is>
          <t>PI</t>
        </is>
      </c>
      <c r="E720" t="inlineStr">
        <is>
          <t>NORDESTE</t>
        </is>
      </c>
      <c r="F720" t="inlineStr">
        <is>
          <t>Cliente B - Chopeira</t>
        </is>
      </c>
      <c r="G720" t="inlineStr">
        <is>
          <t>Refrigeradores</t>
        </is>
      </c>
      <c r="H720" s="10" t="n">
        <v>35</v>
      </c>
      <c r="I720" s="10">
        <f>IFERROR(T720*H720,0)</f>
        <v/>
      </c>
      <c r="J720" s="11" t="n">
        <v>46034</v>
      </c>
      <c r="K720" s="11" t="n">
        <v>46067</v>
      </c>
      <c r="L720" t="inlineStr">
        <is>
          <t>Ok. Devolvida</t>
        </is>
      </c>
      <c r="M720">
        <f>IF(L720="","",IFERROR(VLOOKUP(L720,mapGrupoStatus,2,0),"Outros"))</f>
        <v/>
      </c>
      <c r="N720">
        <f>IF(O720="","",IF(O720&lt;=30,"0-30 dias",IF(O720&lt;=60,"31-60 dias",IF(O720&lt;=90,"61-90 dias","Mais de 90 dias"))))</f>
        <v/>
      </c>
      <c r="O720">
        <f>IF(OR(M720="Pendente",M720="Em andamento"),IF(J720="","",TODAY()-J720),"")</f>
        <v/>
      </c>
      <c r="P720" t="n">
        <v>12936</v>
      </c>
      <c r="Q720" t="inlineStr">
        <is>
          <t>Frigo Técnica (12936)</t>
        </is>
      </c>
      <c r="R720" t="inlineStr">
        <is>
          <t>PC-0016</t>
        </is>
      </c>
      <c r="S720" t="inlineStr">
        <is>
          <t>Filtro secador modelo 02</t>
        </is>
      </c>
      <c r="T720" t="n">
        <v>1</v>
      </c>
      <c r="U720" t="n">
        <v>110</v>
      </c>
      <c r="V720">
        <f>IF(J720="","",MONTH(J720))</f>
        <v/>
      </c>
      <c r="W720">
        <f>IF(J720="","",YEAR(J720))</f>
        <v/>
      </c>
      <c r="X720" t="inlineStr">
        <is>
          <t>ViaCargo</t>
        </is>
      </c>
      <c r="Y720">
        <f>IFERROR(INDEX(Rastreio!$H$2:$H$200,MATCH(X720&amp;"|"&amp;U720,Rastreio!$A$2:$A$200,0)),"")</f>
        <v/>
      </c>
    </row>
    <row r="721">
      <c r="A721">
        <f>IFERROR(INDEX(STAs!$G$2:$G$61,MATCH(P721,STAs!$F$2:$F$61,0))&amp;"","")</f>
        <v/>
      </c>
      <c r="B721" t="n">
        <v>20011044</v>
      </c>
      <c r="C721" t="inlineStr">
        <is>
          <t>Não</t>
        </is>
      </c>
      <c r="D721" t="inlineStr">
        <is>
          <t>PE</t>
        </is>
      </c>
      <c r="E721" t="inlineStr">
        <is>
          <t>NORDESTE</t>
        </is>
      </c>
      <c r="F721" t="inlineStr">
        <is>
          <t>Cliente C - Misturador</t>
        </is>
      </c>
      <c r="G721" t="inlineStr">
        <is>
          <t>Misturadores</t>
        </is>
      </c>
      <c r="H721" s="10" t="n">
        <v>255</v>
      </c>
      <c r="I721" s="10">
        <f>IFERROR(T721*H721,0)</f>
        <v/>
      </c>
      <c r="J721" s="11" t="n">
        <v>46034</v>
      </c>
      <c r="K721" s="11" t="n">
        <v>46071</v>
      </c>
      <c r="L721" t="inlineStr">
        <is>
          <t>Ok. Devolvida</t>
        </is>
      </c>
      <c r="M721">
        <f>IF(L721="","",IFERROR(VLOOKUP(L721,mapGrupoStatus,2,0),"Outros"))</f>
        <v/>
      </c>
      <c r="N721">
        <f>IF(O721="","",IF(O721&lt;=30,"0-30 dias",IF(O721&lt;=60,"31-60 dias",IF(O721&lt;=90,"61-90 dias","Mais de 90 dias"))))</f>
        <v/>
      </c>
      <c r="O721">
        <f>IF(OR(M721="Pendente",M721="Em andamento"),IF(J721="","",TODAY()-J721),"")</f>
        <v/>
      </c>
      <c r="P721" t="n">
        <v>11352</v>
      </c>
      <c r="Q721" t="inlineStr">
        <is>
          <t>Frio Express (11352)</t>
        </is>
      </c>
      <c r="R721" t="inlineStr">
        <is>
          <t>PC-0037</t>
        </is>
      </c>
      <c r="S721" t="inlineStr">
        <is>
          <t>Bomba de recirculação modelo 01</t>
        </is>
      </c>
      <c r="T721" t="n">
        <v>1</v>
      </c>
      <c r="U721" t="n">
        <v>121</v>
      </c>
      <c r="V721">
        <f>IF(J721="","",MONTH(J721))</f>
        <v/>
      </c>
      <c r="W721">
        <f>IF(J721="","",YEAR(J721))</f>
        <v/>
      </c>
      <c r="X721" t="inlineStr">
        <is>
          <t>LogExpress</t>
        </is>
      </c>
      <c r="Y721">
        <f>IFERROR(INDEX(Rastreio!$H$2:$H$200,MATCH(X721&amp;"|"&amp;U721,Rastreio!$A$2:$A$200,0)),"")</f>
        <v/>
      </c>
    </row>
    <row r="722">
      <c r="A722">
        <f>IFERROR(INDEX(STAs!$G$2:$G$61,MATCH(P722,STAs!$F$2:$F$61,0))&amp;"","")</f>
        <v/>
      </c>
      <c r="B722" t="n">
        <v>20011391</v>
      </c>
      <c r="C722" t="inlineStr">
        <is>
          <t>Não</t>
        </is>
      </c>
      <c r="D722" t="inlineStr">
        <is>
          <t>GO</t>
        </is>
      </c>
      <c r="E722" t="inlineStr">
        <is>
          <t>CENTRO OESTE</t>
        </is>
      </c>
      <c r="F722" t="inlineStr">
        <is>
          <t>Cliente B - Chopeira</t>
        </is>
      </c>
      <c r="G722" t="inlineStr">
        <is>
          <t>Chopeiras</t>
        </is>
      </c>
      <c r="H722" s="10" t="n">
        <v>210</v>
      </c>
      <c r="I722" s="10">
        <f>IFERROR(T722*H722,0)</f>
        <v/>
      </c>
      <c r="J722" s="11" t="n">
        <v>46034</v>
      </c>
      <c r="K722" s="11" t="n">
        <v>46074</v>
      </c>
      <c r="L722" t="inlineStr">
        <is>
          <t>Ok. Devolvida</t>
        </is>
      </c>
      <c r="M722">
        <f>IF(L722="","",IFERROR(VLOOKUP(L722,mapGrupoStatus,2,0),"Outros"))</f>
        <v/>
      </c>
      <c r="N722">
        <f>IF(O722="","",IF(O722&lt;=30,"0-30 dias",IF(O722&lt;=60,"31-60 dias",IF(O722&lt;=90,"61-90 dias","Mais de 90 dias"))))</f>
        <v/>
      </c>
      <c r="O722">
        <f>IF(OR(M722="Pendente",M722="Em andamento"),IF(J722="","",TODAY()-J722),"")</f>
        <v/>
      </c>
      <c r="P722" t="n">
        <v>10317</v>
      </c>
      <c r="Q722" t="inlineStr">
        <is>
          <t>Termotec Manutenção (10317)</t>
        </is>
      </c>
      <c r="R722" t="inlineStr">
        <is>
          <t>PC-0029</t>
        </is>
      </c>
      <c r="S722" t="inlineStr">
        <is>
          <t>Serpentina modelo 01</t>
        </is>
      </c>
      <c r="T722" t="n">
        <v>1</v>
      </c>
      <c r="U722" t="n">
        <v>123</v>
      </c>
      <c r="V722">
        <f>IF(J722="","",MONTH(J722))</f>
        <v/>
      </c>
      <c r="W722">
        <f>IF(J722="","",YEAR(J722))</f>
        <v/>
      </c>
      <c r="X722" t="inlineStr">
        <is>
          <t>CargoMax</t>
        </is>
      </c>
      <c r="Y722">
        <f>IFERROR(INDEX(Rastreio!$H$2:$H$200,MATCH(X722&amp;"|"&amp;U722,Rastreio!$A$2:$A$200,0)),"")</f>
        <v/>
      </c>
    </row>
    <row r="723">
      <c r="A723">
        <f>IFERROR(INDEX(STAs!$G$2:$G$61,MATCH(P723,STAs!$F$2:$F$61,0))&amp;"","")</f>
        <v/>
      </c>
      <c r="B723" t="n">
        <v>20021512</v>
      </c>
      <c r="C723" t="inlineStr">
        <is>
          <t>Não</t>
        </is>
      </c>
      <c r="D723" t="inlineStr">
        <is>
          <t>SP</t>
        </is>
      </c>
      <c r="E723" t="inlineStr">
        <is>
          <t>SUDESTE SP</t>
        </is>
      </c>
      <c r="F723" t="inlineStr">
        <is>
          <t>Cliente B - Chopeira</t>
        </is>
      </c>
      <c r="G723" t="inlineStr">
        <is>
          <t>Misturadores</t>
        </is>
      </c>
      <c r="H723" s="10" t="n">
        <v>60</v>
      </c>
      <c r="I723" s="10">
        <f>IFERROR(T723*H723,0)</f>
        <v/>
      </c>
      <c r="J723" s="11" t="n">
        <v>46034</v>
      </c>
      <c r="K723" s="11" t="n">
        <v>46058</v>
      </c>
      <c r="L723" t="inlineStr">
        <is>
          <t>Ok. Devolvida</t>
        </is>
      </c>
      <c r="M723">
        <f>IF(L723="","",IFERROR(VLOOKUP(L723,mapGrupoStatus,2,0),"Outros"))</f>
        <v/>
      </c>
      <c r="N723">
        <f>IF(O723="","",IF(O723&lt;=30,"0-30 dias",IF(O723&lt;=60,"31-60 dias",IF(O723&lt;=90,"61-90 dias","Mais de 90 dias"))))</f>
        <v/>
      </c>
      <c r="O723">
        <f>IF(OR(M723="Pendente",M723="Em andamento"),IF(J723="","",TODAY()-J723),"")</f>
        <v/>
      </c>
      <c r="P723" t="n">
        <v>10413</v>
      </c>
      <c r="Q723" t="inlineStr">
        <is>
          <t>Polar Manutenção (10413)</t>
        </is>
      </c>
      <c r="R723" t="inlineStr">
        <is>
          <t>PC-0046</t>
        </is>
      </c>
      <c r="S723" t="inlineStr">
        <is>
          <t>Sensor de nível modelo 02</t>
        </is>
      </c>
      <c r="T723" t="n">
        <v>2</v>
      </c>
      <c r="U723" t="n">
        <v>137</v>
      </c>
      <c r="V723">
        <f>IF(J723="","",MONTH(J723))</f>
        <v/>
      </c>
      <c r="W723">
        <f>IF(J723="","",YEAR(J723))</f>
        <v/>
      </c>
      <c r="X723" t="inlineStr">
        <is>
          <t>ViaCargo</t>
        </is>
      </c>
      <c r="Y723">
        <f>IFERROR(INDEX(Rastreio!$H$2:$H$200,MATCH(X723&amp;"|"&amp;U723,Rastreio!$A$2:$A$200,0)),"")</f>
        <v/>
      </c>
    </row>
    <row r="724">
      <c r="A724">
        <f>IFERROR(INDEX(STAs!$G$2:$G$61,MATCH(P724,STAs!$F$2:$F$61,0))&amp;"","")</f>
        <v/>
      </c>
      <c r="B724" t="n">
        <v>20022552</v>
      </c>
      <c r="C724" t="inlineStr">
        <is>
          <t>Não</t>
        </is>
      </c>
      <c r="D724" t="inlineStr">
        <is>
          <t>RO</t>
        </is>
      </c>
      <c r="E724" t="inlineStr">
        <is>
          <t>NORTE</t>
        </is>
      </c>
      <c r="F724" t="inlineStr">
        <is>
          <t>Cliente C - Misturador</t>
        </is>
      </c>
      <c r="G724" t="inlineStr">
        <is>
          <t>Misturadores</t>
        </is>
      </c>
      <c r="H724" s="10" t="n">
        <v>40</v>
      </c>
      <c r="I724" s="10">
        <f>IFERROR(T724*H724,0)</f>
        <v/>
      </c>
      <c r="J724" s="11" t="n">
        <v>46034</v>
      </c>
      <c r="K724" s="11" t="n"/>
      <c r="L724" t="inlineStr">
        <is>
          <t>Em transporte</t>
        </is>
      </c>
      <c r="M724">
        <f>IF(L724="","",IFERROR(VLOOKUP(L724,mapGrupoStatus,2,0),"Outros"))</f>
        <v/>
      </c>
      <c r="N724">
        <f>IF(O724="","",IF(O724&lt;=30,"0-30 dias",IF(O724&lt;=60,"31-60 dias",IF(O724&lt;=90,"61-90 dias","Mais de 90 dias"))))</f>
        <v/>
      </c>
      <c r="O724">
        <f>IF(OR(M724="Pendente",M724="Em andamento"),IF(J724="","",TODAY()-J724),"")</f>
        <v/>
      </c>
      <c r="P724" t="n">
        <v>12019</v>
      </c>
      <c r="Q724" t="inlineStr">
        <is>
          <t>Ártico Serviços (12019)</t>
        </is>
      </c>
      <c r="R724" t="inlineStr">
        <is>
          <t>PC-0042</t>
        </is>
      </c>
      <c r="S724" t="inlineStr">
        <is>
          <t>Bico dosador modelo 01</t>
        </is>
      </c>
      <c r="T724" t="n">
        <v>1</v>
      </c>
      <c r="U724" t="n">
        <v>136</v>
      </c>
      <c r="V724">
        <f>IF(J724="","",MONTH(J724))</f>
        <v/>
      </c>
      <c r="W724">
        <f>IF(J724="","",YEAR(J724))</f>
        <v/>
      </c>
      <c r="X724" t="inlineStr">
        <is>
          <t>TransNorte</t>
        </is>
      </c>
      <c r="Y724">
        <f>IFERROR(INDEX(Rastreio!$H$2:$H$200,MATCH(X724&amp;"|"&amp;U724,Rastreio!$A$2:$A$200,0)),"")</f>
        <v/>
      </c>
    </row>
    <row r="725">
      <c r="A725">
        <f>IFERROR(INDEX(STAs!$G$2:$G$61,MATCH(P725,STAs!$F$2:$F$61,0))&amp;"","")</f>
        <v/>
      </c>
      <c r="B725" t="n">
        <v>20036131</v>
      </c>
      <c r="C725" t="inlineStr">
        <is>
          <t>Não</t>
        </is>
      </c>
      <c r="D725" t="inlineStr">
        <is>
          <t>ES</t>
        </is>
      </c>
      <c r="E725" t="inlineStr">
        <is>
          <t>SUDESTE RJ e ES</t>
        </is>
      </c>
      <c r="F725" t="inlineStr">
        <is>
          <t>Cliente A - Refrigerador</t>
        </is>
      </c>
      <c r="G725" t="inlineStr">
        <is>
          <t>Refrigeradores</t>
        </is>
      </c>
      <c r="H725" s="10" t="n">
        <v>70</v>
      </c>
      <c r="I725" s="10">
        <f>IFERROR(T725*H725,0)</f>
        <v/>
      </c>
      <c r="J725" s="11" t="n">
        <v>46034</v>
      </c>
      <c r="K725" s="11" t="n"/>
      <c r="L725" t="inlineStr">
        <is>
          <t>Em transporte</t>
        </is>
      </c>
      <c r="M725">
        <f>IF(L725="","",IFERROR(VLOOKUP(L725,mapGrupoStatus,2,0),"Outros"))</f>
        <v/>
      </c>
      <c r="N725">
        <f>IF(O725="","",IF(O725&lt;=30,"0-30 dias",IF(O725&lt;=60,"31-60 dias",IF(O725&lt;=90,"61-90 dias","Mais de 90 dias"))))</f>
        <v/>
      </c>
      <c r="O725">
        <f>IF(OR(M725="Pendente",M725="Em andamento"),IF(J725="","",TODAY()-J725),"")</f>
        <v/>
      </c>
      <c r="P725" t="n">
        <v>11099</v>
      </c>
      <c r="Q725" t="inlineStr">
        <is>
          <t>Refrigel Serviços (11099)</t>
        </is>
      </c>
      <c r="R725" t="inlineStr">
        <is>
          <t>PC-0009</t>
        </is>
      </c>
      <c r="S725" t="inlineStr">
        <is>
          <t>Ventilador modelo 03</t>
        </is>
      </c>
      <c r="T725" t="n">
        <v>2</v>
      </c>
      <c r="U725" t="n">
        <v>167</v>
      </c>
      <c r="V725">
        <f>IF(J725="","",MONTH(J725))</f>
        <v/>
      </c>
      <c r="W725">
        <f>IF(J725="","",YEAR(J725))</f>
        <v/>
      </c>
      <c r="X725" t="inlineStr">
        <is>
          <t>RotaSul</t>
        </is>
      </c>
      <c r="Y725">
        <f>IFERROR(INDEX(Rastreio!$H$2:$H$200,MATCH(X725&amp;"|"&amp;U725,Rastreio!$A$2:$A$200,0)),"")</f>
        <v/>
      </c>
    </row>
    <row r="726">
      <c r="A726">
        <f>IFERROR(INDEX(STAs!$G$2:$G$61,MATCH(P726,STAs!$F$2:$F$61,0))&amp;"","")</f>
        <v/>
      </c>
      <c r="B726" t="n">
        <v>20039878</v>
      </c>
      <c r="C726" t="inlineStr">
        <is>
          <t>Não</t>
        </is>
      </c>
      <c r="D726" t="inlineStr">
        <is>
          <t>MT</t>
        </is>
      </c>
      <c r="E726" t="inlineStr">
        <is>
          <t>CENTRO OESTE</t>
        </is>
      </c>
      <c r="F726" t="inlineStr">
        <is>
          <t>Cliente B - Chopeira</t>
        </is>
      </c>
      <c r="G726" t="inlineStr">
        <is>
          <t>Chopeiras</t>
        </is>
      </c>
      <c r="H726" s="10" t="n">
        <v>215</v>
      </c>
      <c r="I726" s="10">
        <f>IFERROR(T726*H726,0)</f>
        <v/>
      </c>
      <c r="J726" s="11" t="n">
        <v>46034</v>
      </c>
      <c r="K726" s="11" t="n">
        <v>46088</v>
      </c>
      <c r="L726" t="inlineStr">
        <is>
          <t>Ok. Devolvida</t>
        </is>
      </c>
      <c r="M726">
        <f>IF(L726="","",IFERROR(VLOOKUP(L726,mapGrupoStatus,2,0),"Outros"))</f>
        <v/>
      </c>
      <c r="N726">
        <f>IF(O726="","",IF(O726&lt;=30,"0-30 dias",IF(O726&lt;=60,"31-60 dias",IF(O726&lt;=90,"61-90 dias","Mais de 90 dias"))))</f>
        <v/>
      </c>
      <c r="O726">
        <f>IF(OR(M726="Pendente",M726="Em andamento"),IF(J726="","",TODAY()-J726),"")</f>
        <v/>
      </c>
      <c r="P726" t="n">
        <v>10227</v>
      </c>
      <c r="Q726" t="inlineStr">
        <is>
          <t>Assistência Técnica ME (10227)</t>
        </is>
      </c>
      <c r="R726" t="inlineStr">
        <is>
          <t>PC-0030</t>
        </is>
      </c>
      <c r="S726" t="inlineStr">
        <is>
          <t>Serpentina modelo 02</t>
        </is>
      </c>
      <c r="T726" t="n">
        <v>1</v>
      </c>
      <c r="U726" t="n">
        <v>157</v>
      </c>
      <c r="V726">
        <f>IF(J726="","",MONTH(J726))</f>
        <v/>
      </c>
      <c r="W726">
        <f>IF(J726="","",YEAR(J726))</f>
        <v/>
      </c>
      <c r="X726" t="inlineStr">
        <is>
          <t>EntregaJá</t>
        </is>
      </c>
      <c r="Y726">
        <f>IFERROR(INDEX(Rastreio!$H$2:$H$200,MATCH(X726&amp;"|"&amp;U726,Rastreio!$A$2:$A$200,0)),"")</f>
        <v/>
      </c>
    </row>
    <row r="727">
      <c r="A727">
        <f>IFERROR(INDEX(STAs!$G$2:$G$61,MATCH(P727,STAs!$F$2:$F$61,0))&amp;"","")</f>
        <v/>
      </c>
      <c r="B727" t="n">
        <v>20028660</v>
      </c>
      <c r="C727" t="inlineStr">
        <is>
          <t>Não</t>
        </is>
      </c>
      <c r="D727" t="inlineStr">
        <is>
          <t>SP</t>
        </is>
      </c>
      <c r="E727" t="inlineStr">
        <is>
          <t>SUDESTE SP</t>
        </is>
      </c>
      <c r="F727" t="inlineStr">
        <is>
          <t>Cliente C - Misturador</t>
        </is>
      </c>
      <c r="G727" t="inlineStr">
        <is>
          <t>Misturadores</t>
        </is>
      </c>
      <c r="H727" s="10" t="n">
        <v>255</v>
      </c>
      <c r="I727" s="10">
        <f>IFERROR(T727*H727,0)</f>
        <v/>
      </c>
      <c r="J727" s="11" t="n">
        <v>46035</v>
      </c>
      <c r="K727" s="11" t="n"/>
      <c r="L727" t="inlineStr">
        <is>
          <t>Aguardando devolução</t>
        </is>
      </c>
      <c r="M727">
        <f>IF(L727="","",IFERROR(VLOOKUP(L727,mapGrupoStatus,2,0),"Outros"))</f>
        <v/>
      </c>
      <c r="N727">
        <f>IF(O727="","",IF(O727&lt;=30,"0-30 dias",IF(O727&lt;=60,"31-60 dias",IF(O727&lt;=90,"61-90 dias","Mais de 90 dias"))))</f>
        <v/>
      </c>
      <c r="O727">
        <f>IF(OR(M727="Pendente",M727="Em andamento"),IF(J727="","",TODAY()-J727),"")</f>
        <v/>
      </c>
      <c r="P727" t="n">
        <v>12901</v>
      </c>
      <c r="Q727" t="inlineStr">
        <is>
          <t>Frio Serviços (12901)</t>
        </is>
      </c>
      <c r="R727" t="inlineStr">
        <is>
          <t>PC-0039</t>
        </is>
      </c>
      <c r="S727" t="inlineStr">
        <is>
          <t>Bomba de recirculação modelo 03</t>
        </is>
      </c>
      <c r="T727" t="n">
        <v>1</v>
      </c>
      <c r="U727" t="inlineStr"/>
      <c r="V727">
        <f>IF(J727="","",MONTH(J727))</f>
        <v/>
      </c>
      <c r="W727">
        <f>IF(J727="","",YEAR(J727))</f>
        <v/>
      </c>
      <c r="X727" t="inlineStr"/>
      <c r="Y727">
        <f>IFERROR(INDEX(Rastreio!$H$2:$H$200,MATCH(X727&amp;"|"&amp;U727,Rastreio!$A$2:$A$200,0)),"")</f>
        <v/>
      </c>
    </row>
    <row r="728">
      <c r="A728">
        <f>IFERROR(INDEX(STAs!$G$2:$G$61,MATCH(P728,STAs!$F$2:$F$61,0))&amp;"","")</f>
        <v/>
      </c>
      <c r="B728" t="n">
        <v>20030303</v>
      </c>
      <c r="C728" t="inlineStr">
        <is>
          <t>Sim</t>
        </is>
      </c>
      <c r="D728" t="inlineStr">
        <is>
          <t>CE</t>
        </is>
      </c>
      <c r="E728" t="inlineStr">
        <is>
          <t>NORDESTE</t>
        </is>
      </c>
      <c r="F728" t="inlineStr">
        <is>
          <t>Cliente C - Misturador</t>
        </is>
      </c>
      <c r="G728" t="inlineStr">
        <is>
          <t>Refrigeradores</t>
        </is>
      </c>
      <c r="H728" s="10" t="n">
        <v>45</v>
      </c>
      <c r="I728" s="10">
        <f>IFERROR(T728*H728,0)</f>
        <v/>
      </c>
      <c r="J728" s="11" t="n">
        <v>46035</v>
      </c>
      <c r="K728" s="11" t="n"/>
      <c r="L728" t="inlineStr">
        <is>
          <t>Em transporte</t>
        </is>
      </c>
      <c r="M728">
        <f>IF(L728="","",IFERROR(VLOOKUP(L728,mapGrupoStatus,2,0),"Outros"))</f>
        <v/>
      </c>
      <c r="N728">
        <f>IF(O728="","",IF(O728&lt;=30,"0-30 dias",IF(O728&lt;=60,"31-60 dias",IF(O728&lt;=90,"61-90 dias","Mais de 90 dias"))))</f>
        <v/>
      </c>
      <c r="O728">
        <f>IF(OR(M728="Pendente",M728="Em andamento"),IF(J728="","",TODAY()-J728),"")</f>
        <v/>
      </c>
      <c r="P728" t="n">
        <v>10615</v>
      </c>
      <c r="Q728" t="inlineStr">
        <is>
          <t>Brisa Técnica (10615)</t>
        </is>
      </c>
      <c r="R728" t="inlineStr">
        <is>
          <t>PC-0018</t>
        </is>
      </c>
      <c r="S728" t="inlineStr">
        <is>
          <t>Gaxeta da porta modelo 01</t>
        </is>
      </c>
      <c r="T728" t="n">
        <v>1</v>
      </c>
      <c r="U728" t="n">
        <v>153</v>
      </c>
      <c r="V728">
        <f>IF(J728="","",MONTH(J728))</f>
        <v/>
      </c>
      <c r="W728">
        <f>IF(J728="","",YEAR(J728))</f>
        <v/>
      </c>
      <c r="X728" t="inlineStr">
        <is>
          <t>TransNorte</t>
        </is>
      </c>
      <c r="Y728">
        <f>IFERROR(INDEX(Rastreio!$H$2:$H$200,MATCH(X728&amp;"|"&amp;U728,Rastreio!$A$2:$A$200,0)),"")</f>
        <v/>
      </c>
    </row>
    <row r="729">
      <c r="A729">
        <f>IFERROR(INDEX(STAs!$G$2:$G$61,MATCH(P729,STAs!$F$2:$F$61,0))&amp;"","")</f>
        <v/>
      </c>
      <c r="B729" t="n">
        <v>20033637</v>
      </c>
      <c r="C729" t="inlineStr">
        <is>
          <t>Não</t>
        </is>
      </c>
      <c r="D729" t="inlineStr">
        <is>
          <t>RO</t>
        </is>
      </c>
      <c r="E729" t="inlineStr">
        <is>
          <t>NORTE</t>
        </is>
      </c>
      <c r="F729" t="inlineStr">
        <is>
          <t>Cliente C - Misturador</t>
        </is>
      </c>
      <c r="G729" t="inlineStr">
        <is>
          <t>Refrigeradores</t>
        </is>
      </c>
      <c r="H729" s="10" t="n">
        <v>155</v>
      </c>
      <c r="I729" s="10">
        <f>IFERROR(T729*H729,0)</f>
        <v/>
      </c>
      <c r="J729" s="11" t="n">
        <v>46035</v>
      </c>
      <c r="K729" s="11" t="n"/>
      <c r="L729" t="inlineStr">
        <is>
          <t>Não Devolve-Norte</t>
        </is>
      </c>
      <c r="M729">
        <f>IF(L729="","",IFERROR(VLOOKUP(L729,mapGrupoStatus,2,0),"Outros"))</f>
        <v/>
      </c>
      <c r="N729">
        <f>IF(O729="","",IF(O729&lt;=30,"0-30 dias",IF(O729&lt;=60,"31-60 dias",IF(O729&lt;=90,"61-90 dias","Mais de 90 dias"))))</f>
        <v/>
      </c>
      <c r="O729">
        <f>IF(OR(M729="Pendente",M729="Em andamento"),IF(J729="","",TODAY()-J729),"")</f>
        <v/>
      </c>
      <c r="P729" t="n">
        <v>12019</v>
      </c>
      <c r="Q729" t="inlineStr">
        <is>
          <t>Ártico Serviços (12019)</t>
        </is>
      </c>
      <c r="R729" t="inlineStr">
        <is>
          <t>PC-0022</t>
        </is>
      </c>
      <c r="S729" t="inlineStr">
        <is>
          <t>Controlador digital modelo 02</t>
        </is>
      </c>
      <c r="T729" t="n">
        <v>1</v>
      </c>
      <c r="U729" t="inlineStr"/>
      <c r="V729">
        <f>IF(J729="","",MONTH(J729))</f>
        <v/>
      </c>
      <c r="W729">
        <f>IF(J729="","",YEAR(J729))</f>
        <v/>
      </c>
      <c r="X729" t="inlineStr"/>
      <c r="Y729">
        <f>IFERROR(INDEX(Rastreio!$H$2:$H$200,MATCH(X729&amp;"|"&amp;U729,Rastreio!$A$2:$A$200,0)),"")</f>
        <v/>
      </c>
    </row>
    <row r="730">
      <c r="A730">
        <f>IFERROR(INDEX(STAs!$G$2:$G$61,MATCH(P730,STAs!$F$2:$F$61,0))&amp;"","")</f>
        <v/>
      </c>
      <c r="B730" t="n">
        <v>20034327</v>
      </c>
      <c r="C730" t="inlineStr">
        <is>
          <t>Não</t>
        </is>
      </c>
      <c r="D730" t="inlineStr">
        <is>
          <t>SP</t>
        </is>
      </c>
      <c r="E730" t="inlineStr">
        <is>
          <t>SUDESTE SP</t>
        </is>
      </c>
      <c r="F730" t="inlineStr">
        <is>
          <t>Cliente A - Refrigerador</t>
        </is>
      </c>
      <c r="G730" t="inlineStr">
        <is>
          <t>Misturadores</t>
        </is>
      </c>
      <c r="H730" s="10" t="n">
        <v>35</v>
      </c>
      <c r="I730" s="10">
        <f>IFERROR(T730*H730,0)</f>
        <v/>
      </c>
      <c r="J730" s="11" t="n">
        <v>46035</v>
      </c>
      <c r="K730" s="11" t="n">
        <v>46061</v>
      </c>
      <c r="L730" t="inlineStr">
        <is>
          <t>Ok. Devolvida</t>
        </is>
      </c>
      <c r="M730">
        <f>IF(L730="","",IFERROR(VLOOKUP(L730,mapGrupoStatus,2,0),"Outros"))</f>
        <v/>
      </c>
      <c r="N730">
        <f>IF(O730="","",IF(O730&lt;=30,"0-30 dias",IF(O730&lt;=60,"31-60 dias",IF(O730&lt;=90,"61-90 dias","Mais de 90 dias"))))</f>
        <v/>
      </c>
      <c r="O730">
        <f>IF(OR(M730="Pendente",M730="Em andamento"),IF(J730="","",TODAY()-J730),"")</f>
        <v/>
      </c>
      <c r="P730" t="n">
        <v>12901</v>
      </c>
      <c r="Q730" t="inlineStr">
        <is>
          <t>Frio Serviços (12901)</t>
        </is>
      </c>
      <c r="R730" t="inlineStr">
        <is>
          <t>PC-0043</t>
        </is>
      </c>
      <c r="S730" t="inlineStr">
        <is>
          <t>Bico dosador modelo 02</t>
        </is>
      </c>
      <c r="T730" t="n">
        <v>2</v>
      </c>
      <c r="U730" t="n">
        <v>159</v>
      </c>
      <c r="V730">
        <f>IF(J730="","",MONTH(J730))</f>
        <v/>
      </c>
      <c r="W730">
        <f>IF(J730="","",YEAR(J730))</f>
        <v/>
      </c>
      <c r="X730" t="inlineStr">
        <is>
          <t>CargoMax</t>
        </is>
      </c>
      <c r="Y730">
        <f>IFERROR(INDEX(Rastreio!$H$2:$H$200,MATCH(X730&amp;"|"&amp;U730,Rastreio!$A$2:$A$200,0)),"")</f>
        <v/>
      </c>
    </row>
    <row r="731">
      <c r="A731">
        <f>IFERROR(INDEX(STAs!$G$2:$G$61,MATCH(P731,STAs!$F$2:$F$61,0))&amp;"","")</f>
        <v/>
      </c>
      <c r="B731" t="n">
        <v>20011171</v>
      </c>
      <c r="C731" t="inlineStr">
        <is>
          <t>Não</t>
        </is>
      </c>
      <c r="D731" t="inlineStr">
        <is>
          <t>PI</t>
        </is>
      </c>
      <c r="E731" t="inlineStr">
        <is>
          <t>NORDESTE</t>
        </is>
      </c>
      <c r="F731" t="inlineStr">
        <is>
          <t>Cliente B - Chopeira</t>
        </is>
      </c>
      <c r="G731" t="inlineStr">
        <is>
          <t>Refrigeradores</t>
        </is>
      </c>
      <c r="H731" s="10" t="n">
        <v>35</v>
      </c>
      <c r="I731" s="10">
        <f>IFERROR(T731*H731,0)</f>
        <v/>
      </c>
      <c r="J731" s="11" t="n">
        <v>46036</v>
      </c>
      <c r="K731" s="11" t="n">
        <v>46053</v>
      </c>
      <c r="L731" t="inlineStr">
        <is>
          <t>Ok. Devolvida</t>
        </is>
      </c>
      <c r="M731">
        <f>IF(L731="","",IFERROR(VLOOKUP(L731,mapGrupoStatus,2,0),"Outros"))</f>
        <v/>
      </c>
      <c r="N731">
        <f>IF(O731="","",IF(O731&lt;=30,"0-30 dias",IF(O731&lt;=60,"31-60 dias",IF(O731&lt;=90,"61-90 dias","Mais de 90 dias"))))</f>
        <v/>
      </c>
      <c r="O731">
        <f>IF(OR(M731="Pendente",M731="Em andamento"),IF(J731="","",TODAY()-J731),"")</f>
        <v/>
      </c>
      <c r="P731" t="n">
        <v>10562</v>
      </c>
      <c r="Q731" t="inlineStr">
        <is>
          <t>Clima &amp; Cia (10562)</t>
        </is>
      </c>
      <c r="R731" t="inlineStr">
        <is>
          <t>PC-0016</t>
        </is>
      </c>
      <c r="S731" t="inlineStr">
        <is>
          <t>Filtro secador modelo 02</t>
        </is>
      </c>
      <c r="T731" t="n">
        <v>1</v>
      </c>
      <c r="U731" t="n">
        <v>118</v>
      </c>
      <c r="V731">
        <f>IF(J731="","",MONTH(J731))</f>
        <v/>
      </c>
      <c r="W731">
        <f>IF(J731="","",YEAR(J731))</f>
        <v/>
      </c>
      <c r="X731" t="inlineStr">
        <is>
          <t>TransNorte</t>
        </is>
      </c>
      <c r="Y731">
        <f>IFERROR(INDEX(Rastreio!$H$2:$H$200,MATCH(X731&amp;"|"&amp;U731,Rastreio!$A$2:$A$200,0)),"")</f>
        <v/>
      </c>
    </row>
    <row r="732">
      <c r="A732">
        <f>IFERROR(INDEX(STAs!$G$2:$G$61,MATCH(P732,STAs!$F$2:$F$61,0))&amp;"","")</f>
        <v/>
      </c>
      <c r="B732" t="n">
        <v>20027057</v>
      </c>
      <c r="C732" t="inlineStr">
        <is>
          <t>Não</t>
        </is>
      </c>
      <c r="D732" t="inlineStr">
        <is>
          <t>ES</t>
        </is>
      </c>
      <c r="E732" t="inlineStr">
        <is>
          <t>SUDESTE RJ e ES</t>
        </is>
      </c>
      <c r="F732" t="inlineStr">
        <is>
          <t>Cliente A - Refrigerador</t>
        </is>
      </c>
      <c r="G732" t="inlineStr">
        <is>
          <t>Refrigeradores</t>
        </is>
      </c>
      <c r="H732" s="10" t="n">
        <v>315</v>
      </c>
      <c r="I732" s="10">
        <f>IFERROR(T732*H732,0)</f>
        <v/>
      </c>
      <c r="J732" s="11" t="n">
        <v>46036</v>
      </c>
      <c r="K732" s="11" t="n"/>
      <c r="L732" t="inlineStr">
        <is>
          <t>NF Vencida</t>
        </is>
      </c>
      <c r="M732">
        <f>IF(L732="","",IFERROR(VLOOKUP(L732,mapGrupoStatus,2,0),"Outros"))</f>
        <v/>
      </c>
      <c r="N732">
        <f>IF(O732="","",IF(O732&lt;=30,"0-30 dias",IF(O732&lt;=60,"31-60 dias",IF(O732&lt;=90,"61-90 dias","Mais de 90 dias"))))</f>
        <v/>
      </c>
      <c r="O732">
        <f>IF(OR(M732="Pendente",M732="Em andamento"),IF(J732="","",TODAY()-J732),"")</f>
        <v/>
      </c>
      <c r="P732" t="n">
        <v>11099</v>
      </c>
      <c r="Q732" t="inlineStr">
        <is>
          <t>Refrigel Serviços (11099)</t>
        </is>
      </c>
      <c r="R732" t="inlineStr">
        <is>
          <t>PC-0002</t>
        </is>
      </c>
      <c r="S732" t="inlineStr">
        <is>
          <t>Compressor modelo 02</t>
        </is>
      </c>
      <c r="T732" t="n">
        <v>1</v>
      </c>
      <c r="U732" t="inlineStr"/>
      <c r="V732">
        <f>IF(J732="","",MONTH(J732))</f>
        <v/>
      </c>
      <c r="W732">
        <f>IF(J732="","",YEAR(J732))</f>
        <v/>
      </c>
      <c r="X732" t="inlineStr"/>
      <c r="Y732">
        <f>IFERROR(INDEX(Rastreio!$H$2:$H$200,MATCH(X732&amp;"|"&amp;U732,Rastreio!$A$2:$A$200,0)),"")</f>
        <v/>
      </c>
    </row>
    <row r="733">
      <c r="A733">
        <f>IFERROR(INDEX(STAs!$G$2:$G$61,MATCH(P733,STAs!$F$2:$F$61,0))&amp;"","")</f>
        <v/>
      </c>
      <c r="B733" t="n">
        <v>20027298</v>
      </c>
      <c r="C733" t="inlineStr">
        <is>
          <t>Sim</t>
        </is>
      </c>
      <c r="D733" t="inlineStr">
        <is>
          <t>PR</t>
        </is>
      </c>
      <c r="E733" t="inlineStr">
        <is>
          <t>SUL</t>
        </is>
      </c>
      <c r="F733" t="inlineStr">
        <is>
          <t>Cliente B - Chopeira</t>
        </is>
      </c>
      <c r="G733" t="inlineStr">
        <is>
          <t>Chopeiras</t>
        </is>
      </c>
      <c r="H733" s="10" t="n">
        <v>115</v>
      </c>
      <c r="I733" s="10">
        <f>IFERROR(T733*H733,0)</f>
        <v/>
      </c>
      <c r="J733" s="11" t="n">
        <v>46036</v>
      </c>
      <c r="K733" s="11" t="n"/>
      <c r="L733" t="inlineStr">
        <is>
          <t>Debitar do STA</t>
        </is>
      </c>
      <c r="M733">
        <f>IF(L733="","",IFERROR(VLOOKUP(L733,mapGrupoStatus,2,0),"Outros"))</f>
        <v/>
      </c>
      <c r="N733">
        <f>IF(O733="","",IF(O733&lt;=30,"0-30 dias",IF(O733&lt;=60,"31-60 dias",IF(O733&lt;=90,"61-90 dias","Mais de 90 dias"))))</f>
        <v/>
      </c>
      <c r="O733">
        <f>IF(OR(M733="Pendente",M733="Em andamento"),IF(J733="","",TODAY()-J733),"")</f>
        <v/>
      </c>
      <c r="P733" t="n">
        <v>12724</v>
      </c>
      <c r="Q733" t="inlineStr">
        <is>
          <t>Cool Service &amp; Cia (12724)</t>
        </is>
      </c>
      <c r="R733" t="inlineStr">
        <is>
          <t>PC-0034</t>
        </is>
      </c>
      <c r="S733" t="inlineStr">
        <is>
          <t>Regulador de pressão modelo 03</t>
        </is>
      </c>
      <c r="T733" t="n">
        <v>2</v>
      </c>
      <c r="U733" t="inlineStr"/>
      <c r="V733">
        <f>IF(J733="","",MONTH(J733))</f>
        <v/>
      </c>
      <c r="W733">
        <f>IF(J733="","",YEAR(J733))</f>
        <v/>
      </c>
      <c r="X733" t="inlineStr"/>
      <c r="Y733">
        <f>IFERROR(INDEX(Rastreio!$H$2:$H$200,MATCH(X733&amp;"|"&amp;U733,Rastreio!$A$2:$A$200,0)),"")</f>
        <v/>
      </c>
    </row>
    <row r="734">
      <c r="A734">
        <f>IFERROR(INDEX(STAs!$G$2:$G$61,MATCH(P734,STAs!$F$2:$F$61,0))&amp;"","")</f>
        <v/>
      </c>
      <c r="B734" t="n">
        <v>20029490</v>
      </c>
      <c r="C734" t="inlineStr">
        <is>
          <t>Não</t>
        </is>
      </c>
      <c r="D734" t="inlineStr">
        <is>
          <t>RJ</t>
        </is>
      </c>
      <c r="E734" t="inlineStr">
        <is>
          <t>SUDESTE RJ e ES</t>
        </is>
      </c>
      <c r="F734" t="inlineStr">
        <is>
          <t>Cliente B - Chopeira</t>
        </is>
      </c>
      <c r="G734" t="inlineStr">
        <is>
          <t>Misturadores</t>
        </is>
      </c>
      <c r="H734" s="10" t="n">
        <v>50</v>
      </c>
      <c r="I734" s="10">
        <f>IFERROR(T734*H734,0)</f>
        <v/>
      </c>
      <c r="J734" s="11" t="n">
        <v>46036</v>
      </c>
      <c r="K734" s="11" t="n">
        <v>46072</v>
      </c>
      <c r="L734" t="inlineStr">
        <is>
          <t>Ok. Devolvida</t>
        </is>
      </c>
      <c r="M734">
        <f>IF(L734="","",IFERROR(VLOOKUP(L734,mapGrupoStatus,2,0),"Outros"))</f>
        <v/>
      </c>
      <c r="N734">
        <f>IF(O734="","",IF(O734&lt;=30,"0-30 dias",IF(O734&lt;=60,"31-60 dias",IF(O734&lt;=90,"61-90 dias","Mais de 90 dias"))))</f>
        <v/>
      </c>
      <c r="O734">
        <f>IF(OR(M734="Pendente",M734="Em andamento"),IF(J734="","",TODAY()-J734),"")</f>
        <v/>
      </c>
      <c r="P734" t="n">
        <v>10676</v>
      </c>
      <c r="Q734" t="inlineStr">
        <is>
          <t>Clima Serviços (10676)</t>
        </is>
      </c>
      <c r="R734" t="inlineStr">
        <is>
          <t>PC-0044</t>
        </is>
      </c>
      <c r="S734" t="inlineStr">
        <is>
          <t>Bico dosador modelo 03</t>
        </is>
      </c>
      <c r="T734" t="n">
        <v>1</v>
      </c>
      <c r="U734" t="n">
        <v>152</v>
      </c>
      <c r="V734">
        <f>IF(J734="","",MONTH(J734))</f>
        <v/>
      </c>
      <c r="W734">
        <f>IF(J734="","",YEAR(J734))</f>
        <v/>
      </c>
      <c r="X734" t="inlineStr">
        <is>
          <t>TransNorte</t>
        </is>
      </c>
      <c r="Y734">
        <f>IFERROR(INDEX(Rastreio!$H$2:$H$200,MATCH(X734&amp;"|"&amp;U734,Rastreio!$A$2:$A$200,0)),"")</f>
        <v/>
      </c>
    </row>
    <row r="735">
      <c r="A735">
        <f>IFERROR(INDEX(STAs!$G$2:$G$61,MATCH(P735,STAs!$F$2:$F$61,0))&amp;"","")</f>
        <v/>
      </c>
      <c r="B735" t="n">
        <v>20000595</v>
      </c>
      <c r="C735" t="inlineStr">
        <is>
          <t>Não</t>
        </is>
      </c>
      <c r="D735" t="inlineStr">
        <is>
          <t>SP</t>
        </is>
      </c>
      <c r="E735" t="inlineStr">
        <is>
          <t>SUDESTE SP</t>
        </is>
      </c>
      <c r="F735" t="inlineStr">
        <is>
          <t>Cliente A - Refrigerador</t>
        </is>
      </c>
      <c r="G735" t="inlineStr">
        <is>
          <t>Refrigeradores</t>
        </is>
      </c>
      <c r="H735" s="10" t="n">
        <v>25</v>
      </c>
      <c r="I735" s="10">
        <f>IFERROR(T735*H735,0)</f>
        <v/>
      </c>
      <c r="J735" s="11" t="n">
        <v>46037</v>
      </c>
      <c r="K735" s="11" t="n"/>
      <c r="L735" t="inlineStr">
        <is>
          <t>Aguardando devolução</t>
        </is>
      </c>
      <c r="M735">
        <f>IF(L735="","",IFERROR(VLOOKUP(L735,mapGrupoStatus,2,0),"Outros"))</f>
        <v/>
      </c>
      <c r="N735">
        <f>IF(O735="","",IF(O735&lt;=30,"0-30 dias",IF(O735&lt;=60,"31-60 dias",IF(O735&lt;=90,"61-90 dias","Mais de 90 dias"))))</f>
        <v/>
      </c>
      <c r="O735">
        <f>IF(OR(M735="Pendente",M735="Em andamento"),IF(J735="","",TODAY()-J735),"")</f>
        <v/>
      </c>
      <c r="P735" t="n">
        <v>11710</v>
      </c>
      <c r="Q735" t="inlineStr">
        <is>
          <t>Brisa &amp; Cia (11710)</t>
        </is>
      </c>
      <c r="R735" t="inlineStr">
        <is>
          <t>PC-0015</t>
        </is>
      </c>
      <c r="S735" t="inlineStr">
        <is>
          <t>Filtro secador modelo 01</t>
        </is>
      </c>
      <c r="T735" t="n">
        <v>1</v>
      </c>
      <c r="U735" t="inlineStr"/>
      <c r="V735">
        <f>IF(J735="","",MONTH(J735))</f>
        <v/>
      </c>
      <c r="W735">
        <f>IF(J735="","",YEAR(J735))</f>
        <v/>
      </c>
      <c r="X735" t="inlineStr"/>
      <c r="Y735">
        <f>IFERROR(INDEX(Rastreio!$H$2:$H$200,MATCH(X735&amp;"|"&amp;U735,Rastreio!$A$2:$A$200,0)),"")</f>
        <v/>
      </c>
    </row>
    <row r="736">
      <c r="A736">
        <f>IFERROR(INDEX(STAs!$G$2:$G$61,MATCH(P736,STAs!$F$2:$F$61,0))&amp;"","")</f>
        <v/>
      </c>
      <c r="B736" t="n">
        <v>20000841</v>
      </c>
      <c r="C736" t="inlineStr">
        <is>
          <t>Não</t>
        </is>
      </c>
      <c r="D736" t="inlineStr">
        <is>
          <t>AM</t>
        </is>
      </c>
      <c r="E736" t="inlineStr">
        <is>
          <t>NORTE</t>
        </is>
      </c>
      <c r="F736" t="inlineStr">
        <is>
          <t>Cliente A - Refrigerador</t>
        </is>
      </c>
      <c r="G736" t="inlineStr">
        <is>
          <t>Refrigeradores</t>
        </is>
      </c>
      <c r="H736" s="10" t="n">
        <v>40</v>
      </c>
      <c r="I736" s="10">
        <f>IFERROR(T736*H736,0)</f>
        <v/>
      </c>
      <c r="J736" s="11" t="n">
        <v>46037</v>
      </c>
      <c r="K736" s="11" t="n">
        <v>46070</v>
      </c>
      <c r="L736" t="inlineStr">
        <is>
          <t>Ok. Devolvida</t>
        </is>
      </c>
      <c r="M736">
        <f>IF(L736="","",IFERROR(VLOOKUP(L736,mapGrupoStatus,2,0),"Outros"))</f>
        <v/>
      </c>
      <c r="N736">
        <f>IF(O736="","",IF(O736&lt;=30,"0-30 dias",IF(O736&lt;=60,"31-60 dias",IF(O736&lt;=90,"61-90 dias","Mais de 90 dias"))))</f>
        <v/>
      </c>
      <c r="O736">
        <f>IF(OR(M736="Pendente",M736="Em andamento"),IF(J736="","",TODAY()-J736),"")</f>
        <v/>
      </c>
      <c r="P736" t="n">
        <v>12269</v>
      </c>
      <c r="Q736" t="inlineStr">
        <is>
          <t>Polar Técnica (12269)</t>
        </is>
      </c>
      <c r="R736" t="inlineStr">
        <is>
          <t>PC-0004</t>
        </is>
      </c>
      <c r="S736" t="inlineStr">
        <is>
          <t>Termostato modelo 01</t>
        </is>
      </c>
      <c r="T736" t="n">
        <v>3</v>
      </c>
      <c r="U736" t="n">
        <v>104</v>
      </c>
      <c r="V736">
        <f>IF(J736="","",MONTH(J736))</f>
        <v/>
      </c>
      <c r="W736">
        <f>IF(J736="","",YEAR(J736))</f>
        <v/>
      </c>
      <c r="X736" t="inlineStr">
        <is>
          <t>EntregaJá</t>
        </is>
      </c>
      <c r="Y736">
        <f>IFERROR(INDEX(Rastreio!$H$2:$H$200,MATCH(X736&amp;"|"&amp;U736,Rastreio!$A$2:$A$200,0)),"")</f>
        <v/>
      </c>
    </row>
    <row r="737">
      <c r="A737">
        <f>IFERROR(INDEX(STAs!$G$2:$G$61,MATCH(P737,STAs!$F$2:$F$61,0))&amp;"","")</f>
        <v/>
      </c>
      <c r="B737" t="n">
        <v>20017410</v>
      </c>
      <c r="C737" t="inlineStr">
        <is>
          <t>Não</t>
        </is>
      </c>
      <c r="D737" t="inlineStr">
        <is>
          <t>PB</t>
        </is>
      </c>
      <c r="E737" t="inlineStr">
        <is>
          <t>NORDESTE</t>
        </is>
      </c>
      <c r="F737" t="inlineStr">
        <is>
          <t>Cliente B - Chopeira</t>
        </is>
      </c>
      <c r="G737" t="inlineStr">
        <is>
          <t>Chopeiras</t>
        </is>
      </c>
      <c r="H737" s="10" t="n">
        <v>115</v>
      </c>
      <c r="I737" s="10">
        <f>IFERROR(T737*H737,0)</f>
        <v/>
      </c>
      <c r="J737" s="11" t="n">
        <v>46037</v>
      </c>
      <c r="K737" s="11" t="n">
        <v>46072</v>
      </c>
      <c r="L737" t="inlineStr">
        <is>
          <t>Ok. Devolvida</t>
        </is>
      </c>
      <c r="M737">
        <f>IF(L737="","",IFERROR(VLOOKUP(L737,mapGrupoStatus,2,0),"Outros"))</f>
        <v/>
      </c>
      <c r="N737">
        <f>IF(O737="","",IF(O737&lt;=30,"0-30 dias",IF(O737&lt;=60,"31-60 dias",IF(O737&lt;=90,"61-90 dias","Mais de 90 dias"))))</f>
        <v/>
      </c>
      <c r="O737">
        <f>IF(OR(M737="Pendente",M737="Em andamento"),IF(J737="","",TODAY()-J737),"")</f>
        <v/>
      </c>
      <c r="P737" t="n">
        <v>11741</v>
      </c>
      <c r="Q737" t="inlineStr">
        <is>
          <t>Clima Refrigeração (11741)</t>
        </is>
      </c>
      <c r="R737" t="inlineStr">
        <is>
          <t>PC-0033</t>
        </is>
      </c>
      <c r="S737" t="inlineStr">
        <is>
          <t>Regulador de pressão modelo 02</t>
        </is>
      </c>
      <c r="T737" t="n">
        <v>1</v>
      </c>
      <c r="U737" t="n">
        <v>132</v>
      </c>
      <c r="V737">
        <f>IF(J737="","",MONTH(J737))</f>
        <v/>
      </c>
      <c r="W737">
        <f>IF(J737="","",YEAR(J737))</f>
        <v/>
      </c>
      <c r="X737" t="inlineStr">
        <is>
          <t>CargoMax</t>
        </is>
      </c>
      <c r="Y737">
        <f>IFERROR(INDEX(Rastreio!$H$2:$H$200,MATCH(X737&amp;"|"&amp;U737,Rastreio!$A$2:$A$200,0)),"")</f>
        <v/>
      </c>
    </row>
    <row r="738">
      <c r="A738">
        <f>IFERROR(INDEX(STAs!$G$2:$G$61,MATCH(P738,STAs!$F$2:$F$61,0))&amp;"","")</f>
        <v/>
      </c>
      <c r="B738" t="n">
        <v>20000191</v>
      </c>
      <c r="C738" t="inlineStr">
        <is>
          <t>Não</t>
        </is>
      </c>
      <c r="D738" t="inlineStr">
        <is>
          <t>MG</t>
        </is>
      </c>
      <c r="E738" t="inlineStr">
        <is>
          <t>SUDESTE MG</t>
        </is>
      </c>
      <c r="F738" t="inlineStr">
        <is>
          <t>Cliente B - Chopeira</t>
        </is>
      </c>
      <c r="G738" t="inlineStr">
        <is>
          <t>Chopeiras</t>
        </is>
      </c>
      <c r="H738" s="10" t="n">
        <v>85</v>
      </c>
      <c r="I738" s="10">
        <f>IFERROR(T738*H738,0)</f>
        <v/>
      </c>
      <c r="J738" s="11" t="n">
        <v>46038</v>
      </c>
      <c r="K738" s="11" t="n">
        <v>46058</v>
      </c>
      <c r="L738" t="inlineStr">
        <is>
          <t>Ok. Devolvida</t>
        </is>
      </c>
      <c r="M738">
        <f>IF(L738="","",IFERROR(VLOOKUP(L738,mapGrupoStatus,2,0),"Outros"))</f>
        <v/>
      </c>
      <c r="N738">
        <f>IF(O738="","",IF(O738&lt;=30,"0-30 dias",IF(O738&lt;=60,"31-60 dias",IF(O738&lt;=90,"61-90 dias","Mais de 90 dias"))))</f>
        <v/>
      </c>
      <c r="O738">
        <f>IF(OR(M738="Pendente",M738="Em andamento"),IF(J738="","",TODAY()-J738),"")</f>
        <v/>
      </c>
      <c r="P738" t="n">
        <v>11487</v>
      </c>
      <c r="Q738" t="inlineStr">
        <is>
          <t>Assistência Técnica Manutenção (11487)</t>
        </is>
      </c>
      <c r="R738" t="inlineStr">
        <is>
          <t>PC-0028</t>
        </is>
      </c>
      <c r="S738" t="inlineStr">
        <is>
          <t>Torneira de chopp modelo 03</t>
        </is>
      </c>
      <c r="T738" t="n">
        <v>1</v>
      </c>
      <c r="U738" t="n">
        <v>101</v>
      </c>
      <c r="V738">
        <f>IF(J738="","",MONTH(J738))</f>
        <v/>
      </c>
      <c r="W738">
        <f>IF(J738="","",YEAR(J738))</f>
        <v/>
      </c>
      <c r="X738" t="inlineStr">
        <is>
          <t>LogExpress</t>
        </is>
      </c>
      <c r="Y738">
        <f>IFERROR(INDEX(Rastreio!$H$2:$H$200,MATCH(X738&amp;"|"&amp;U738,Rastreio!$A$2:$A$200,0)),"")</f>
        <v/>
      </c>
    </row>
    <row r="739">
      <c r="A739">
        <f>IFERROR(INDEX(STAs!$G$2:$G$61,MATCH(P739,STAs!$F$2:$F$61,0))&amp;"","")</f>
        <v/>
      </c>
      <c r="B739" t="n">
        <v>20004785</v>
      </c>
      <c r="C739" t="inlineStr">
        <is>
          <t>Não</t>
        </is>
      </c>
      <c r="D739" t="inlineStr">
        <is>
          <t>ES</t>
        </is>
      </c>
      <c r="E739" t="inlineStr">
        <is>
          <t>SUDESTE RJ e ES</t>
        </is>
      </c>
      <c r="F739" t="inlineStr">
        <is>
          <t>Cliente A - Refrigerador</t>
        </is>
      </c>
      <c r="G739" t="inlineStr">
        <is>
          <t>Refrigeradores</t>
        </is>
      </c>
      <c r="H739" s="10" t="n">
        <v>185</v>
      </c>
      <c r="I739" s="10">
        <f>IFERROR(T739*H739,0)</f>
        <v/>
      </c>
      <c r="J739" s="11" t="n">
        <v>46038</v>
      </c>
      <c r="K739" s="11" t="n">
        <v>46081</v>
      </c>
      <c r="L739" t="inlineStr">
        <is>
          <t>Ok. Devolvida</t>
        </is>
      </c>
      <c r="M739">
        <f>IF(L739="","",IFERROR(VLOOKUP(L739,mapGrupoStatus,2,0),"Outros"))</f>
        <v/>
      </c>
      <c r="N739">
        <f>IF(O739="","",IF(O739&lt;=30,"0-30 dias",IF(O739&lt;=60,"31-60 dias",IF(O739&lt;=90,"61-90 dias","Mais de 90 dias"))))</f>
        <v/>
      </c>
      <c r="O739">
        <f>IF(OR(M739="Pendente",M739="Em andamento"),IF(J739="","",TODAY()-J739),"")</f>
        <v/>
      </c>
      <c r="P739" t="n">
        <v>12555</v>
      </c>
      <c r="Q739" t="inlineStr">
        <is>
          <t>Cool Service Serviços (12555)</t>
        </is>
      </c>
      <c r="R739" t="inlineStr">
        <is>
          <t>PC-0013</t>
        </is>
      </c>
      <c r="S739" t="inlineStr">
        <is>
          <t>Placa eletrônica modelo 03</t>
        </is>
      </c>
      <c r="T739" t="n">
        <v>1</v>
      </c>
      <c r="U739" t="n">
        <v>107</v>
      </c>
      <c r="V739">
        <f>IF(J739="","",MONTH(J739))</f>
        <v/>
      </c>
      <c r="W739">
        <f>IF(J739="","",YEAR(J739))</f>
        <v/>
      </c>
      <c r="X739" t="inlineStr">
        <is>
          <t>CargoMax</t>
        </is>
      </c>
      <c r="Y739">
        <f>IFERROR(INDEX(Rastreio!$H$2:$H$200,MATCH(X739&amp;"|"&amp;U739,Rastreio!$A$2:$A$200,0)),"")</f>
        <v/>
      </c>
    </row>
    <row r="740">
      <c r="A740">
        <f>IFERROR(INDEX(STAs!$G$2:$G$61,MATCH(P740,STAs!$F$2:$F$61,0))&amp;"","")</f>
        <v/>
      </c>
      <c r="B740" t="n">
        <v>20008106</v>
      </c>
      <c r="C740" t="inlineStr">
        <is>
          <t>Não</t>
        </is>
      </c>
      <c r="D740" t="inlineStr">
        <is>
          <t>RO</t>
        </is>
      </c>
      <c r="E740" t="inlineStr">
        <is>
          <t>NORTE</t>
        </is>
      </c>
      <c r="F740" t="inlineStr">
        <is>
          <t>Cliente B - Chopeira</t>
        </is>
      </c>
      <c r="G740" t="inlineStr">
        <is>
          <t>Misturadores</t>
        </is>
      </c>
      <c r="H740" s="10" t="n">
        <v>60</v>
      </c>
      <c r="I740" s="10">
        <f>IFERROR(T740*H740,0)</f>
        <v/>
      </c>
      <c r="J740" s="11" t="n">
        <v>46038</v>
      </c>
      <c r="K740" s="11" t="n"/>
      <c r="L740" t="inlineStr">
        <is>
          <t>Não Devolve-Norte</t>
        </is>
      </c>
      <c r="M740">
        <f>IF(L740="","",IFERROR(VLOOKUP(L740,mapGrupoStatus,2,0),"Outros"))</f>
        <v/>
      </c>
      <c r="N740">
        <f>IF(O740="","",IF(O740&lt;=30,"0-30 dias",IF(O740&lt;=60,"31-60 dias",IF(O740&lt;=90,"61-90 dias","Mais de 90 dias"))))</f>
        <v/>
      </c>
      <c r="O740">
        <f>IF(OR(M740="Pendente",M740="Em andamento"),IF(J740="","",TODAY()-J740),"")</f>
        <v/>
      </c>
      <c r="P740" t="n">
        <v>10172</v>
      </c>
      <c r="Q740" t="inlineStr">
        <is>
          <t>Frigo Serviços (10172)</t>
        </is>
      </c>
      <c r="R740" t="inlineStr">
        <is>
          <t>PC-0048</t>
        </is>
      </c>
      <c r="S740" t="inlineStr">
        <is>
          <t>Sensor de nível modelo 04</t>
        </is>
      </c>
      <c r="T740" t="n">
        <v>1</v>
      </c>
      <c r="U740" t="inlineStr"/>
      <c r="V740">
        <f>IF(J740="","",MONTH(J740))</f>
        <v/>
      </c>
      <c r="W740">
        <f>IF(J740="","",YEAR(J740))</f>
        <v/>
      </c>
      <c r="X740" t="inlineStr"/>
      <c r="Y740">
        <f>IFERROR(INDEX(Rastreio!$H$2:$H$200,MATCH(X740&amp;"|"&amp;U740,Rastreio!$A$2:$A$200,0)),"")</f>
        <v/>
      </c>
    </row>
    <row r="741">
      <c r="A741">
        <f>IFERROR(INDEX(STAs!$G$2:$G$61,MATCH(P741,STAs!$F$2:$F$61,0))&amp;"","")</f>
        <v/>
      </c>
      <c r="B741" t="n">
        <v>20008200</v>
      </c>
      <c r="C741" t="inlineStr">
        <is>
          <t>Não</t>
        </is>
      </c>
      <c r="D741" t="inlineStr">
        <is>
          <t>GO</t>
        </is>
      </c>
      <c r="E741" t="inlineStr">
        <is>
          <t>CENTRO OESTE</t>
        </is>
      </c>
      <c r="F741" t="inlineStr">
        <is>
          <t>Cliente C - Misturador</t>
        </is>
      </c>
      <c r="G741" t="inlineStr">
        <is>
          <t>Refrigeradores</t>
        </is>
      </c>
      <c r="H741" s="10" t="n">
        <v>25</v>
      </c>
      <c r="I741" s="10">
        <f>IFERROR(T741*H741,0)</f>
        <v/>
      </c>
      <c r="J741" s="11" t="n">
        <v>46038</v>
      </c>
      <c r="K741" s="11" t="n"/>
      <c r="L741" t="inlineStr">
        <is>
          <t>Em andamento</t>
        </is>
      </c>
      <c r="M741">
        <f>IF(L741="","",IFERROR(VLOOKUP(L741,mapGrupoStatus,2,0),"Outros"))</f>
        <v/>
      </c>
      <c r="N741">
        <f>IF(O741="","",IF(O741&lt;=30,"0-30 dias",IF(O741&lt;=60,"31-60 dias",IF(O741&lt;=90,"61-90 dias","Mais de 90 dias"))))</f>
        <v/>
      </c>
      <c r="O741">
        <f>IF(OR(M741="Pendente",M741="Em andamento"),IF(J741="","",TODAY()-J741),"")</f>
        <v/>
      </c>
      <c r="P741" t="n">
        <v>12007</v>
      </c>
      <c r="Q741" t="inlineStr">
        <is>
          <t>Refrigel Ltda (12007)</t>
        </is>
      </c>
      <c r="R741" t="inlineStr">
        <is>
          <t>PC-0015</t>
        </is>
      </c>
      <c r="S741" t="inlineStr">
        <is>
          <t>Filtro secador modelo 01</t>
        </is>
      </c>
      <c r="T741" t="n">
        <v>1</v>
      </c>
      <c r="U741" t="n">
        <v>115</v>
      </c>
      <c r="V741">
        <f>IF(J741="","",MONTH(J741))</f>
        <v/>
      </c>
      <c r="W741">
        <f>IF(J741="","",YEAR(J741))</f>
        <v/>
      </c>
      <c r="X741" t="inlineStr">
        <is>
          <t>CargoMax</t>
        </is>
      </c>
      <c r="Y741">
        <f>IFERROR(INDEX(Rastreio!$H$2:$H$200,MATCH(X741&amp;"|"&amp;U741,Rastreio!$A$2:$A$200,0)),"")</f>
        <v/>
      </c>
    </row>
    <row r="742">
      <c r="A742">
        <f>IFERROR(INDEX(STAs!$G$2:$G$61,MATCH(P742,STAs!$F$2:$F$61,0))&amp;"","")</f>
        <v/>
      </c>
      <c r="B742" t="n">
        <v>20018774</v>
      </c>
      <c r="C742" t="inlineStr">
        <is>
          <t>Sim</t>
        </is>
      </c>
      <c r="D742" t="inlineStr">
        <is>
          <t>PR</t>
        </is>
      </c>
      <c r="E742" t="inlineStr">
        <is>
          <t>SUL</t>
        </is>
      </c>
      <c r="F742" t="inlineStr">
        <is>
          <t>Cliente B - Chopeira</t>
        </is>
      </c>
      <c r="G742" t="inlineStr">
        <is>
          <t>Refrigeradores</t>
        </is>
      </c>
      <c r="H742" s="10" t="n">
        <v>30</v>
      </c>
      <c r="I742" s="10">
        <f>IFERROR(T742*H742,0)</f>
        <v/>
      </c>
      <c r="J742" s="11" t="n">
        <v>46038</v>
      </c>
      <c r="K742" s="11" t="n"/>
      <c r="L742" t="inlineStr">
        <is>
          <t>Em transporte</t>
        </is>
      </c>
      <c r="M742">
        <f>IF(L742="","",IFERROR(VLOOKUP(L742,mapGrupoStatus,2,0),"Outros"))</f>
        <v/>
      </c>
      <c r="N742">
        <f>IF(O742="","",IF(O742&lt;=30,"0-30 dias",IF(O742&lt;=60,"31-60 dias",IF(O742&lt;=90,"61-90 dias","Mais de 90 dias"))))</f>
        <v/>
      </c>
      <c r="O742">
        <f>IF(OR(M742="Pendente",M742="Em andamento"),IF(J742="","",TODAY()-J742),"")</f>
        <v/>
      </c>
      <c r="P742" t="n">
        <v>12724</v>
      </c>
      <c r="Q742" t="inlineStr">
        <is>
          <t>Cool Service &amp; Cia (12724)</t>
        </is>
      </c>
      <c r="R742" t="inlineStr">
        <is>
          <t>PC-0025</t>
        </is>
      </c>
      <c r="S742" t="inlineStr">
        <is>
          <t>Relé de partida modelo 03</t>
        </is>
      </c>
      <c r="T742" t="n">
        <v>2</v>
      </c>
      <c r="U742" t="n">
        <v>125</v>
      </c>
      <c r="V742">
        <f>IF(J742="","",MONTH(J742))</f>
        <v/>
      </c>
      <c r="W742">
        <f>IF(J742="","",YEAR(J742))</f>
        <v/>
      </c>
      <c r="X742" t="inlineStr">
        <is>
          <t>RotaSul</t>
        </is>
      </c>
      <c r="Y742">
        <f>IFERROR(INDEX(Rastreio!$H$2:$H$200,MATCH(X742&amp;"|"&amp;U742,Rastreio!$A$2:$A$200,0)),"")</f>
        <v/>
      </c>
    </row>
    <row r="743">
      <c r="A743">
        <f>IFERROR(INDEX(STAs!$G$2:$G$61,MATCH(P743,STAs!$F$2:$F$61,0))&amp;"","")</f>
        <v/>
      </c>
      <c r="B743" t="n">
        <v>20038993</v>
      </c>
      <c r="C743" t="inlineStr">
        <is>
          <t>Não</t>
        </is>
      </c>
      <c r="D743" t="inlineStr">
        <is>
          <t>MT</t>
        </is>
      </c>
      <c r="E743" t="inlineStr">
        <is>
          <t>CENTRO OESTE</t>
        </is>
      </c>
      <c r="F743" t="inlineStr">
        <is>
          <t>Cliente A - Refrigerador</t>
        </is>
      </c>
      <c r="G743" t="inlineStr">
        <is>
          <t>Refrigeradores</t>
        </is>
      </c>
      <c r="H743" s="10" t="n">
        <v>40</v>
      </c>
      <c r="I743" s="10">
        <f>IFERROR(T743*H743,0)</f>
        <v/>
      </c>
      <c r="J743" s="11" t="n">
        <v>46038</v>
      </c>
      <c r="K743" s="11" t="n"/>
      <c r="L743" t="inlineStr">
        <is>
          <t>Aguardando devolução</t>
        </is>
      </c>
      <c r="M743">
        <f>IF(L743="","",IFERROR(VLOOKUP(L743,mapGrupoStatus,2,0),"Outros"))</f>
        <v/>
      </c>
      <c r="N743">
        <f>IF(O743="","",IF(O743&lt;=30,"0-30 dias",IF(O743&lt;=60,"31-60 dias",IF(O743&lt;=90,"61-90 dias","Mais de 90 dias"))))</f>
        <v/>
      </c>
      <c r="O743">
        <f>IF(OR(M743="Pendente",M743="Em andamento"),IF(J743="","",TODAY()-J743),"")</f>
        <v/>
      </c>
      <c r="P743" t="n">
        <v>10227</v>
      </c>
      <c r="Q743" t="inlineStr">
        <is>
          <t>Assistência Técnica ME (10227)</t>
        </is>
      </c>
      <c r="R743" t="inlineStr">
        <is>
          <t>PC-0005</t>
        </is>
      </c>
      <c r="S743" t="inlineStr">
        <is>
          <t>Termostato modelo 02</t>
        </is>
      </c>
      <c r="T743" t="n">
        <v>1</v>
      </c>
      <c r="U743" t="inlineStr"/>
      <c r="V743">
        <f>IF(J743="","",MONTH(J743))</f>
        <v/>
      </c>
      <c r="W743">
        <f>IF(J743="","",YEAR(J743))</f>
        <v/>
      </c>
      <c r="X743" t="inlineStr"/>
      <c r="Y743">
        <f>IFERROR(INDEX(Rastreio!$H$2:$H$200,MATCH(X743&amp;"|"&amp;U743,Rastreio!$A$2:$A$200,0)),"")</f>
        <v/>
      </c>
    </row>
    <row r="744">
      <c r="A744">
        <f>IFERROR(INDEX(STAs!$G$2:$G$61,MATCH(P744,STAs!$F$2:$F$61,0))&amp;"","")</f>
        <v/>
      </c>
      <c r="B744" t="n">
        <v>20012900</v>
      </c>
      <c r="C744" t="inlineStr">
        <is>
          <t>Não</t>
        </is>
      </c>
      <c r="D744" t="inlineStr">
        <is>
          <t>RJ</t>
        </is>
      </c>
      <c r="E744" t="inlineStr">
        <is>
          <t>SUDESTE RJ e ES</t>
        </is>
      </c>
      <c r="F744" t="inlineStr">
        <is>
          <t>Cliente C - Misturador</t>
        </is>
      </c>
      <c r="G744" t="inlineStr">
        <is>
          <t>Misturadores</t>
        </is>
      </c>
      <c r="H744" s="10" t="n">
        <v>50</v>
      </c>
      <c r="I744" s="10">
        <f>IFERROR(T744*H744,0)</f>
        <v/>
      </c>
      <c r="J744" s="11" t="n">
        <v>46039</v>
      </c>
      <c r="K744" s="11" t="n">
        <v>46085</v>
      </c>
      <c r="L744" t="inlineStr">
        <is>
          <t>Ok. Devolvida</t>
        </is>
      </c>
      <c r="M744">
        <f>IF(L744="","",IFERROR(VLOOKUP(L744,mapGrupoStatus,2,0),"Outros"))</f>
        <v/>
      </c>
      <c r="N744">
        <f>IF(O744="","",IF(O744&lt;=30,"0-30 dias",IF(O744&lt;=60,"31-60 dias",IF(O744&lt;=90,"61-90 dias","Mais de 90 dias"))))</f>
        <v/>
      </c>
      <c r="O744">
        <f>IF(OR(M744="Pendente",M744="Em andamento"),IF(J744="","",TODAY()-J744),"")</f>
        <v/>
      </c>
      <c r="P744" t="n">
        <v>12336</v>
      </c>
      <c r="Q744" t="inlineStr">
        <is>
          <t>Termotec ME (12336)</t>
        </is>
      </c>
      <c r="R744" t="inlineStr">
        <is>
          <t>PC-0045</t>
        </is>
      </c>
      <c r="S744" t="inlineStr">
        <is>
          <t>Sensor de nível modelo 01</t>
        </is>
      </c>
      <c r="T744" t="n">
        <v>1</v>
      </c>
      <c r="U744" t="n">
        <v>124</v>
      </c>
      <c r="V744">
        <f>IF(J744="","",MONTH(J744))</f>
        <v/>
      </c>
      <c r="W744">
        <f>IF(J744="","",YEAR(J744))</f>
        <v/>
      </c>
      <c r="X744" t="inlineStr">
        <is>
          <t>LogExpress</t>
        </is>
      </c>
      <c r="Y744">
        <f>IFERROR(INDEX(Rastreio!$H$2:$H$200,MATCH(X744&amp;"|"&amp;U744,Rastreio!$A$2:$A$200,0)),"")</f>
        <v/>
      </c>
    </row>
    <row r="745">
      <c r="A745">
        <f>IFERROR(INDEX(STAs!$G$2:$G$61,MATCH(P745,STAs!$F$2:$F$61,0))&amp;"","")</f>
        <v/>
      </c>
      <c r="B745" t="n">
        <v>20016030</v>
      </c>
      <c r="C745" t="inlineStr">
        <is>
          <t>Não</t>
        </is>
      </c>
      <c r="D745" t="inlineStr">
        <is>
          <t>SP</t>
        </is>
      </c>
      <c r="E745" t="inlineStr">
        <is>
          <t>SUDESTE SP</t>
        </is>
      </c>
      <c r="F745" t="inlineStr">
        <is>
          <t>Cliente A - Refrigerador</t>
        </is>
      </c>
      <c r="G745" t="inlineStr">
        <is>
          <t>Refrigeradores</t>
        </is>
      </c>
      <c r="H745" s="10" t="n">
        <v>45</v>
      </c>
      <c r="I745" s="10">
        <f>IFERROR(T745*H745,0)</f>
        <v/>
      </c>
      <c r="J745" s="11" t="n">
        <v>46039</v>
      </c>
      <c r="K745" s="11" t="n"/>
      <c r="L745" t="inlineStr">
        <is>
          <t>Em andamento</t>
        </is>
      </c>
      <c r="M745">
        <f>IF(L745="","",IFERROR(VLOOKUP(L745,mapGrupoStatus,2,0),"Outros"))</f>
        <v/>
      </c>
      <c r="N745">
        <f>IF(O745="","",IF(O745&lt;=30,"0-30 dias",IF(O745&lt;=60,"31-60 dias",IF(O745&lt;=90,"61-90 dias","Mais de 90 dias"))))</f>
        <v/>
      </c>
      <c r="O745">
        <f>IF(OR(M745="Pendente",M745="Em andamento"),IF(J745="","",TODAY()-J745),"")</f>
        <v/>
      </c>
      <c r="P745" t="n">
        <v>10111</v>
      </c>
      <c r="Q745" t="inlineStr">
        <is>
          <t>Refrigel Manutenção (10111)</t>
        </is>
      </c>
      <c r="R745" t="inlineStr">
        <is>
          <t>PC-0019</t>
        </is>
      </c>
      <c r="S745" t="inlineStr">
        <is>
          <t>Gaxeta da porta modelo 02</t>
        </is>
      </c>
      <c r="T745" t="n">
        <v>1</v>
      </c>
      <c r="U745" t="n">
        <v>128</v>
      </c>
      <c r="V745">
        <f>IF(J745="","",MONTH(J745))</f>
        <v/>
      </c>
      <c r="W745">
        <f>IF(J745="","",YEAR(J745))</f>
        <v/>
      </c>
      <c r="X745" t="inlineStr">
        <is>
          <t>CargoMax</t>
        </is>
      </c>
      <c r="Y745">
        <f>IFERROR(INDEX(Rastreio!$H$2:$H$200,MATCH(X745&amp;"|"&amp;U745,Rastreio!$A$2:$A$200,0)),"")</f>
        <v/>
      </c>
    </row>
    <row r="746">
      <c r="A746">
        <f>IFERROR(INDEX(STAs!$G$2:$G$61,MATCH(P746,STAs!$F$2:$F$61,0))&amp;"","")</f>
        <v/>
      </c>
      <c r="B746" t="n">
        <v>20016729</v>
      </c>
      <c r="C746" t="inlineStr">
        <is>
          <t>Não</t>
        </is>
      </c>
      <c r="D746" t="inlineStr">
        <is>
          <t>RJ</t>
        </is>
      </c>
      <c r="E746" t="inlineStr">
        <is>
          <t>SUDESTE RJ e ES</t>
        </is>
      </c>
      <c r="F746" t="inlineStr">
        <is>
          <t>Cliente C - Misturador</t>
        </is>
      </c>
      <c r="G746" t="inlineStr">
        <is>
          <t>Misturadores</t>
        </is>
      </c>
      <c r="H746" s="10" t="n">
        <v>50</v>
      </c>
      <c r="I746" s="10">
        <f>IFERROR(T746*H746,0)</f>
        <v/>
      </c>
      <c r="J746" s="11" t="n">
        <v>46039</v>
      </c>
      <c r="K746" s="11" t="n"/>
      <c r="L746" t="inlineStr">
        <is>
          <t>Em andamento</t>
        </is>
      </c>
      <c r="M746">
        <f>IF(L746="","",IFERROR(VLOOKUP(L746,mapGrupoStatus,2,0),"Outros"))</f>
        <v/>
      </c>
      <c r="N746">
        <f>IF(O746="","",IF(O746&lt;=30,"0-30 dias",IF(O746&lt;=60,"31-60 dias",IF(O746&lt;=90,"61-90 dias","Mais de 90 dias"))))</f>
        <v/>
      </c>
      <c r="O746">
        <f>IF(OR(M746="Pendente",M746="Em andamento"),IF(J746="","",TODAY()-J746),"")</f>
        <v/>
      </c>
      <c r="P746" t="n">
        <v>11059</v>
      </c>
      <c r="Q746" t="inlineStr">
        <is>
          <t>Frio Ltda (11059)</t>
        </is>
      </c>
      <c r="R746" t="inlineStr">
        <is>
          <t>PC-0044</t>
        </is>
      </c>
      <c r="S746" t="inlineStr">
        <is>
          <t>Bico dosador modelo 03</t>
        </is>
      </c>
      <c r="T746" t="n">
        <v>1</v>
      </c>
      <c r="U746" t="n">
        <v>127</v>
      </c>
      <c r="V746">
        <f>IF(J746="","",MONTH(J746))</f>
        <v/>
      </c>
      <c r="W746">
        <f>IF(J746="","",YEAR(J746))</f>
        <v/>
      </c>
      <c r="X746" t="inlineStr">
        <is>
          <t>EntregaJá</t>
        </is>
      </c>
      <c r="Y746">
        <f>IFERROR(INDEX(Rastreio!$H$2:$H$200,MATCH(X746&amp;"|"&amp;U746,Rastreio!$A$2:$A$200,0)),"")</f>
        <v/>
      </c>
    </row>
    <row r="747">
      <c r="A747">
        <f>IFERROR(INDEX(STAs!$G$2:$G$61,MATCH(P747,STAs!$F$2:$F$61,0))&amp;"","")</f>
        <v/>
      </c>
      <c r="B747" t="n">
        <v>20024555</v>
      </c>
      <c r="C747" t="inlineStr">
        <is>
          <t>Sim</t>
        </is>
      </c>
      <c r="D747" t="inlineStr">
        <is>
          <t>PR</t>
        </is>
      </c>
      <c r="E747" t="inlineStr">
        <is>
          <t>SUL</t>
        </is>
      </c>
      <c r="F747" t="inlineStr">
        <is>
          <t>Cliente A - Refrigerador</t>
        </is>
      </c>
      <c r="G747" t="inlineStr">
        <is>
          <t>Refrigeradores</t>
        </is>
      </c>
      <c r="H747" s="10" t="n">
        <v>45</v>
      </c>
      <c r="I747" s="10">
        <f>IFERROR(T747*H747,0)</f>
        <v/>
      </c>
      <c r="J747" s="11" t="n">
        <v>46039</v>
      </c>
      <c r="K747" s="11" t="n"/>
      <c r="L747" t="inlineStr">
        <is>
          <t>NF Vencida</t>
        </is>
      </c>
      <c r="M747">
        <f>IF(L747="","",IFERROR(VLOOKUP(L747,mapGrupoStatus,2,0),"Outros"))</f>
        <v/>
      </c>
      <c r="N747">
        <f>IF(O747="","",IF(O747&lt;=30,"0-30 dias",IF(O747&lt;=60,"31-60 dias",IF(O747&lt;=90,"61-90 dias","Mais de 90 dias"))))</f>
        <v/>
      </c>
      <c r="O747">
        <f>IF(OR(M747="Pendente",M747="Em andamento"),IF(J747="","",TODAY()-J747),"")</f>
        <v/>
      </c>
      <c r="P747" t="n">
        <v>12724</v>
      </c>
      <c r="Q747" t="inlineStr">
        <is>
          <t>Cool Service &amp; Cia (12724)</t>
        </is>
      </c>
      <c r="R747" t="inlineStr">
        <is>
          <t>PC-0018</t>
        </is>
      </c>
      <c r="S747" t="inlineStr">
        <is>
          <t>Gaxeta da porta modelo 01</t>
        </is>
      </c>
      <c r="T747" t="n">
        <v>1</v>
      </c>
      <c r="U747" t="inlineStr"/>
      <c r="V747">
        <f>IF(J747="","",MONTH(J747))</f>
        <v/>
      </c>
      <c r="W747">
        <f>IF(J747="","",YEAR(J747))</f>
        <v/>
      </c>
      <c r="X747" t="inlineStr"/>
      <c r="Y747">
        <f>IFERROR(INDEX(Rastreio!$H$2:$H$200,MATCH(X747&amp;"|"&amp;U747,Rastreio!$A$2:$A$200,0)),"")</f>
        <v/>
      </c>
    </row>
    <row r="748">
      <c r="A748">
        <f>IFERROR(INDEX(STAs!$G$2:$G$61,MATCH(P748,STAs!$F$2:$F$61,0))&amp;"","")</f>
        <v/>
      </c>
      <c r="B748" t="n">
        <v>20027600</v>
      </c>
      <c r="C748" t="inlineStr">
        <is>
          <t>Não</t>
        </is>
      </c>
      <c r="D748" t="inlineStr">
        <is>
          <t>RO</t>
        </is>
      </c>
      <c r="E748" t="inlineStr">
        <is>
          <t>NORTE</t>
        </is>
      </c>
      <c r="F748" t="inlineStr">
        <is>
          <t>Cliente B - Chopeira</t>
        </is>
      </c>
      <c r="G748" t="inlineStr">
        <is>
          <t>Refrigeradores</t>
        </is>
      </c>
      <c r="H748" s="10" t="n">
        <v>50</v>
      </c>
      <c r="I748" s="10">
        <f>IFERROR(T748*H748,0)</f>
        <v/>
      </c>
      <c r="J748" s="11" t="n">
        <v>46039</v>
      </c>
      <c r="K748" s="11" t="n"/>
      <c r="L748" t="inlineStr">
        <is>
          <t>Aguardando devolução</t>
        </is>
      </c>
      <c r="M748">
        <f>IF(L748="","",IFERROR(VLOOKUP(L748,mapGrupoStatus,2,0),"Outros"))</f>
        <v/>
      </c>
      <c r="N748">
        <f>IF(O748="","",IF(O748&lt;=30,"0-30 dias",IF(O748&lt;=60,"31-60 dias",IF(O748&lt;=90,"61-90 dias","Mais de 90 dias"))))</f>
        <v/>
      </c>
      <c r="O748">
        <f>IF(OR(M748="Pendente",M748="Em andamento"),IF(J748="","",TODAY()-J748),"")</f>
        <v/>
      </c>
      <c r="P748" t="n">
        <v>10172</v>
      </c>
      <c r="Q748" t="inlineStr">
        <is>
          <t>Frigo Serviços (10172)</t>
        </is>
      </c>
      <c r="R748" t="inlineStr">
        <is>
          <t>PC-0006</t>
        </is>
      </c>
      <c r="S748" t="inlineStr">
        <is>
          <t>Termostato modelo 03</t>
        </is>
      </c>
      <c r="T748" t="n">
        <v>1</v>
      </c>
      <c r="U748" t="inlineStr"/>
      <c r="V748">
        <f>IF(J748="","",MONTH(J748))</f>
        <v/>
      </c>
      <c r="W748">
        <f>IF(J748="","",YEAR(J748))</f>
        <v/>
      </c>
      <c r="X748" t="inlineStr"/>
      <c r="Y748">
        <f>IFERROR(INDEX(Rastreio!$H$2:$H$200,MATCH(X748&amp;"|"&amp;U748,Rastreio!$A$2:$A$200,0)),"")</f>
        <v/>
      </c>
    </row>
    <row r="749">
      <c r="A749">
        <f>IFERROR(INDEX(STAs!$G$2:$G$61,MATCH(P749,STAs!$F$2:$F$61,0))&amp;"","")</f>
        <v/>
      </c>
      <c r="B749" t="n">
        <v>20038341</v>
      </c>
      <c r="C749" t="inlineStr">
        <is>
          <t>Não</t>
        </is>
      </c>
      <c r="D749" t="inlineStr">
        <is>
          <t>AM</t>
        </is>
      </c>
      <c r="E749" t="inlineStr">
        <is>
          <t>NORTE</t>
        </is>
      </c>
      <c r="F749" t="inlineStr">
        <is>
          <t>Cliente A - Refrigerador</t>
        </is>
      </c>
      <c r="G749" t="inlineStr">
        <is>
          <t>Misturadores</t>
        </is>
      </c>
      <c r="H749" s="10" t="n">
        <v>185</v>
      </c>
      <c r="I749" s="10">
        <f>IFERROR(T749*H749,0)</f>
        <v/>
      </c>
      <c r="J749" s="11" t="n">
        <v>46039</v>
      </c>
      <c r="K749" s="11" t="n"/>
      <c r="L749" t="inlineStr">
        <is>
          <t>NF Vencida</t>
        </is>
      </c>
      <c r="M749">
        <f>IF(L749="","",IFERROR(VLOOKUP(L749,mapGrupoStatus,2,0),"Outros"))</f>
        <v/>
      </c>
      <c r="N749">
        <f>IF(O749="","",IF(O749&lt;=30,"0-30 dias",IF(O749&lt;=60,"31-60 dias",IF(O749&lt;=90,"61-90 dias","Mais de 90 dias"))))</f>
        <v/>
      </c>
      <c r="O749">
        <f>IF(OR(M749="Pendente",M749="Em andamento"),IF(J749="","",TODAY()-J749),"")</f>
        <v/>
      </c>
      <c r="P749" t="n">
        <v>10842</v>
      </c>
      <c r="Q749" t="inlineStr">
        <is>
          <t>Frigo &amp; Cia (10842)</t>
        </is>
      </c>
      <c r="R749" t="inlineStr">
        <is>
          <t>PC-0041</t>
        </is>
      </c>
      <c r="S749" t="inlineStr">
        <is>
          <t>Motor agitador modelo 02</t>
        </is>
      </c>
      <c r="T749" t="n">
        <v>1</v>
      </c>
      <c r="U749" t="inlineStr"/>
      <c r="V749">
        <f>IF(J749="","",MONTH(J749))</f>
        <v/>
      </c>
      <c r="W749">
        <f>IF(J749="","",YEAR(J749))</f>
        <v/>
      </c>
      <c r="X749" t="inlineStr"/>
      <c r="Y749">
        <f>IFERROR(INDEX(Rastreio!$H$2:$H$200,MATCH(X749&amp;"|"&amp;U749,Rastreio!$A$2:$A$200,0)),"")</f>
        <v/>
      </c>
    </row>
    <row r="750">
      <c r="A750">
        <f>IFERROR(INDEX(STAs!$G$2:$G$61,MATCH(P750,STAs!$F$2:$F$61,0))&amp;"","")</f>
        <v/>
      </c>
      <c r="B750" t="n">
        <v>20000660</v>
      </c>
      <c r="C750" t="inlineStr">
        <is>
          <t>Não</t>
        </is>
      </c>
      <c r="D750" t="inlineStr">
        <is>
          <t>PR</t>
        </is>
      </c>
      <c r="E750" t="inlineStr">
        <is>
          <t>SUL</t>
        </is>
      </c>
      <c r="F750" t="inlineStr">
        <is>
          <t>Cliente A - Refrigerador</t>
        </is>
      </c>
      <c r="G750" t="inlineStr">
        <is>
          <t>Refrigeradores</t>
        </is>
      </c>
      <c r="H750" s="10" t="n">
        <v>35</v>
      </c>
      <c r="I750" s="10">
        <f>IFERROR(T750*H750,0)</f>
        <v/>
      </c>
      <c r="J750" s="11" t="n">
        <v>46040</v>
      </c>
      <c r="K750" s="11" t="n">
        <v>46076</v>
      </c>
      <c r="L750" t="inlineStr">
        <is>
          <t>Ok. Devolvida</t>
        </is>
      </c>
      <c r="M750">
        <f>IF(L750="","",IFERROR(VLOOKUP(L750,mapGrupoStatus,2,0),"Outros"))</f>
        <v/>
      </c>
      <c r="N750">
        <f>IF(O750="","",IF(O750&lt;=30,"0-30 dias",IF(O750&lt;=60,"31-60 dias",IF(O750&lt;=90,"61-90 dias","Mais de 90 dias"))))</f>
        <v/>
      </c>
      <c r="O750">
        <f>IF(OR(M750="Pendente",M750="Em andamento"),IF(J750="","",TODAY()-J750),"")</f>
        <v/>
      </c>
      <c r="P750" t="n">
        <v>12089</v>
      </c>
      <c r="Q750" t="inlineStr">
        <is>
          <t>Termotec Serviços (12089)</t>
        </is>
      </c>
      <c r="R750" t="inlineStr">
        <is>
          <t>PC-0020</t>
        </is>
      </c>
      <c r="S750" t="inlineStr">
        <is>
          <t>Gaxeta da porta modelo 03</t>
        </is>
      </c>
      <c r="T750" t="n">
        <v>2</v>
      </c>
      <c r="U750" t="n">
        <v>102</v>
      </c>
      <c r="V750">
        <f>IF(J750="","",MONTH(J750))</f>
        <v/>
      </c>
      <c r="W750">
        <f>IF(J750="","",YEAR(J750))</f>
        <v/>
      </c>
      <c r="X750" t="inlineStr">
        <is>
          <t>RotaSul</t>
        </is>
      </c>
      <c r="Y750">
        <f>IFERROR(INDEX(Rastreio!$H$2:$H$200,MATCH(X750&amp;"|"&amp;U750,Rastreio!$A$2:$A$200,0)),"")</f>
        <v/>
      </c>
    </row>
    <row r="751">
      <c r="A751">
        <f>IFERROR(INDEX(STAs!$G$2:$G$61,MATCH(P751,STAs!$F$2:$F$61,0))&amp;"","")</f>
        <v/>
      </c>
      <c r="B751" t="n">
        <v>20001873</v>
      </c>
      <c r="C751" t="inlineStr">
        <is>
          <t>Sim</t>
        </is>
      </c>
      <c r="D751" t="inlineStr">
        <is>
          <t>PR</t>
        </is>
      </c>
      <c r="E751" t="inlineStr">
        <is>
          <t>SUL</t>
        </is>
      </c>
      <c r="F751" t="inlineStr">
        <is>
          <t>Cliente B - Chopeira</t>
        </is>
      </c>
      <c r="G751" t="inlineStr">
        <is>
          <t>Refrigeradores</t>
        </is>
      </c>
      <c r="H751" s="10" t="n">
        <v>315</v>
      </c>
      <c r="I751" s="10">
        <f>IFERROR(T751*H751,0)</f>
        <v/>
      </c>
      <c r="J751" s="11" t="n">
        <v>46040</v>
      </c>
      <c r="K751" s="11" t="n"/>
      <c r="L751" t="inlineStr">
        <is>
          <t>Aguardando Transporte</t>
        </is>
      </c>
      <c r="M751">
        <f>IF(L751="","",IFERROR(VLOOKUP(L751,mapGrupoStatus,2,0),"Outros"))</f>
        <v/>
      </c>
      <c r="N751">
        <f>IF(O751="","",IF(O751&lt;=30,"0-30 dias",IF(O751&lt;=60,"31-60 dias",IF(O751&lt;=90,"61-90 dias","Mais de 90 dias"))))</f>
        <v/>
      </c>
      <c r="O751">
        <f>IF(OR(M751="Pendente",M751="Em andamento"),IF(J751="","",TODAY()-J751),"")</f>
        <v/>
      </c>
      <c r="P751" t="n">
        <v>10913</v>
      </c>
      <c r="Q751" t="inlineStr">
        <is>
          <t>Ice Tech &amp; Cia (10913)</t>
        </is>
      </c>
      <c r="R751" t="inlineStr">
        <is>
          <t>PC-0002</t>
        </is>
      </c>
      <c r="S751" t="inlineStr">
        <is>
          <t>Compressor modelo 02</t>
        </is>
      </c>
      <c r="T751" t="n">
        <v>1</v>
      </c>
      <c r="U751" t="n">
        <v>104</v>
      </c>
      <c r="V751">
        <f>IF(J751="","",MONTH(J751))</f>
        <v/>
      </c>
      <c r="W751">
        <f>IF(J751="","",YEAR(J751))</f>
        <v/>
      </c>
      <c r="X751" t="inlineStr">
        <is>
          <t>ViaCargo</t>
        </is>
      </c>
      <c r="Y751">
        <f>IFERROR(INDEX(Rastreio!$H$2:$H$200,MATCH(X751&amp;"|"&amp;U751,Rastreio!$A$2:$A$200,0)),"")</f>
        <v/>
      </c>
    </row>
    <row r="752">
      <c r="A752">
        <f>IFERROR(INDEX(STAs!$G$2:$G$61,MATCH(P752,STAs!$F$2:$F$61,0))&amp;"","")</f>
        <v/>
      </c>
      <c r="B752" t="n">
        <v>20002948</v>
      </c>
      <c r="C752" t="inlineStr">
        <is>
          <t>Não</t>
        </is>
      </c>
      <c r="D752" t="inlineStr">
        <is>
          <t>RO</t>
        </is>
      </c>
      <c r="E752" t="inlineStr">
        <is>
          <t>NORTE</t>
        </is>
      </c>
      <c r="F752" t="inlineStr">
        <is>
          <t>Cliente B - Chopeira</t>
        </is>
      </c>
      <c r="G752" t="inlineStr">
        <is>
          <t>Misturadores</t>
        </is>
      </c>
      <c r="H752" s="10" t="n">
        <v>40</v>
      </c>
      <c r="I752" s="10">
        <f>IFERROR(T752*H752,0)</f>
        <v/>
      </c>
      <c r="J752" s="11" t="n">
        <v>46040</v>
      </c>
      <c r="K752" s="11" t="n"/>
      <c r="L752" t="inlineStr">
        <is>
          <t>Não Devolve-Norte</t>
        </is>
      </c>
      <c r="M752">
        <f>IF(L752="","",IFERROR(VLOOKUP(L752,mapGrupoStatus,2,0),"Outros"))</f>
        <v/>
      </c>
      <c r="N752">
        <f>IF(O752="","",IF(O752&lt;=30,"0-30 dias",IF(O752&lt;=60,"31-60 dias",IF(O752&lt;=90,"61-90 dias","Mais de 90 dias"))))</f>
        <v/>
      </c>
      <c r="O752">
        <f>IF(OR(M752="Pendente",M752="Em andamento"),IF(J752="","",TODAY()-J752),"")</f>
        <v/>
      </c>
      <c r="P752" t="n">
        <v>10172</v>
      </c>
      <c r="Q752" t="inlineStr">
        <is>
          <t>Frigo Serviços (10172)</t>
        </is>
      </c>
      <c r="R752" t="inlineStr">
        <is>
          <t>PC-0042</t>
        </is>
      </c>
      <c r="S752" t="inlineStr">
        <is>
          <t>Bico dosador modelo 01</t>
        </is>
      </c>
      <c r="T752" t="n">
        <v>1</v>
      </c>
      <c r="U752" t="inlineStr"/>
      <c r="V752">
        <f>IF(J752="","",MONTH(J752))</f>
        <v/>
      </c>
      <c r="W752">
        <f>IF(J752="","",YEAR(J752))</f>
        <v/>
      </c>
      <c r="X752" t="inlineStr"/>
      <c r="Y752">
        <f>IFERROR(INDEX(Rastreio!$H$2:$H$200,MATCH(X752&amp;"|"&amp;U752,Rastreio!$A$2:$A$200,0)),"")</f>
        <v/>
      </c>
    </row>
    <row r="753">
      <c r="A753">
        <f>IFERROR(INDEX(STAs!$G$2:$G$61,MATCH(P753,STAs!$F$2:$F$61,0))&amp;"","")</f>
        <v/>
      </c>
      <c r="B753" t="n">
        <v>20006735</v>
      </c>
      <c r="C753" t="inlineStr">
        <is>
          <t>Não</t>
        </is>
      </c>
      <c r="D753" t="inlineStr">
        <is>
          <t>DF</t>
        </is>
      </c>
      <c r="E753" t="inlineStr">
        <is>
          <t>CENTRO OESTE</t>
        </is>
      </c>
      <c r="F753" t="inlineStr">
        <is>
          <t>Cliente C - Misturador</t>
        </is>
      </c>
      <c r="G753" t="inlineStr">
        <is>
          <t>Refrigeradores</t>
        </is>
      </c>
      <c r="H753" s="10" t="n">
        <v>155</v>
      </c>
      <c r="I753" s="10">
        <f>IFERROR(T753*H753,0)</f>
        <v/>
      </c>
      <c r="J753" s="11" t="n">
        <v>46040</v>
      </c>
      <c r="K753" s="11" t="n">
        <v>46061</v>
      </c>
      <c r="L753" t="inlineStr">
        <is>
          <t>Ok. Devolvida</t>
        </is>
      </c>
      <c r="M753">
        <f>IF(L753="","",IFERROR(VLOOKUP(L753,mapGrupoStatus,2,0),"Outros"))</f>
        <v/>
      </c>
      <c r="N753">
        <f>IF(O753="","",IF(O753&lt;=30,"0-30 dias",IF(O753&lt;=60,"31-60 dias",IF(O753&lt;=90,"61-90 dias","Mais de 90 dias"))))</f>
        <v/>
      </c>
      <c r="O753">
        <f>IF(OR(M753="Pendente",M753="Em andamento"),IF(J753="","",TODAY()-J753),"")</f>
        <v/>
      </c>
      <c r="P753" t="n">
        <v>10021</v>
      </c>
      <c r="Q753" t="inlineStr">
        <is>
          <t>Termotec Técnica (10021)</t>
        </is>
      </c>
      <c r="R753" t="inlineStr">
        <is>
          <t>PC-0022</t>
        </is>
      </c>
      <c r="S753" t="inlineStr">
        <is>
          <t>Controlador digital modelo 02</t>
        </is>
      </c>
      <c r="T753" t="n">
        <v>1</v>
      </c>
      <c r="U753" t="n">
        <v>115</v>
      </c>
      <c r="V753">
        <f>IF(J753="","",MONTH(J753))</f>
        <v/>
      </c>
      <c r="W753">
        <f>IF(J753="","",YEAR(J753))</f>
        <v/>
      </c>
      <c r="X753" t="inlineStr">
        <is>
          <t>EntregaJá</t>
        </is>
      </c>
      <c r="Y753">
        <f>IFERROR(INDEX(Rastreio!$H$2:$H$200,MATCH(X753&amp;"|"&amp;U753,Rastreio!$A$2:$A$200,0)),"")</f>
        <v/>
      </c>
    </row>
    <row r="754">
      <c r="A754">
        <f>IFERROR(INDEX(STAs!$G$2:$G$61,MATCH(P754,STAs!$F$2:$F$61,0))&amp;"","")</f>
        <v/>
      </c>
      <c r="B754" t="n">
        <v>20031549</v>
      </c>
      <c r="C754" t="inlineStr">
        <is>
          <t>Não</t>
        </is>
      </c>
      <c r="D754" t="inlineStr">
        <is>
          <t>PE</t>
        </is>
      </c>
      <c r="E754" t="inlineStr">
        <is>
          <t>NORDESTE</t>
        </is>
      </c>
      <c r="F754" t="inlineStr">
        <is>
          <t>Cliente C - Misturador</t>
        </is>
      </c>
      <c r="G754" t="inlineStr">
        <is>
          <t>Refrigeradores</t>
        </is>
      </c>
      <c r="H754" s="10" t="n">
        <v>175</v>
      </c>
      <c r="I754" s="10">
        <f>IFERROR(T754*H754,0)</f>
        <v/>
      </c>
      <c r="J754" s="11" t="n">
        <v>46040</v>
      </c>
      <c r="K754" s="11" t="n">
        <v>46058</v>
      </c>
      <c r="L754" t="inlineStr">
        <is>
          <t>Ok. Devolvida</t>
        </is>
      </c>
      <c r="M754">
        <f>IF(L754="","",IFERROR(VLOOKUP(L754,mapGrupoStatus,2,0),"Outros"))</f>
        <v/>
      </c>
      <c r="N754">
        <f>IF(O754="","",IF(O754&lt;=30,"0-30 dias",IF(O754&lt;=60,"31-60 dias",IF(O754&lt;=90,"61-90 dias","Mais de 90 dias"))))</f>
        <v/>
      </c>
      <c r="O754">
        <f>IF(OR(M754="Pendente",M754="Em andamento"),IF(J754="","",TODAY()-J754),"")</f>
        <v/>
      </c>
      <c r="P754" t="n">
        <v>11352</v>
      </c>
      <c r="Q754" t="inlineStr">
        <is>
          <t>Frio Express (11352)</t>
        </is>
      </c>
      <c r="R754" t="inlineStr">
        <is>
          <t>PC-0012</t>
        </is>
      </c>
      <c r="S754" t="inlineStr">
        <is>
          <t>Placa eletrônica modelo 02</t>
        </is>
      </c>
      <c r="T754" t="n">
        <v>1</v>
      </c>
      <c r="U754" t="n">
        <v>158</v>
      </c>
      <c r="V754">
        <f>IF(J754="","",MONTH(J754))</f>
        <v/>
      </c>
      <c r="W754">
        <f>IF(J754="","",YEAR(J754))</f>
        <v/>
      </c>
      <c r="X754" t="inlineStr">
        <is>
          <t>LogExpress</t>
        </is>
      </c>
      <c r="Y754">
        <f>IFERROR(INDEX(Rastreio!$H$2:$H$200,MATCH(X754&amp;"|"&amp;U754,Rastreio!$A$2:$A$200,0)),"")</f>
        <v/>
      </c>
    </row>
    <row r="755">
      <c r="A755">
        <f>IFERROR(INDEX(STAs!$G$2:$G$61,MATCH(P755,STAs!$F$2:$F$61,0))&amp;"","")</f>
        <v/>
      </c>
      <c r="B755" t="n">
        <v>20039040</v>
      </c>
      <c r="C755" t="inlineStr">
        <is>
          <t>Sim</t>
        </is>
      </c>
      <c r="D755" t="inlineStr">
        <is>
          <t>SP</t>
        </is>
      </c>
      <c r="E755" t="inlineStr">
        <is>
          <t>SUDESTE SP</t>
        </is>
      </c>
      <c r="F755" t="inlineStr">
        <is>
          <t>Cliente A - Refrigerador</t>
        </is>
      </c>
      <c r="G755" t="inlineStr">
        <is>
          <t>Refrigeradores</t>
        </is>
      </c>
      <c r="H755" s="10" t="n">
        <v>155</v>
      </c>
      <c r="I755" s="10">
        <f>IFERROR(T755*H755,0)</f>
        <v/>
      </c>
      <c r="J755" s="11" t="n">
        <v>46040</v>
      </c>
      <c r="K755" s="11" t="n">
        <v>46046</v>
      </c>
      <c r="L755" t="inlineStr">
        <is>
          <t>Ok. Devolvida</t>
        </is>
      </c>
      <c r="M755">
        <f>IF(L755="","",IFERROR(VLOOKUP(L755,mapGrupoStatus,2,0),"Outros"))</f>
        <v/>
      </c>
      <c r="N755">
        <f>IF(O755="","",IF(O755&lt;=30,"0-30 dias",IF(O755&lt;=60,"31-60 dias",IF(O755&lt;=90,"61-90 dias","Mais de 90 dias"))))</f>
        <v/>
      </c>
      <c r="O755">
        <f>IF(OR(M755="Pendente",M755="Em andamento"),IF(J755="","",TODAY()-J755),"")</f>
        <v/>
      </c>
      <c r="P755" t="n">
        <v>10010</v>
      </c>
      <c r="Q755" t="inlineStr">
        <is>
          <t>Cool Service ME (10010)</t>
        </is>
      </c>
      <c r="R755" t="inlineStr">
        <is>
          <t>PC-0021</t>
        </is>
      </c>
      <c r="S755" t="inlineStr">
        <is>
          <t>Controlador digital modelo 01</t>
        </is>
      </c>
      <c r="T755" t="n">
        <v>1</v>
      </c>
      <c r="U755" t="n">
        <v>168</v>
      </c>
      <c r="V755">
        <f>IF(J755="","",MONTH(J755))</f>
        <v/>
      </c>
      <c r="W755">
        <f>IF(J755="","",YEAR(J755))</f>
        <v/>
      </c>
      <c r="X755" t="inlineStr">
        <is>
          <t>CargoMax</t>
        </is>
      </c>
      <c r="Y755">
        <f>IFERROR(INDEX(Rastreio!$H$2:$H$200,MATCH(X755&amp;"|"&amp;U755,Rastreio!$A$2:$A$200,0)),"")</f>
        <v/>
      </c>
    </row>
    <row r="756">
      <c r="A756">
        <f>IFERROR(INDEX(STAs!$G$2:$G$61,MATCH(P756,STAs!$F$2:$F$61,0))&amp;"","")</f>
        <v/>
      </c>
      <c r="B756" t="n">
        <v>20001273</v>
      </c>
      <c r="C756" t="inlineStr">
        <is>
          <t>Não</t>
        </is>
      </c>
      <c r="D756" t="inlineStr">
        <is>
          <t>ES</t>
        </is>
      </c>
      <c r="E756" t="inlineStr">
        <is>
          <t>SUDESTE RJ e ES</t>
        </is>
      </c>
      <c r="F756" t="inlineStr">
        <is>
          <t>Cliente A - Refrigerador</t>
        </is>
      </c>
      <c r="G756" t="inlineStr">
        <is>
          <t>Misturadores</t>
        </is>
      </c>
      <c r="H756" s="10" t="n">
        <v>35</v>
      </c>
      <c r="I756" s="10">
        <f>IFERROR(T756*H756,0)</f>
        <v/>
      </c>
      <c r="J756" s="11" t="n">
        <v>46041</v>
      </c>
      <c r="K756" s="11" t="n">
        <v>46101</v>
      </c>
      <c r="L756" t="inlineStr">
        <is>
          <t>Ok. Devolvida</t>
        </is>
      </c>
      <c r="M756">
        <f>IF(L756="","",IFERROR(VLOOKUP(L756,mapGrupoStatus,2,0),"Outros"))</f>
        <v/>
      </c>
      <c r="N756">
        <f>IF(O756="","",IF(O756&lt;=30,"0-30 dias",IF(O756&lt;=60,"31-60 dias",IF(O756&lt;=90,"61-90 dias","Mais de 90 dias"))))</f>
        <v/>
      </c>
      <c r="O756">
        <f>IF(OR(M756="Pendente",M756="Em andamento"),IF(J756="","",TODAY()-J756),"")</f>
        <v/>
      </c>
      <c r="P756" t="n">
        <v>12555</v>
      </c>
      <c r="Q756" t="inlineStr">
        <is>
          <t>Cool Service Serviços (12555)</t>
        </is>
      </c>
      <c r="R756" t="inlineStr">
        <is>
          <t>PC-0043</t>
        </is>
      </c>
      <c r="S756" t="inlineStr">
        <is>
          <t>Bico dosador modelo 02</t>
        </is>
      </c>
      <c r="T756" t="n">
        <v>2</v>
      </c>
      <c r="U756" t="n">
        <v>104</v>
      </c>
      <c r="V756">
        <f>IF(J756="","",MONTH(J756))</f>
        <v/>
      </c>
      <c r="W756">
        <f>IF(J756="","",YEAR(J756))</f>
        <v/>
      </c>
      <c r="X756" t="inlineStr">
        <is>
          <t>EntregaJá</t>
        </is>
      </c>
      <c r="Y756">
        <f>IFERROR(INDEX(Rastreio!$H$2:$H$200,MATCH(X756&amp;"|"&amp;U756,Rastreio!$A$2:$A$200,0)),"")</f>
        <v/>
      </c>
    </row>
    <row r="757">
      <c r="A757">
        <f>IFERROR(INDEX(STAs!$G$2:$G$61,MATCH(P757,STAs!$F$2:$F$61,0))&amp;"","")</f>
        <v/>
      </c>
      <c r="B757" t="n">
        <v>20005084</v>
      </c>
      <c r="C757" t="inlineStr">
        <is>
          <t>Sim</t>
        </is>
      </c>
      <c r="D757" t="inlineStr">
        <is>
          <t>SP</t>
        </is>
      </c>
      <c r="E757" t="inlineStr">
        <is>
          <t>SUDESTE SP</t>
        </is>
      </c>
      <c r="F757" t="inlineStr">
        <is>
          <t>Cliente C - Misturador</t>
        </is>
      </c>
      <c r="G757" t="inlineStr">
        <is>
          <t>Refrigeradores</t>
        </is>
      </c>
      <c r="H757" s="10" t="n">
        <v>315</v>
      </c>
      <c r="I757" s="10">
        <f>IFERROR(T757*H757,0)</f>
        <v/>
      </c>
      <c r="J757" s="11" t="n">
        <v>46041</v>
      </c>
      <c r="K757" s="11" t="n">
        <v>46064</v>
      </c>
      <c r="L757" t="inlineStr">
        <is>
          <t>Ok. Devolvida</t>
        </is>
      </c>
      <c r="M757">
        <f>IF(L757="","",IFERROR(VLOOKUP(L757,mapGrupoStatus,2,0),"Outros"))</f>
        <v/>
      </c>
      <c r="N757">
        <f>IF(O757="","",IF(O757&lt;=30,"0-30 dias",IF(O757&lt;=60,"31-60 dias",IF(O757&lt;=90,"61-90 dias","Mais de 90 dias"))))</f>
        <v/>
      </c>
      <c r="O757">
        <f>IF(OR(M757="Pendente",M757="Em andamento"),IF(J757="","",TODAY()-J757),"")</f>
        <v/>
      </c>
      <c r="P757" t="n">
        <v>10010</v>
      </c>
      <c r="Q757" t="inlineStr">
        <is>
          <t>Cool Service ME (10010)</t>
        </is>
      </c>
      <c r="R757" t="inlineStr">
        <is>
          <t>PC-0002</t>
        </is>
      </c>
      <c r="S757" t="inlineStr">
        <is>
          <t>Compressor modelo 02</t>
        </is>
      </c>
      <c r="T757" t="n">
        <v>1</v>
      </c>
      <c r="U757" t="n">
        <v>107</v>
      </c>
      <c r="V757">
        <f>IF(J757="","",MONTH(J757))</f>
        <v/>
      </c>
      <c r="W757">
        <f>IF(J757="","",YEAR(J757))</f>
        <v/>
      </c>
      <c r="X757" t="inlineStr">
        <is>
          <t>LogExpress</t>
        </is>
      </c>
      <c r="Y757">
        <f>IFERROR(INDEX(Rastreio!$H$2:$H$200,MATCH(X757&amp;"|"&amp;U757,Rastreio!$A$2:$A$200,0)),"")</f>
        <v/>
      </c>
    </row>
    <row r="758">
      <c r="A758">
        <f>IFERROR(INDEX(STAs!$G$2:$G$61,MATCH(P758,STAs!$F$2:$F$61,0))&amp;"","")</f>
        <v/>
      </c>
      <c r="B758" t="n">
        <v>20008178</v>
      </c>
      <c r="C758" t="inlineStr">
        <is>
          <t>Não</t>
        </is>
      </c>
      <c r="D758" t="inlineStr">
        <is>
          <t>RO</t>
        </is>
      </c>
      <c r="E758" t="inlineStr">
        <is>
          <t>NORTE</t>
        </is>
      </c>
      <c r="F758" t="inlineStr">
        <is>
          <t>Cliente B - Chopeira</t>
        </is>
      </c>
      <c r="G758" t="inlineStr">
        <is>
          <t>Refrigeradores</t>
        </is>
      </c>
      <c r="H758" s="10" t="n">
        <v>35</v>
      </c>
      <c r="I758" s="10">
        <f>IFERROR(T758*H758,0)</f>
        <v/>
      </c>
      <c r="J758" s="11" t="n">
        <v>46041</v>
      </c>
      <c r="K758" s="11" t="n"/>
      <c r="L758" t="inlineStr">
        <is>
          <t>Não Devolve-Norte</t>
        </is>
      </c>
      <c r="M758">
        <f>IF(L758="","",IFERROR(VLOOKUP(L758,mapGrupoStatus,2,0),"Outros"))</f>
        <v/>
      </c>
      <c r="N758">
        <f>IF(O758="","",IF(O758&lt;=30,"0-30 dias",IF(O758&lt;=60,"31-60 dias",IF(O758&lt;=90,"61-90 dias","Mais de 90 dias"))))</f>
        <v/>
      </c>
      <c r="O758">
        <f>IF(OR(M758="Pendente",M758="Em andamento"),IF(J758="","",TODAY()-J758),"")</f>
        <v/>
      </c>
      <c r="P758" t="n">
        <v>10172</v>
      </c>
      <c r="Q758" t="inlineStr">
        <is>
          <t>Frigo Serviços (10172)</t>
        </is>
      </c>
      <c r="R758" t="inlineStr">
        <is>
          <t>PC-0024</t>
        </is>
      </c>
      <c r="S758" t="inlineStr">
        <is>
          <t>Relé de partida modelo 02</t>
        </is>
      </c>
      <c r="T758" t="n">
        <v>1</v>
      </c>
      <c r="U758" t="inlineStr"/>
      <c r="V758">
        <f>IF(J758="","",MONTH(J758))</f>
        <v/>
      </c>
      <c r="W758">
        <f>IF(J758="","",YEAR(J758))</f>
        <v/>
      </c>
      <c r="X758" t="inlineStr"/>
      <c r="Y758">
        <f>IFERROR(INDEX(Rastreio!$H$2:$H$200,MATCH(X758&amp;"|"&amp;U758,Rastreio!$A$2:$A$200,0)),"")</f>
        <v/>
      </c>
    </row>
    <row r="759">
      <c r="A759">
        <f>IFERROR(INDEX(STAs!$G$2:$G$61,MATCH(P759,STAs!$F$2:$F$61,0))&amp;"","")</f>
        <v/>
      </c>
      <c r="B759" t="n">
        <v>20030563</v>
      </c>
      <c r="C759" t="inlineStr">
        <is>
          <t>Não</t>
        </is>
      </c>
      <c r="D759" t="inlineStr">
        <is>
          <t>SP</t>
        </is>
      </c>
      <c r="E759" t="inlineStr">
        <is>
          <t>SUDESTE SP</t>
        </is>
      </c>
      <c r="F759" t="inlineStr">
        <is>
          <t>Cliente C - Misturador</t>
        </is>
      </c>
      <c r="G759" t="inlineStr">
        <is>
          <t>Misturadores</t>
        </is>
      </c>
      <c r="H759" s="10" t="n">
        <v>50</v>
      </c>
      <c r="I759" s="10">
        <f>IFERROR(T759*H759,0)</f>
        <v/>
      </c>
      <c r="J759" s="11" t="n">
        <v>46041</v>
      </c>
      <c r="K759" s="11" t="n"/>
      <c r="L759" t="inlineStr">
        <is>
          <t>Em transporte</t>
        </is>
      </c>
      <c r="M759">
        <f>IF(L759="","",IFERROR(VLOOKUP(L759,mapGrupoStatus,2,0),"Outros"))</f>
        <v/>
      </c>
      <c r="N759">
        <f>IF(O759="","",IF(O759&lt;=30,"0-30 dias",IF(O759&lt;=60,"31-60 dias",IF(O759&lt;=90,"61-90 dias","Mais de 90 dias"))))</f>
        <v/>
      </c>
      <c r="O759">
        <f>IF(OR(M759="Pendente",M759="Em andamento"),IF(J759="","",TODAY()-J759),"")</f>
        <v/>
      </c>
      <c r="P759" t="n">
        <v>10111</v>
      </c>
      <c r="Q759" t="inlineStr">
        <is>
          <t>Refrigel Manutenção (10111)</t>
        </is>
      </c>
      <c r="R759" t="inlineStr">
        <is>
          <t>PC-0045</t>
        </is>
      </c>
      <c r="S759" t="inlineStr">
        <is>
          <t>Sensor de nível modelo 01</t>
        </is>
      </c>
      <c r="T759" t="n">
        <v>2</v>
      </c>
      <c r="U759" t="n">
        <v>153</v>
      </c>
      <c r="V759">
        <f>IF(J759="","",MONTH(J759))</f>
        <v/>
      </c>
      <c r="W759">
        <f>IF(J759="","",YEAR(J759))</f>
        <v/>
      </c>
      <c r="X759" t="inlineStr">
        <is>
          <t>CargoMax</t>
        </is>
      </c>
      <c r="Y759">
        <f>IFERROR(INDEX(Rastreio!$H$2:$H$200,MATCH(X759&amp;"|"&amp;U759,Rastreio!$A$2:$A$200,0)),"")</f>
        <v/>
      </c>
    </row>
    <row r="760">
      <c r="A760">
        <f>IFERROR(INDEX(STAs!$G$2:$G$61,MATCH(P760,STAs!$F$2:$F$61,0))&amp;"","")</f>
        <v/>
      </c>
      <c r="B760" t="n">
        <v>20030687</v>
      </c>
      <c r="C760" t="inlineStr">
        <is>
          <t>Não</t>
        </is>
      </c>
      <c r="D760" t="inlineStr">
        <is>
          <t>BA</t>
        </is>
      </c>
      <c r="E760" t="inlineStr">
        <is>
          <t>NORDESTE</t>
        </is>
      </c>
      <c r="F760" t="inlineStr">
        <is>
          <t>Cliente C - Misturador</t>
        </is>
      </c>
      <c r="G760" t="inlineStr">
        <is>
          <t>Refrigeradores</t>
        </is>
      </c>
      <c r="H760" s="10" t="n">
        <v>325</v>
      </c>
      <c r="I760" s="10">
        <f>IFERROR(T760*H760,0)</f>
        <v/>
      </c>
      <c r="J760" s="11" t="n">
        <v>46041</v>
      </c>
      <c r="K760" s="11" t="n"/>
      <c r="L760" t="inlineStr">
        <is>
          <t>Em transporte</t>
        </is>
      </c>
      <c r="M760">
        <f>IF(L760="","",IFERROR(VLOOKUP(L760,mapGrupoStatus,2,0),"Outros"))</f>
        <v/>
      </c>
      <c r="N760">
        <f>IF(O760="","",IF(O760&lt;=30,"0-30 dias",IF(O760&lt;=60,"31-60 dias",IF(O760&lt;=90,"61-90 dias","Mais de 90 dias"))))</f>
        <v/>
      </c>
      <c r="O760">
        <f>IF(OR(M760="Pendente",M760="Em andamento"),IF(J760="","",TODAY()-J760),"")</f>
        <v/>
      </c>
      <c r="P760" t="n">
        <v>12194</v>
      </c>
      <c r="Q760" t="inlineStr">
        <is>
          <t>Polar &amp; Cia (12194)</t>
        </is>
      </c>
      <c r="R760" t="inlineStr">
        <is>
          <t>PC-0001</t>
        </is>
      </c>
      <c r="S760" t="inlineStr">
        <is>
          <t>Compressor modelo 01</t>
        </is>
      </c>
      <c r="T760" t="n">
        <v>2</v>
      </c>
      <c r="U760" t="n">
        <v>158</v>
      </c>
      <c r="V760">
        <f>IF(J760="","",MONTH(J760))</f>
        <v/>
      </c>
      <c r="W760">
        <f>IF(J760="","",YEAR(J760))</f>
        <v/>
      </c>
      <c r="X760" t="inlineStr">
        <is>
          <t>LogExpress</t>
        </is>
      </c>
      <c r="Y760">
        <f>IFERROR(INDEX(Rastreio!$H$2:$H$200,MATCH(X760&amp;"|"&amp;U760,Rastreio!$A$2:$A$200,0)),"")</f>
        <v/>
      </c>
    </row>
    <row r="761">
      <c r="A761">
        <f>IFERROR(INDEX(STAs!$G$2:$G$61,MATCH(P761,STAs!$F$2:$F$61,0))&amp;"","")</f>
        <v/>
      </c>
      <c r="B761" t="n">
        <v>20031530</v>
      </c>
      <c r="C761" t="inlineStr">
        <is>
          <t>Não</t>
        </is>
      </c>
      <c r="D761" t="inlineStr">
        <is>
          <t>MG</t>
        </is>
      </c>
      <c r="E761" t="inlineStr">
        <is>
          <t>SUDESTE MG</t>
        </is>
      </c>
      <c r="F761" t="inlineStr">
        <is>
          <t>Cliente C - Misturador</t>
        </is>
      </c>
      <c r="G761" t="inlineStr">
        <is>
          <t>Refrigeradores</t>
        </is>
      </c>
      <c r="H761" s="10" t="n">
        <v>190</v>
      </c>
      <c r="I761" s="10">
        <f>IFERROR(T761*H761,0)</f>
        <v/>
      </c>
      <c r="J761" s="11" t="n">
        <v>46041</v>
      </c>
      <c r="K761" s="11" t="n"/>
      <c r="L761" t="inlineStr">
        <is>
          <t>Aguardando Transporte</t>
        </is>
      </c>
      <c r="M761">
        <f>IF(L761="","",IFERROR(VLOOKUP(L761,mapGrupoStatus,2,0),"Outros"))</f>
        <v/>
      </c>
      <c r="N761">
        <f>IF(O761="","",IF(O761&lt;=30,"0-30 dias",IF(O761&lt;=60,"31-60 dias",IF(O761&lt;=90,"61-90 dias","Mais de 90 dias"))))</f>
        <v/>
      </c>
      <c r="O761">
        <f>IF(OR(M761="Pendente",M761="Em andamento"),IF(J761="","",TODAY()-J761),"")</f>
        <v/>
      </c>
      <c r="P761" t="n">
        <v>11494</v>
      </c>
      <c r="Q761" t="inlineStr">
        <is>
          <t>Clima Técnica (11494)</t>
        </is>
      </c>
      <c r="R761" t="inlineStr">
        <is>
          <t>PC-0014</t>
        </is>
      </c>
      <c r="S761" t="inlineStr">
        <is>
          <t>Placa eletrônica modelo 04</t>
        </is>
      </c>
      <c r="T761" t="n">
        <v>1</v>
      </c>
      <c r="U761" t="n">
        <v>155</v>
      </c>
      <c r="V761">
        <f>IF(J761="","",MONTH(J761))</f>
        <v/>
      </c>
      <c r="W761">
        <f>IF(J761="","",YEAR(J761))</f>
        <v/>
      </c>
      <c r="X761" t="inlineStr">
        <is>
          <t>TransNorte</t>
        </is>
      </c>
      <c r="Y761">
        <f>IFERROR(INDEX(Rastreio!$H$2:$H$200,MATCH(X761&amp;"|"&amp;U761,Rastreio!$A$2:$A$200,0)),"")</f>
        <v/>
      </c>
    </row>
    <row r="762">
      <c r="A762">
        <f>IFERROR(INDEX(STAs!$G$2:$G$61,MATCH(P762,STAs!$F$2:$F$61,0))&amp;"","")</f>
        <v/>
      </c>
      <c r="B762" t="n">
        <v>20032506</v>
      </c>
      <c r="C762" t="inlineStr">
        <is>
          <t>Não</t>
        </is>
      </c>
      <c r="D762" t="inlineStr">
        <is>
          <t>SP</t>
        </is>
      </c>
      <c r="E762" t="inlineStr">
        <is>
          <t>SUDESTE SP</t>
        </is>
      </c>
      <c r="F762" t="inlineStr">
        <is>
          <t>Cliente B - Chopeira</t>
        </is>
      </c>
      <c r="G762" t="inlineStr">
        <is>
          <t>Refrigeradores</t>
        </is>
      </c>
      <c r="H762" s="10" t="n">
        <v>35</v>
      </c>
      <c r="I762" s="10">
        <f>IFERROR(T762*H762,0)</f>
        <v/>
      </c>
      <c r="J762" s="11" t="n">
        <v>46041</v>
      </c>
      <c r="K762" s="11" t="n"/>
      <c r="L762" t="inlineStr">
        <is>
          <t>Em andamento</t>
        </is>
      </c>
      <c r="M762">
        <f>IF(L762="","",IFERROR(VLOOKUP(L762,mapGrupoStatus,2,0),"Outros"))</f>
        <v/>
      </c>
      <c r="N762">
        <f>IF(O762="","",IF(O762&lt;=30,"0-30 dias",IF(O762&lt;=60,"31-60 dias",IF(O762&lt;=90,"61-90 dias","Mais de 90 dias"))))</f>
        <v/>
      </c>
      <c r="O762">
        <f>IF(OR(M762="Pendente",M762="Em andamento"),IF(J762="","",TODAY()-J762),"")</f>
        <v/>
      </c>
      <c r="P762" t="n">
        <v>11710</v>
      </c>
      <c r="Q762" t="inlineStr">
        <is>
          <t>Brisa &amp; Cia (11710)</t>
        </is>
      </c>
      <c r="R762" t="inlineStr">
        <is>
          <t>PC-0016</t>
        </is>
      </c>
      <c r="S762" t="inlineStr">
        <is>
          <t>Filtro secador modelo 02</t>
        </is>
      </c>
      <c r="T762" t="n">
        <v>1</v>
      </c>
      <c r="U762" t="n">
        <v>156</v>
      </c>
      <c r="V762">
        <f>IF(J762="","",MONTH(J762))</f>
        <v/>
      </c>
      <c r="W762">
        <f>IF(J762="","",YEAR(J762))</f>
        <v/>
      </c>
      <c r="X762" t="inlineStr">
        <is>
          <t>CargoMax</t>
        </is>
      </c>
      <c r="Y762">
        <f>IFERROR(INDEX(Rastreio!$H$2:$H$200,MATCH(X762&amp;"|"&amp;U762,Rastreio!$A$2:$A$200,0)),"")</f>
        <v/>
      </c>
    </row>
    <row r="763">
      <c r="A763">
        <f>IFERROR(INDEX(STAs!$G$2:$G$61,MATCH(P763,STAs!$F$2:$F$61,0))&amp;"","")</f>
        <v/>
      </c>
      <c r="B763" t="n">
        <v>20040117</v>
      </c>
      <c r="C763" t="inlineStr">
        <is>
          <t>Não</t>
        </is>
      </c>
      <c r="D763" t="inlineStr">
        <is>
          <t>RO</t>
        </is>
      </c>
      <c r="E763" t="inlineStr">
        <is>
          <t>NORTE</t>
        </is>
      </c>
      <c r="F763" t="inlineStr">
        <is>
          <t>Cliente A - Refrigerador</t>
        </is>
      </c>
      <c r="G763" t="inlineStr">
        <is>
          <t>Misturadores</t>
        </is>
      </c>
      <c r="H763" s="10" t="n">
        <v>60</v>
      </c>
      <c r="I763" s="10">
        <f>IFERROR(T763*H763,0)</f>
        <v/>
      </c>
      <c r="J763" s="11" t="n">
        <v>46041</v>
      </c>
      <c r="K763" s="11" t="n">
        <v>46083</v>
      </c>
      <c r="L763" t="inlineStr">
        <is>
          <t>Ok. Devolvida</t>
        </is>
      </c>
      <c r="M763">
        <f>IF(L763="","",IFERROR(VLOOKUP(L763,mapGrupoStatus,2,0),"Outros"))</f>
        <v/>
      </c>
      <c r="N763">
        <f>IF(O763="","",IF(O763&lt;=30,"0-30 dias",IF(O763&lt;=60,"31-60 dias",IF(O763&lt;=90,"61-90 dias","Mais de 90 dias"))))</f>
        <v/>
      </c>
      <c r="O763">
        <f>IF(OR(M763="Pendente",M763="Em andamento"),IF(J763="","",TODAY()-J763),"")</f>
        <v/>
      </c>
      <c r="P763" t="n">
        <v>12019</v>
      </c>
      <c r="Q763" t="inlineStr">
        <is>
          <t>Ártico Serviços (12019)</t>
        </is>
      </c>
      <c r="R763" t="inlineStr">
        <is>
          <t>PC-0048</t>
        </is>
      </c>
      <c r="S763" t="inlineStr">
        <is>
          <t>Sensor de nível modelo 04</t>
        </is>
      </c>
      <c r="T763" t="n">
        <v>1</v>
      </c>
      <c r="U763" t="n">
        <v>170</v>
      </c>
      <c r="V763">
        <f>IF(J763="","",MONTH(J763))</f>
        <v/>
      </c>
      <c r="W763">
        <f>IF(J763="","",YEAR(J763))</f>
        <v/>
      </c>
      <c r="X763" t="inlineStr">
        <is>
          <t>CargoMax</t>
        </is>
      </c>
      <c r="Y763">
        <f>IFERROR(INDEX(Rastreio!$H$2:$H$200,MATCH(X763&amp;"|"&amp;U763,Rastreio!$A$2:$A$200,0)),"")</f>
        <v/>
      </c>
    </row>
    <row r="764">
      <c r="A764">
        <f>IFERROR(INDEX(STAs!$G$2:$G$61,MATCH(P764,STAs!$F$2:$F$61,0))&amp;"","")</f>
        <v/>
      </c>
      <c r="B764" t="n">
        <v>20000396</v>
      </c>
      <c r="C764" t="inlineStr">
        <is>
          <t>Sim</t>
        </is>
      </c>
      <c r="D764" t="inlineStr">
        <is>
          <t>CE</t>
        </is>
      </c>
      <c r="E764" t="inlineStr">
        <is>
          <t>NORDESTE</t>
        </is>
      </c>
      <c r="F764" t="inlineStr">
        <is>
          <t>Cliente A - Refrigerador</t>
        </is>
      </c>
      <c r="G764" t="inlineStr">
        <is>
          <t>Misturadores</t>
        </is>
      </c>
      <c r="H764" s="10" t="n">
        <v>60</v>
      </c>
      <c r="I764" s="10">
        <f>IFERROR(T764*H764,0)</f>
        <v/>
      </c>
      <c r="J764" s="11" t="n">
        <v>46042</v>
      </c>
      <c r="K764" s="11" t="n"/>
      <c r="L764" t="inlineStr">
        <is>
          <t>Aguardando Transporte</t>
        </is>
      </c>
      <c r="M764">
        <f>IF(L764="","",IFERROR(VLOOKUP(L764,mapGrupoStatus,2,0),"Outros"))</f>
        <v/>
      </c>
      <c r="N764">
        <f>IF(O764="","",IF(O764&lt;=30,"0-30 dias",IF(O764&lt;=60,"31-60 dias",IF(O764&lt;=90,"61-90 dias","Mais de 90 dias"))))</f>
        <v/>
      </c>
      <c r="O764">
        <f>IF(OR(M764="Pendente",M764="Em andamento"),IF(J764="","",TODAY()-J764),"")</f>
        <v/>
      </c>
      <c r="P764" t="n">
        <v>10615</v>
      </c>
      <c r="Q764" t="inlineStr">
        <is>
          <t>Brisa Técnica (10615)</t>
        </is>
      </c>
      <c r="R764" t="inlineStr">
        <is>
          <t>PC-0048</t>
        </is>
      </c>
      <c r="S764" t="inlineStr">
        <is>
          <t>Sensor de nível modelo 04</t>
        </is>
      </c>
      <c r="T764" t="n">
        <v>2</v>
      </c>
      <c r="U764" t="n">
        <v>100</v>
      </c>
      <c r="V764">
        <f>IF(J764="","",MONTH(J764))</f>
        <v/>
      </c>
      <c r="W764">
        <f>IF(J764="","",YEAR(J764))</f>
        <v/>
      </c>
      <c r="X764" t="inlineStr">
        <is>
          <t>CargoMax</t>
        </is>
      </c>
      <c r="Y764">
        <f>IFERROR(INDEX(Rastreio!$H$2:$H$200,MATCH(X764&amp;"|"&amp;U764,Rastreio!$A$2:$A$200,0)),"")</f>
        <v/>
      </c>
    </row>
    <row r="765">
      <c r="A765">
        <f>IFERROR(INDEX(STAs!$G$2:$G$61,MATCH(P765,STAs!$F$2:$F$61,0))&amp;"","")</f>
        <v/>
      </c>
      <c r="B765" t="n">
        <v>20000898</v>
      </c>
      <c r="C765" t="inlineStr">
        <is>
          <t>Sim</t>
        </is>
      </c>
      <c r="D765" t="inlineStr">
        <is>
          <t>PR</t>
        </is>
      </c>
      <c r="E765" t="inlineStr">
        <is>
          <t>SUL</t>
        </is>
      </c>
      <c r="F765" t="inlineStr">
        <is>
          <t>Cliente B - Chopeira</t>
        </is>
      </c>
      <c r="G765" t="inlineStr">
        <is>
          <t>Refrigeradores</t>
        </is>
      </c>
      <c r="H765" s="10" t="n">
        <v>70</v>
      </c>
      <c r="I765" s="10">
        <f>IFERROR(T765*H765,0)</f>
        <v/>
      </c>
      <c r="J765" s="11" t="n">
        <v>46042</v>
      </c>
      <c r="K765" s="11" t="n"/>
      <c r="L765" t="inlineStr">
        <is>
          <t>Aguardando devolução</t>
        </is>
      </c>
      <c r="M765">
        <f>IF(L765="","",IFERROR(VLOOKUP(L765,mapGrupoStatus,2,0),"Outros"))</f>
        <v/>
      </c>
      <c r="N765">
        <f>IF(O765="","",IF(O765&lt;=30,"0-30 dias",IF(O765&lt;=60,"31-60 dias",IF(O765&lt;=90,"61-90 dias","Mais de 90 dias"))))</f>
        <v/>
      </c>
      <c r="O765">
        <f>IF(OR(M765="Pendente",M765="Em andamento"),IF(J765="","",TODAY()-J765),"")</f>
        <v/>
      </c>
      <c r="P765" t="n">
        <v>12724</v>
      </c>
      <c r="Q765" t="inlineStr">
        <is>
          <t>Cool Service &amp; Cia (12724)</t>
        </is>
      </c>
      <c r="R765" t="inlineStr">
        <is>
          <t>PC-0009</t>
        </is>
      </c>
      <c r="S765" t="inlineStr">
        <is>
          <t>Ventilador modelo 03</t>
        </is>
      </c>
      <c r="T765" t="n">
        <v>1</v>
      </c>
      <c r="U765" t="inlineStr"/>
      <c r="V765">
        <f>IF(J765="","",MONTH(J765))</f>
        <v/>
      </c>
      <c r="W765">
        <f>IF(J765="","",YEAR(J765))</f>
        <v/>
      </c>
      <c r="X765" t="inlineStr"/>
      <c r="Y765">
        <f>IFERROR(INDEX(Rastreio!$H$2:$H$200,MATCH(X765&amp;"|"&amp;U765,Rastreio!$A$2:$A$200,0)),"")</f>
        <v/>
      </c>
    </row>
    <row r="766">
      <c r="A766">
        <f>IFERROR(INDEX(STAs!$G$2:$G$61,MATCH(P766,STAs!$F$2:$F$61,0))&amp;"","")</f>
        <v/>
      </c>
      <c r="B766" t="n">
        <v>20006191</v>
      </c>
      <c r="C766" t="inlineStr">
        <is>
          <t>Não</t>
        </is>
      </c>
      <c r="D766" t="inlineStr">
        <is>
          <t>SP</t>
        </is>
      </c>
      <c r="E766" t="inlineStr">
        <is>
          <t>SUDESTE SP</t>
        </is>
      </c>
      <c r="F766" t="inlineStr">
        <is>
          <t>Cliente A - Refrigerador</t>
        </is>
      </c>
      <c r="G766" t="inlineStr">
        <is>
          <t>Chopeiras</t>
        </is>
      </c>
      <c r="H766" s="10" t="n">
        <v>100</v>
      </c>
      <c r="I766" s="10">
        <f>IFERROR(T766*H766,0)</f>
        <v/>
      </c>
      <c r="J766" s="11" t="n">
        <v>46042</v>
      </c>
      <c r="K766" s="11" t="n"/>
      <c r="L766" t="inlineStr">
        <is>
          <t>Aguardando devolução</t>
        </is>
      </c>
      <c r="M766">
        <f>IF(L766="","",IFERROR(VLOOKUP(L766,mapGrupoStatus,2,0),"Outros"))</f>
        <v/>
      </c>
      <c r="N766">
        <f>IF(O766="","",IF(O766&lt;=30,"0-30 dias",IF(O766&lt;=60,"31-60 dias",IF(O766&lt;=90,"61-90 dias","Mais de 90 dias"))))</f>
        <v/>
      </c>
      <c r="O766">
        <f>IF(OR(M766="Pendente",M766="Em andamento"),IF(J766="","",TODAY()-J766),"")</f>
        <v/>
      </c>
      <c r="P766" t="n">
        <v>10413</v>
      </c>
      <c r="Q766" t="inlineStr">
        <is>
          <t>Polar Manutenção (10413)</t>
        </is>
      </c>
      <c r="R766" t="inlineStr">
        <is>
          <t>PC-0027</t>
        </is>
      </c>
      <c r="S766" t="inlineStr">
        <is>
          <t>Torneira de chopp modelo 02</t>
        </is>
      </c>
      <c r="T766" t="n">
        <v>1</v>
      </c>
      <c r="U766" t="inlineStr"/>
      <c r="V766">
        <f>IF(J766="","",MONTH(J766))</f>
        <v/>
      </c>
      <c r="W766">
        <f>IF(J766="","",YEAR(J766))</f>
        <v/>
      </c>
      <c r="X766" t="inlineStr"/>
      <c r="Y766">
        <f>IFERROR(INDEX(Rastreio!$H$2:$H$200,MATCH(X766&amp;"|"&amp;U766,Rastreio!$A$2:$A$200,0)),"")</f>
        <v/>
      </c>
    </row>
    <row r="767">
      <c r="A767">
        <f>IFERROR(INDEX(STAs!$G$2:$G$61,MATCH(P767,STAs!$F$2:$F$61,0))&amp;"","")</f>
        <v/>
      </c>
      <c r="B767" t="n">
        <v>20008321</v>
      </c>
      <c r="C767" t="inlineStr">
        <is>
          <t>Não</t>
        </is>
      </c>
      <c r="D767" t="inlineStr">
        <is>
          <t>ES</t>
        </is>
      </c>
      <c r="E767" t="inlineStr">
        <is>
          <t>SUDESTE RJ e ES</t>
        </is>
      </c>
      <c r="F767" t="inlineStr">
        <is>
          <t>Cliente A - Refrigerador</t>
        </is>
      </c>
      <c r="G767" t="inlineStr">
        <is>
          <t>Refrigeradores</t>
        </is>
      </c>
      <c r="H767" s="10" t="n">
        <v>45</v>
      </c>
      <c r="I767" s="10">
        <f>IFERROR(T767*H767,0)</f>
        <v/>
      </c>
      <c r="J767" s="11" t="n">
        <v>46042</v>
      </c>
      <c r="K767" s="11" t="n">
        <v>46092</v>
      </c>
      <c r="L767" t="inlineStr">
        <is>
          <t>Ok. Devolvida</t>
        </is>
      </c>
      <c r="M767">
        <f>IF(L767="","",IFERROR(VLOOKUP(L767,mapGrupoStatus,2,0),"Outros"))</f>
        <v/>
      </c>
      <c r="N767">
        <f>IF(O767="","",IF(O767&lt;=30,"0-30 dias",IF(O767&lt;=60,"31-60 dias",IF(O767&lt;=90,"61-90 dias","Mais de 90 dias"))))</f>
        <v/>
      </c>
      <c r="O767">
        <f>IF(OR(M767="Pendente",M767="Em andamento"),IF(J767="","",TODAY()-J767),"")</f>
        <v/>
      </c>
      <c r="P767" t="n">
        <v>11099</v>
      </c>
      <c r="Q767" t="inlineStr">
        <is>
          <t>Refrigel Serviços (11099)</t>
        </is>
      </c>
      <c r="R767" t="inlineStr">
        <is>
          <t>PC-0018</t>
        </is>
      </c>
      <c r="S767" t="inlineStr">
        <is>
          <t>Gaxeta da porta modelo 01</t>
        </is>
      </c>
      <c r="T767" t="n">
        <v>1</v>
      </c>
      <c r="U767" t="n">
        <v>117</v>
      </c>
      <c r="V767">
        <f>IF(J767="","",MONTH(J767))</f>
        <v/>
      </c>
      <c r="W767">
        <f>IF(J767="","",YEAR(J767))</f>
        <v/>
      </c>
      <c r="X767" t="inlineStr">
        <is>
          <t>EntregaJá</t>
        </is>
      </c>
      <c r="Y767">
        <f>IFERROR(INDEX(Rastreio!$H$2:$H$200,MATCH(X767&amp;"|"&amp;U767,Rastreio!$A$2:$A$200,0)),"")</f>
        <v/>
      </c>
    </row>
    <row r="768">
      <c r="A768">
        <f>IFERROR(INDEX(STAs!$G$2:$G$61,MATCH(P768,STAs!$F$2:$F$61,0))&amp;"","")</f>
        <v/>
      </c>
      <c r="B768" t="n">
        <v>20015082</v>
      </c>
      <c r="C768" t="inlineStr">
        <is>
          <t>Não</t>
        </is>
      </c>
      <c r="D768" t="inlineStr">
        <is>
          <t>RO</t>
        </is>
      </c>
      <c r="E768" t="inlineStr">
        <is>
          <t>NORTE</t>
        </is>
      </c>
      <c r="F768" t="inlineStr">
        <is>
          <t>Cliente C - Misturador</t>
        </is>
      </c>
      <c r="G768" t="inlineStr">
        <is>
          <t>Refrigeradores</t>
        </is>
      </c>
      <c r="H768" s="10" t="n">
        <v>40</v>
      </c>
      <c r="I768" s="10">
        <f>IFERROR(T768*H768,0)</f>
        <v/>
      </c>
      <c r="J768" s="11" t="n">
        <v>46042</v>
      </c>
      <c r="K768" s="11" t="n"/>
      <c r="L768" t="inlineStr">
        <is>
          <t>Aguardando devolução</t>
        </is>
      </c>
      <c r="M768">
        <f>IF(L768="","",IFERROR(VLOOKUP(L768,mapGrupoStatus,2,0),"Outros"))</f>
        <v/>
      </c>
      <c r="N768">
        <f>IF(O768="","",IF(O768&lt;=30,"0-30 dias",IF(O768&lt;=60,"31-60 dias",IF(O768&lt;=90,"61-90 dias","Mais de 90 dias"))))</f>
        <v/>
      </c>
      <c r="O768">
        <f>IF(OR(M768="Pendente",M768="Em andamento"),IF(J768="","",TODAY()-J768),"")</f>
        <v/>
      </c>
      <c r="P768" t="n">
        <v>12019</v>
      </c>
      <c r="Q768" t="inlineStr">
        <is>
          <t>Ártico Serviços (12019)</t>
        </is>
      </c>
      <c r="R768" t="inlineStr">
        <is>
          <t>PC-0005</t>
        </is>
      </c>
      <c r="S768" t="inlineStr">
        <is>
          <t>Termostato modelo 02</t>
        </is>
      </c>
      <c r="T768" t="n">
        <v>1</v>
      </c>
      <c r="U768" t="inlineStr"/>
      <c r="V768">
        <f>IF(J768="","",MONTH(J768))</f>
        <v/>
      </c>
      <c r="W768">
        <f>IF(J768="","",YEAR(J768))</f>
        <v/>
      </c>
      <c r="X768" t="inlineStr"/>
      <c r="Y768">
        <f>IFERROR(INDEX(Rastreio!$H$2:$H$200,MATCH(X768&amp;"|"&amp;U768,Rastreio!$A$2:$A$200,0)),"")</f>
        <v/>
      </c>
    </row>
    <row r="769">
      <c r="A769">
        <f>IFERROR(INDEX(STAs!$G$2:$G$61,MATCH(P769,STAs!$F$2:$F$61,0))&amp;"","")</f>
        <v/>
      </c>
      <c r="B769" t="n">
        <v>20021739</v>
      </c>
      <c r="C769" t="inlineStr">
        <is>
          <t>Não</t>
        </is>
      </c>
      <c r="D769" t="inlineStr">
        <is>
          <t>MG</t>
        </is>
      </c>
      <c r="E769" t="inlineStr">
        <is>
          <t>SUDESTE MG</t>
        </is>
      </c>
      <c r="F769" t="inlineStr">
        <is>
          <t>Cliente B - Chopeira</t>
        </is>
      </c>
      <c r="G769" t="inlineStr">
        <is>
          <t>Misturadores</t>
        </is>
      </c>
      <c r="H769" s="10" t="n">
        <v>60</v>
      </c>
      <c r="I769" s="10">
        <f>IFERROR(T769*H769,0)</f>
        <v/>
      </c>
      <c r="J769" s="11" t="n">
        <v>46042</v>
      </c>
      <c r="K769" s="11" t="n">
        <v>46056</v>
      </c>
      <c r="L769" t="inlineStr">
        <is>
          <t>Ok. Devolvida</t>
        </is>
      </c>
      <c r="M769">
        <f>IF(L769="","",IFERROR(VLOOKUP(L769,mapGrupoStatus,2,0),"Outros"))</f>
        <v/>
      </c>
      <c r="N769">
        <f>IF(O769="","",IF(O769&lt;=30,"0-30 dias",IF(O769&lt;=60,"31-60 dias",IF(O769&lt;=90,"61-90 dias","Mais de 90 dias"))))</f>
        <v/>
      </c>
      <c r="O769">
        <f>IF(OR(M769="Pendente",M769="Em andamento"),IF(J769="","",TODAY()-J769),"")</f>
        <v/>
      </c>
      <c r="P769" t="n">
        <v>11619</v>
      </c>
      <c r="Q769" t="inlineStr">
        <is>
          <t>Refrigeração Ltda (11619)</t>
        </is>
      </c>
      <c r="R769" t="inlineStr">
        <is>
          <t>PC-0046</t>
        </is>
      </c>
      <c r="S769" t="inlineStr">
        <is>
          <t>Sensor de nível modelo 02</t>
        </is>
      </c>
      <c r="T769" t="n">
        <v>1</v>
      </c>
      <c r="U769" t="n">
        <v>135</v>
      </c>
      <c r="V769">
        <f>IF(J769="","",MONTH(J769))</f>
        <v/>
      </c>
      <c r="W769">
        <f>IF(J769="","",YEAR(J769))</f>
        <v/>
      </c>
      <c r="X769" t="inlineStr">
        <is>
          <t>RotaSul</t>
        </is>
      </c>
      <c r="Y769">
        <f>IFERROR(INDEX(Rastreio!$H$2:$H$200,MATCH(X769&amp;"|"&amp;U769,Rastreio!$A$2:$A$200,0)),"")</f>
        <v/>
      </c>
    </row>
    <row r="770">
      <c r="A770">
        <f>IFERROR(INDEX(STAs!$G$2:$G$61,MATCH(P770,STAs!$F$2:$F$61,0))&amp;"","")</f>
        <v/>
      </c>
      <c r="B770" t="n">
        <v>20026966</v>
      </c>
      <c r="C770" t="inlineStr">
        <is>
          <t>Não</t>
        </is>
      </c>
      <c r="D770" t="inlineStr">
        <is>
          <t>PE</t>
        </is>
      </c>
      <c r="E770" t="inlineStr">
        <is>
          <t>NORDESTE</t>
        </is>
      </c>
      <c r="F770" t="inlineStr">
        <is>
          <t>Cliente C - Misturador</t>
        </is>
      </c>
      <c r="G770" t="inlineStr">
        <is>
          <t>Refrigeradores</t>
        </is>
      </c>
      <c r="H770" s="10" t="n">
        <v>175</v>
      </c>
      <c r="I770" s="10">
        <f>IFERROR(T770*H770,0)</f>
        <v/>
      </c>
      <c r="J770" s="11" t="n">
        <v>46042</v>
      </c>
      <c r="K770" s="11" t="n">
        <v>46078</v>
      </c>
      <c r="L770" t="inlineStr">
        <is>
          <t>Ok. Devolvida</t>
        </is>
      </c>
      <c r="M770">
        <f>IF(L770="","",IFERROR(VLOOKUP(L770,mapGrupoStatus,2,0),"Outros"))</f>
        <v/>
      </c>
      <c r="N770">
        <f>IF(O770="","",IF(O770&lt;=30,"0-30 dias",IF(O770&lt;=60,"31-60 dias",IF(O770&lt;=90,"61-90 dias","Mais de 90 dias"))))</f>
        <v/>
      </c>
      <c r="O770">
        <f>IF(OR(M770="Pendente",M770="Em andamento"),IF(J770="","",TODAY()-J770),"")</f>
        <v/>
      </c>
      <c r="P770" t="n">
        <v>11352</v>
      </c>
      <c r="Q770" t="inlineStr">
        <is>
          <t>Frio Express (11352)</t>
        </is>
      </c>
      <c r="R770" t="inlineStr">
        <is>
          <t>PC-0012</t>
        </is>
      </c>
      <c r="S770" t="inlineStr">
        <is>
          <t>Placa eletrônica modelo 02</t>
        </is>
      </c>
      <c r="T770" t="n">
        <v>1</v>
      </c>
      <c r="U770" t="n">
        <v>144</v>
      </c>
      <c r="V770">
        <f>IF(J770="","",MONTH(J770))</f>
        <v/>
      </c>
      <c r="W770">
        <f>IF(J770="","",YEAR(J770))</f>
        <v/>
      </c>
      <c r="X770" t="inlineStr">
        <is>
          <t>CargoMax</t>
        </is>
      </c>
      <c r="Y770">
        <f>IFERROR(INDEX(Rastreio!$H$2:$H$200,MATCH(X770&amp;"|"&amp;U770,Rastreio!$A$2:$A$200,0)),"")</f>
        <v/>
      </c>
    </row>
    <row r="771">
      <c r="A771">
        <f>IFERROR(INDEX(STAs!$G$2:$G$61,MATCH(P771,STAs!$F$2:$F$61,0))&amp;"","")</f>
        <v/>
      </c>
      <c r="B771" t="n">
        <v>20027325</v>
      </c>
      <c r="C771" t="inlineStr">
        <is>
          <t>Não</t>
        </is>
      </c>
      <c r="D771" t="inlineStr">
        <is>
          <t>PE</t>
        </is>
      </c>
      <c r="E771" t="inlineStr">
        <is>
          <t>NORDESTE</t>
        </is>
      </c>
      <c r="F771" t="inlineStr">
        <is>
          <t>Cliente B - Chopeira</t>
        </is>
      </c>
      <c r="G771" t="inlineStr">
        <is>
          <t>Misturadores</t>
        </is>
      </c>
      <c r="H771" s="10" t="n">
        <v>265</v>
      </c>
      <c r="I771" s="10">
        <f>IFERROR(T771*H771,0)</f>
        <v/>
      </c>
      <c r="J771" s="11" t="n">
        <v>46042</v>
      </c>
      <c r="K771" s="11" t="n">
        <v>46049</v>
      </c>
      <c r="L771" t="inlineStr">
        <is>
          <t>Ok. Devolvida</t>
        </is>
      </c>
      <c r="M771">
        <f>IF(L771="","",IFERROR(VLOOKUP(L771,mapGrupoStatus,2,0),"Outros"))</f>
        <v/>
      </c>
      <c r="N771">
        <f>IF(O771="","",IF(O771&lt;=30,"0-30 dias",IF(O771&lt;=60,"31-60 dias",IF(O771&lt;=90,"61-90 dias","Mais de 90 dias"))))</f>
        <v/>
      </c>
      <c r="O771">
        <f>IF(OR(M771="Pendente",M771="Em andamento"),IF(J771="","",TODAY()-J771),"")</f>
        <v/>
      </c>
      <c r="P771" t="n">
        <v>11352</v>
      </c>
      <c r="Q771" t="inlineStr">
        <is>
          <t>Frio Express (11352)</t>
        </is>
      </c>
      <c r="R771" t="inlineStr">
        <is>
          <t>PC-0038</t>
        </is>
      </c>
      <c r="S771" t="inlineStr">
        <is>
          <t>Bomba de recirculação modelo 02</t>
        </is>
      </c>
      <c r="T771" t="n">
        <v>2</v>
      </c>
      <c r="U771" t="n">
        <v>146</v>
      </c>
      <c r="V771">
        <f>IF(J771="","",MONTH(J771))</f>
        <v/>
      </c>
      <c r="W771">
        <f>IF(J771="","",YEAR(J771))</f>
        <v/>
      </c>
      <c r="X771" t="inlineStr">
        <is>
          <t>CargoMax</t>
        </is>
      </c>
      <c r="Y771">
        <f>IFERROR(INDEX(Rastreio!$H$2:$H$200,MATCH(X771&amp;"|"&amp;U771,Rastreio!$A$2:$A$200,0)),"")</f>
        <v/>
      </c>
    </row>
    <row r="772">
      <c r="A772">
        <f>IFERROR(INDEX(STAs!$G$2:$G$61,MATCH(P772,STAs!$F$2:$F$61,0))&amp;"","")</f>
        <v/>
      </c>
      <c r="B772" t="n">
        <v>20028781</v>
      </c>
      <c r="C772" t="inlineStr">
        <is>
          <t>Não</t>
        </is>
      </c>
      <c r="D772" t="inlineStr">
        <is>
          <t>RO</t>
        </is>
      </c>
      <c r="E772" t="inlineStr">
        <is>
          <t>NORTE</t>
        </is>
      </c>
      <c r="F772" t="inlineStr">
        <is>
          <t>Cliente A - Refrigerador</t>
        </is>
      </c>
      <c r="G772" t="inlineStr">
        <is>
          <t>Misturadores</t>
        </is>
      </c>
      <c r="H772" s="10" t="n">
        <v>265</v>
      </c>
      <c r="I772" s="10">
        <f>IFERROR(T772*H772,0)</f>
        <v/>
      </c>
      <c r="J772" s="11" t="n">
        <v>46042</v>
      </c>
      <c r="K772" s="11" t="n"/>
      <c r="L772" t="inlineStr">
        <is>
          <t>NF Vencida</t>
        </is>
      </c>
      <c r="M772">
        <f>IF(L772="","",IFERROR(VLOOKUP(L772,mapGrupoStatus,2,0),"Outros"))</f>
        <v/>
      </c>
      <c r="N772">
        <f>IF(O772="","",IF(O772&lt;=30,"0-30 dias",IF(O772&lt;=60,"31-60 dias",IF(O772&lt;=90,"61-90 dias","Mais de 90 dias"))))</f>
        <v/>
      </c>
      <c r="O772">
        <f>IF(OR(M772="Pendente",M772="Em andamento"),IF(J772="","",TODAY()-J772),"")</f>
        <v/>
      </c>
      <c r="P772" t="n">
        <v>10172</v>
      </c>
      <c r="Q772" t="inlineStr">
        <is>
          <t>Frigo Serviços (10172)</t>
        </is>
      </c>
      <c r="R772" t="inlineStr">
        <is>
          <t>PC-0038</t>
        </is>
      </c>
      <c r="S772" t="inlineStr">
        <is>
          <t>Bomba de recirculação modelo 02</t>
        </is>
      </c>
      <c r="T772" t="n">
        <v>1</v>
      </c>
      <c r="U772" t="inlineStr"/>
      <c r="V772">
        <f>IF(J772="","",MONTH(J772))</f>
        <v/>
      </c>
      <c r="W772">
        <f>IF(J772="","",YEAR(J772))</f>
        <v/>
      </c>
      <c r="X772" t="inlineStr"/>
      <c r="Y772">
        <f>IFERROR(INDEX(Rastreio!$H$2:$H$200,MATCH(X772&amp;"|"&amp;U772,Rastreio!$A$2:$A$200,0)),"")</f>
        <v/>
      </c>
    </row>
    <row r="773">
      <c r="A773">
        <f>IFERROR(INDEX(STAs!$G$2:$G$61,MATCH(P773,STAs!$F$2:$F$61,0))&amp;"","")</f>
        <v/>
      </c>
      <c r="B773" t="n">
        <v>20033041</v>
      </c>
      <c r="C773" t="inlineStr">
        <is>
          <t>Não</t>
        </is>
      </c>
      <c r="D773" t="inlineStr">
        <is>
          <t>PI</t>
        </is>
      </c>
      <c r="E773" t="inlineStr">
        <is>
          <t>NORDESTE</t>
        </is>
      </c>
      <c r="F773" t="inlineStr">
        <is>
          <t>Cliente A - Refrigerador</t>
        </is>
      </c>
      <c r="G773" t="inlineStr">
        <is>
          <t>Refrigeradores</t>
        </is>
      </c>
      <c r="H773" s="10" t="n">
        <v>40</v>
      </c>
      <c r="I773" s="10">
        <f>IFERROR(T773*H773,0)</f>
        <v/>
      </c>
      <c r="J773" s="11" t="n">
        <v>46042</v>
      </c>
      <c r="K773" s="11" t="n">
        <v>46094</v>
      </c>
      <c r="L773" t="inlineStr">
        <is>
          <t>Ok. Devolvida</t>
        </is>
      </c>
      <c r="M773">
        <f>IF(L773="","",IFERROR(VLOOKUP(L773,mapGrupoStatus,2,0),"Outros"))</f>
        <v/>
      </c>
      <c r="N773">
        <f>IF(O773="","",IF(O773&lt;=30,"0-30 dias",IF(O773&lt;=60,"31-60 dias",IF(O773&lt;=90,"61-90 dias","Mais de 90 dias"))))</f>
        <v/>
      </c>
      <c r="O773">
        <f>IF(OR(M773="Pendente",M773="Em andamento"),IF(J773="","",TODAY()-J773),"")</f>
        <v/>
      </c>
      <c r="P773" t="n">
        <v>10562</v>
      </c>
      <c r="Q773" t="inlineStr">
        <is>
          <t>Clima &amp; Cia (10562)</t>
        </is>
      </c>
      <c r="R773" t="inlineStr">
        <is>
          <t>PC-0005</t>
        </is>
      </c>
      <c r="S773" t="inlineStr">
        <is>
          <t>Termostato modelo 02</t>
        </is>
      </c>
      <c r="T773" t="n">
        <v>1</v>
      </c>
      <c r="U773" t="n">
        <v>158</v>
      </c>
      <c r="V773">
        <f>IF(J773="","",MONTH(J773))</f>
        <v/>
      </c>
      <c r="W773">
        <f>IF(J773="","",YEAR(J773))</f>
        <v/>
      </c>
      <c r="X773" t="inlineStr">
        <is>
          <t>TransNorte</t>
        </is>
      </c>
      <c r="Y773">
        <f>IFERROR(INDEX(Rastreio!$H$2:$H$200,MATCH(X773&amp;"|"&amp;U773,Rastreio!$A$2:$A$200,0)),"")</f>
        <v/>
      </c>
    </row>
    <row r="774">
      <c r="A774">
        <f>IFERROR(INDEX(STAs!$G$2:$G$61,MATCH(P774,STAs!$F$2:$F$61,0))&amp;"","")</f>
        <v/>
      </c>
      <c r="B774" t="n">
        <v>20009585</v>
      </c>
      <c r="C774" t="inlineStr">
        <is>
          <t>Não</t>
        </is>
      </c>
      <c r="D774" t="inlineStr">
        <is>
          <t>GO</t>
        </is>
      </c>
      <c r="E774" t="inlineStr">
        <is>
          <t>CENTRO OESTE</t>
        </is>
      </c>
      <c r="F774" t="inlineStr">
        <is>
          <t>Cliente B - Chopeira</t>
        </is>
      </c>
      <c r="G774" t="inlineStr">
        <is>
          <t>Refrigeradores</t>
        </is>
      </c>
      <c r="H774" s="10" t="n">
        <v>330</v>
      </c>
      <c r="I774" s="10">
        <f>IFERROR(T774*H774,0)</f>
        <v/>
      </c>
      <c r="J774" s="11" t="n">
        <v>46043</v>
      </c>
      <c r="K774" s="11" t="n"/>
      <c r="L774" t="inlineStr">
        <is>
          <t>Em transporte</t>
        </is>
      </c>
      <c r="M774">
        <f>IF(L774="","",IFERROR(VLOOKUP(L774,mapGrupoStatus,2,0),"Outros"))</f>
        <v/>
      </c>
      <c r="N774">
        <f>IF(O774="","",IF(O774&lt;=30,"0-30 dias",IF(O774&lt;=60,"31-60 dias",IF(O774&lt;=90,"61-90 dias","Mais de 90 dias"))))</f>
        <v/>
      </c>
      <c r="O774">
        <f>IF(OR(M774="Pendente",M774="Em andamento"),IF(J774="","",TODAY()-J774),"")</f>
        <v/>
      </c>
      <c r="P774" t="n">
        <v>11293</v>
      </c>
      <c r="Q774" t="inlineStr">
        <is>
          <t>Assistência Técnica Ltda (11293)</t>
        </is>
      </c>
      <c r="R774" t="inlineStr">
        <is>
          <t>PC-0003</t>
        </is>
      </c>
      <c r="S774" t="inlineStr">
        <is>
          <t>Compressor modelo 03</t>
        </is>
      </c>
      <c r="T774" t="n">
        <v>1</v>
      </c>
      <c r="U774" t="n">
        <v>117</v>
      </c>
      <c r="V774">
        <f>IF(J774="","",MONTH(J774))</f>
        <v/>
      </c>
      <c r="W774">
        <f>IF(J774="","",YEAR(J774))</f>
        <v/>
      </c>
      <c r="X774" t="inlineStr">
        <is>
          <t>TransNorte</t>
        </is>
      </c>
      <c r="Y774">
        <f>IFERROR(INDEX(Rastreio!$H$2:$H$200,MATCH(X774&amp;"|"&amp;U774,Rastreio!$A$2:$A$200,0)),"")</f>
        <v/>
      </c>
    </row>
    <row r="775">
      <c r="A775">
        <f>IFERROR(INDEX(STAs!$G$2:$G$61,MATCH(P775,STAs!$F$2:$F$61,0))&amp;"","")</f>
        <v/>
      </c>
      <c r="B775" t="n">
        <v>20017120</v>
      </c>
      <c r="C775" t="inlineStr">
        <is>
          <t>Não</t>
        </is>
      </c>
      <c r="D775" t="inlineStr">
        <is>
          <t>ES</t>
        </is>
      </c>
      <c r="E775" t="inlineStr">
        <is>
          <t>SUDESTE RJ e ES</t>
        </is>
      </c>
      <c r="F775" t="inlineStr">
        <is>
          <t>Cliente C - Misturador</t>
        </is>
      </c>
      <c r="G775" t="inlineStr">
        <is>
          <t>Chopeiras</t>
        </is>
      </c>
      <c r="H775" s="10" t="n">
        <v>85</v>
      </c>
      <c r="I775" s="10">
        <f>IFERROR(T775*H775,0)</f>
        <v/>
      </c>
      <c r="J775" s="11" t="n">
        <v>46043</v>
      </c>
      <c r="K775" s="11" t="n"/>
      <c r="L775" t="inlineStr">
        <is>
          <t>Aguardando devolução</t>
        </is>
      </c>
      <c r="M775">
        <f>IF(L775="","",IFERROR(VLOOKUP(L775,mapGrupoStatus,2,0),"Outros"))</f>
        <v/>
      </c>
      <c r="N775">
        <f>IF(O775="","",IF(O775&lt;=30,"0-30 dias",IF(O775&lt;=60,"31-60 dias",IF(O775&lt;=90,"61-90 dias","Mais de 90 dias"))))</f>
        <v/>
      </c>
      <c r="O775">
        <f>IF(OR(M775="Pendente",M775="Em andamento"),IF(J775="","",TODAY()-J775),"")</f>
        <v/>
      </c>
      <c r="P775" t="n">
        <v>12555</v>
      </c>
      <c r="Q775" t="inlineStr">
        <is>
          <t>Cool Service Serviços (12555)</t>
        </is>
      </c>
      <c r="R775" t="inlineStr">
        <is>
          <t>PC-0028</t>
        </is>
      </c>
      <c r="S775" t="inlineStr">
        <is>
          <t>Torneira de chopp modelo 03</t>
        </is>
      </c>
      <c r="T775" t="n">
        <v>1</v>
      </c>
      <c r="U775" t="inlineStr"/>
      <c r="V775">
        <f>IF(J775="","",MONTH(J775))</f>
        <v/>
      </c>
      <c r="W775">
        <f>IF(J775="","",YEAR(J775))</f>
        <v/>
      </c>
      <c r="X775" t="inlineStr"/>
      <c r="Y775">
        <f>IFERROR(INDEX(Rastreio!$H$2:$H$200,MATCH(X775&amp;"|"&amp;U775,Rastreio!$A$2:$A$200,0)),"")</f>
        <v/>
      </c>
    </row>
    <row r="776">
      <c r="A776">
        <f>IFERROR(INDEX(STAs!$G$2:$G$61,MATCH(P776,STAs!$F$2:$F$61,0))&amp;"","")</f>
        <v/>
      </c>
      <c r="B776" t="n">
        <v>20017860</v>
      </c>
      <c r="C776" t="inlineStr">
        <is>
          <t>Não</t>
        </is>
      </c>
      <c r="D776" t="inlineStr">
        <is>
          <t>ES</t>
        </is>
      </c>
      <c r="E776" t="inlineStr">
        <is>
          <t>SUDESTE RJ e ES</t>
        </is>
      </c>
      <c r="F776" t="inlineStr">
        <is>
          <t>Cliente A - Refrigerador</t>
        </is>
      </c>
      <c r="G776" t="inlineStr">
        <is>
          <t>Chopeiras</t>
        </is>
      </c>
      <c r="H776" s="10" t="n">
        <v>205</v>
      </c>
      <c r="I776" s="10">
        <f>IFERROR(T776*H776,0)</f>
        <v/>
      </c>
      <c r="J776" s="11" t="n">
        <v>46043</v>
      </c>
      <c r="K776" s="11" t="n"/>
      <c r="L776" t="inlineStr">
        <is>
          <t>NF Vencida</t>
        </is>
      </c>
      <c r="M776">
        <f>IF(L776="","",IFERROR(VLOOKUP(L776,mapGrupoStatus,2,0),"Outros"))</f>
        <v/>
      </c>
      <c r="N776">
        <f>IF(O776="","",IF(O776&lt;=30,"0-30 dias",IF(O776&lt;=60,"31-60 dias",IF(O776&lt;=90,"61-90 dias","Mais de 90 dias"))))</f>
        <v/>
      </c>
      <c r="O776">
        <f>IF(OR(M776="Pendente",M776="Em andamento"),IF(J776="","",TODAY()-J776),"")</f>
        <v/>
      </c>
      <c r="P776" t="n">
        <v>11396</v>
      </c>
      <c r="Q776" t="inlineStr">
        <is>
          <t>Frio Manutenção (11396)</t>
        </is>
      </c>
      <c r="R776" t="inlineStr">
        <is>
          <t>PC-0031</t>
        </is>
      </c>
      <c r="S776" t="inlineStr">
        <is>
          <t>Serpentina modelo 03</t>
        </is>
      </c>
      <c r="T776" t="n">
        <v>1</v>
      </c>
      <c r="U776" t="inlineStr"/>
      <c r="V776">
        <f>IF(J776="","",MONTH(J776))</f>
        <v/>
      </c>
      <c r="W776">
        <f>IF(J776="","",YEAR(J776))</f>
        <v/>
      </c>
      <c r="X776" t="inlineStr"/>
      <c r="Y776">
        <f>IFERROR(INDEX(Rastreio!$H$2:$H$200,MATCH(X776&amp;"|"&amp;U776,Rastreio!$A$2:$A$200,0)),"")</f>
        <v/>
      </c>
    </row>
    <row r="777">
      <c r="A777">
        <f>IFERROR(INDEX(STAs!$G$2:$G$61,MATCH(P777,STAs!$F$2:$F$61,0))&amp;"","")</f>
        <v/>
      </c>
      <c r="B777" t="n">
        <v>20033801</v>
      </c>
      <c r="C777" t="inlineStr">
        <is>
          <t>Não</t>
        </is>
      </c>
      <c r="D777" t="inlineStr">
        <is>
          <t>PR</t>
        </is>
      </c>
      <c r="E777" t="inlineStr">
        <is>
          <t>SUL</t>
        </is>
      </c>
      <c r="F777" t="inlineStr">
        <is>
          <t>Cliente C - Misturador</t>
        </is>
      </c>
      <c r="G777" t="inlineStr">
        <is>
          <t>Chopeiras</t>
        </is>
      </c>
      <c r="H777" s="10" t="n">
        <v>85</v>
      </c>
      <c r="I777" s="10">
        <f>IFERROR(T777*H777,0)</f>
        <v/>
      </c>
      <c r="J777" s="11" t="n">
        <v>46043</v>
      </c>
      <c r="K777" s="11" t="n">
        <v>46073</v>
      </c>
      <c r="L777" t="inlineStr">
        <is>
          <t>Ok. Devolvida</t>
        </is>
      </c>
      <c r="M777">
        <f>IF(L777="","",IFERROR(VLOOKUP(L777,mapGrupoStatus,2,0),"Outros"))</f>
        <v/>
      </c>
      <c r="N777">
        <f>IF(O777="","",IF(O777&lt;=30,"0-30 dias",IF(O777&lt;=60,"31-60 dias",IF(O777&lt;=90,"61-90 dias","Mais de 90 dias"))))</f>
        <v/>
      </c>
      <c r="O777">
        <f>IF(OR(M777="Pendente",M777="Em andamento"),IF(J777="","",TODAY()-J777),"")</f>
        <v/>
      </c>
      <c r="P777" t="n">
        <v>11898</v>
      </c>
      <c r="Q777" t="inlineStr">
        <is>
          <t>Refrigel Express (11898)</t>
        </is>
      </c>
      <c r="R777" t="inlineStr">
        <is>
          <t>PC-0028</t>
        </is>
      </c>
      <c r="S777" t="inlineStr">
        <is>
          <t>Torneira de chopp modelo 03</t>
        </is>
      </c>
      <c r="T777" t="n">
        <v>3</v>
      </c>
      <c r="U777" t="n">
        <v>152</v>
      </c>
      <c r="V777">
        <f>IF(J777="","",MONTH(J777))</f>
        <v/>
      </c>
      <c r="W777">
        <f>IF(J777="","",YEAR(J777))</f>
        <v/>
      </c>
      <c r="X777" t="inlineStr">
        <is>
          <t>ViaCargo</t>
        </is>
      </c>
      <c r="Y777">
        <f>IFERROR(INDEX(Rastreio!$H$2:$H$200,MATCH(X777&amp;"|"&amp;U777,Rastreio!$A$2:$A$200,0)),"")</f>
        <v/>
      </c>
    </row>
    <row r="778">
      <c r="A778">
        <f>IFERROR(INDEX(STAs!$G$2:$G$61,MATCH(P778,STAs!$F$2:$F$61,0))&amp;"","")</f>
        <v/>
      </c>
      <c r="B778" t="n">
        <v>20036574</v>
      </c>
      <c r="C778" t="inlineStr">
        <is>
          <t>Não</t>
        </is>
      </c>
      <c r="D778" t="inlineStr">
        <is>
          <t>PR</t>
        </is>
      </c>
      <c r="E778" t="inlineStr">
        <is>
          <t>SUL</t>
        </is>
      </c>
      <c r="F778" t="inlineStr">
        <is>
          <t>Cliente B - Chopeira</t>
        </is>
      </c>
      <c r="G778" t="inlineStr">
        <is>
          <t>Refrigeradores</t>
        </is>
      </c>
      <c r="H778" s="10" t="n">
        <v>35</v>
      </c>
      <c r="I778" s="10">
        <f>IFERROR(T778*H778,0)</f>
        <v/>
      </c>
      <c r="J778" s="11" t="n">
        <v>46043</v>
      </c>
      <c r="K778" s="11" t="n">
        <v>46079</v>
      </c>
      <c r="L778" t="inlineStr">
        <is>
          <t>Ok. Devolvida</t>
        </is>
      </c>
      <c r="M778">
        <f>IF(L778="","",IFERROR(VLOOKUP(L778,mapGrupoStatus,2,0),"Outros"))</f>
        <v/>
      </c>
      <c r="N778">
        <f>IF(O778="","",IF(O778&lt;=30,"0-30 dias",IF(O778&lt;=60,"31-60 dias",IF(O778&lt;=90,"61-90 dias","Mais de 90 dias"))))</f>
        <v/>
      </c>
      <c r="O778">
        <f>IF(OR(M778="Pendente",M778="Em andamento"),IF(J778="","",TODAY()-J778),"")</f>
        <v/>
      </c>
      <c r="P778" t="n">
        <v>10504</v>
      </c>
      <c r="Q778" t="inlineStr">
        <is>
          <t>Zero Grau Ltda (10504)</t>
        </is>
      </c>
      <c r="R778" t="inlineStr">
        <is>
          <t>PC-0020</t>
        </is>
      </c>
      <c r="S778" t="inlineStr">
        <is>
          <t>Gaxeta da porta modelo 03</t>
        </is>
      </c>
      <c r="T778" t="n">
        <v>1</v>
      </c>
      <c r="U778" t="n">
        <v>163</v>
      </c>
      <c r="V778">
        <f>IF(J778="","",MONTH(J778))</f>
        <v/>
      </c>
      <c r="W778">
        <f>IF(J778="","",YEAR(J778))</f>
        <v/>
      </c>
      <c r="X778" t="inlineStr">
        <is>
          <t>CargoMax</t>
        </is>
      </c>
      <c r="Y778">
        <f>IFERROR(INDEX(Rastreio!$H$2:$H$200,MATCH(X778&amp;"|"&amp;U778,Rastreio!$A$2:$A$200,0)),"")</f>
        <v/>
      </c>
    </row>
    <row r="779">
      <c r="A779">
        <f>IFERROR(INDEX(STAs!$G$2:$G$61,MATCH(P779,STAs!$F$2:$F$61,0))&amp;"","")</f>
        <v/>
      </c>
      <c r="B779" t="n">
        <v>20039108</v>
      </c>
      <c r="C779" t="inlineStr">
        <is>
          <t>Não</t>
        </is>
      </c>
      <c r="D779" t="inlineStr">
        <is>
          <t>ES</t>
        </is>
      </c>
      <c r="E779" t="inlineStr">
        <is>
          <t>SUDESTE RJ e ES</t>
        </is>
      </c>
      <c r="F779" t="inlineStr">
        <is>
          <t>Cliente C - Misturador</t>
        </is>
      </c>
      <c r="G779" t="inlineStr">
        <is>
          <t>Refrigeradores</t>
        </is>
      </c>
      <c r="H779" s="10" t="n">
        <v>35</v>
      </c>
      <c r="I779" s="10">
        <f>IFERROR(T779*H779,0)</f>
        <v/>
      </c>
      <c r="J779" s="11" t="n">
        <v>46043</v>
      </c>
      <c r="K779" s="11" t="n">
        <v>46077</v>
      </c>
      <c r="L779" t="inlineStr">
        <is>
          <t>Ok. Devolvida</t>
        </is>
      </c>
      <c r="M779">
        <f>IF(L779="","",IFERROR(VLOOKUP(L779,mapGrupoStatus,2,0),"Outros"))</f>
        <v/>
      </c>
      <c r="N779">
        <f>IF(O779="","",IF(O779&lt;=30,"0-30 dias",IF(O779&lt;=60,"31-60 dias",IF(O779&lt;=90,"61-90 dias","Mais de 90 dias"))))</f>
        <v/>
      </c>
      <c r="O779">
        <f>IF(OR(M779="Pendente",M779="Em andamento"),IF(J779="","",TODAY()-J779),"")</f>
        <v/>
      </c>
      <c r="P779" t="n">
        <v>12555</v>
      </c>
      <c r="Q779" t="inlineStr">
        <is>
          <t>Cool Service Serviços (12555)</t>
        </is>
      </c>
      <c r="R779" t="inlineStr">
        <is>
          <t>PC-0024</t>
        </is>
      </c>
      <c r="S779" t="inlineStr">
        <is>
          <t>Relé de partida modelo 02</t>
        </is>
      </c>
      <c r="T779" t="n">
        <v>1</v>
      </c>
      <c r="U779" t="n">
        <v>168</v>
      </c>
      <c r="V779">
        <f>IF(J779="","",MONTH(J779))</f>
        <v/>
      </c>
      <c r="W779">
        <f>IF(J779="","",YEAR(J779))</f>
        <v/>
      </c>
      <c r="X779" t="inlineStr">
        <is>
          <t>TransNorte</t>
        </is>
      </c>
      <c r="Y779">
        <f>IFERROR(INDEX(Rastreio!$H$2:$H$200,MATCH(X779&amp;"|"&amp;U779,Rastreio!$A$2:$A$200,0)),"")</f>
        <v/>
      </c>
    </row>
    <row r="780">
      <c r="A780">
        <f>IFERROR(INDEX(STAs!$G$2:$G$61,MATCH(P780,STAs!$F$2:$F$61,0))&amp;"","")</f>
        <v/>
      </c>
      <c r="B780" t="n">
        <v>20000253</v>
      </c>
      <c r="C780" t="inlineStr">
        <is>
          <t>Não</t>
        </is>
      </c>
      <c r="D780" t="inlineStr">
        <is>
          <t>ES</t>
        </is>
      </c>
      <c r="E780" t="inlineStr">
        <is>
          <t>SUDESTE RJ e ES</t>
        </is>
      </c>
      <c r="F780" t="inlineStr">
        <is>
          <t>Cliente C - Misturador</t>
        </is>
      </c>
      <c r="G780" t="inlineStr">
        <is>
          <t>Refrigeradores</t>
        </is>
      </c>
      <c r="H780" s="10" t="n">
        <v>30</v>
      </c>
      <c r="I780" s="10">
        <f>IFERROR(T780*H780,0)</f>
        <v/>
      </c>
      <c r="J780" s="11" t="n">
        <v>46044</v>
      </c>
      <c r="K780" s="11" t="n"/>
      <c r="L780" t="inlineStr">
        <is>
          <t>NF Vencida</t>
        </is>
      </c>
      <c r="M780">
        <f>IF(L780="","",IFERROR(VLOOKUP(L780,mapGrupoStatus,2,0),"Outros"))</f>
        <v/>
      </c>
      <c r="N780">
        <f>IF(O780="","",IF(O780&lt;=30,"0-30 dias",IF(O780&lt;=60,"31-60 dias",IF(O780&lt;=90,"61-90 dias","Mais de 90 dias"))))</f>
        <v/>
      </c>
      <c r="O780">
        <f>IF(OR(M780="Pendente",M780="Em andamento"),IF(J780="","",TODAY()-J780),"")</f>
        <v/>
      </c>
      <c r="P780" t="n">
        <v>11162</v>
      </c>
      <c r="Q780" t="inlineStr">
        <is>
          <t>Ártico Refrigeração (11162)</t>
        </is>
      </c>
      <c r="R780" t="inlineStr">
        <is>
          <t>PC-0017</t>
        </is>
      </c>
      <c r="S780" t="inlineStr">
        <is>
          <t>Filtro secador modelo 03</t>
        </is>
      </c>
      <c r="T780" t="n">
        <v>2</v>
      </c>
      <c r="U780" t="inlineStr"/>
      <c r="V780">
        <f>IF(J780="","",MONTH(J780))</f>
        <v/>
      </c>
      <c r="W780">
        <f>IF(J780="","",YEAR(J780))</f>
        <v/>
      </c>
      <c r="X780" t="inlineStr"/>
      <c r="Y780">
        <f>IFERROR(INDEX(Rastreio!$H$2:$H$200,MATCH(X780&amp;"|"&amp;U780,Rastreio!$A$2:$A$200,0)),"")</f>
        <v/>
      </c>
    </row>
    <row r="781">
      <c r="A781">
        <f>IFERROR(INDEX(STAs!$G$2:$G$61,MATCH(P781,STAs!$F$2:$F$61,0))&amp;"","")</f>
        <v/>
      </c>
      <c r="B781" t="n">
        <v>20001495</v>
      </c>
      <c r="C781" t="inlineStr">
        <is>
          <t>Não</t>
        </is>
      </c>
      <c r="D781" t="inlineStr">
        <is>
          <t>BA</t>
        </is>
      </c>
      <c r="E781" t="inlineStr">
        <is>
          <t>NORDESTE</t>
        </is>
      </c>
      <c r="F781" t="inlineStr">
        <is>
          <t>Cliente A - Refrigerador</t>
        </is>
      </c>
      <c r="G781" t="inlineStr">
        <is>
          <t>Misturadores</t>
        </is>
      </c>
      <c r="H781" s="10" t="n">
        <v>200</v>
      </c>
      <c r="I781" s="10">
        <f>IFERROR(T781*H781,0)</f>
        <v/>
      </c>
      <c r="J781" s="11" t="n">
        <v>46044</v>
      </c>
      <c r="K781" s="11" t="n">
        <v>46072</v>
      </c>
      <c r="L781" t="inlineStr">
        <is>
          <t>Ok. Devolvida</t>
        </is>
      </c>
      <c r="M781">
        <f>IF(L781="","",IFERROR(VLOOKUP(L781,mapGrupoStatus,2,0),"Outros"))</f>
        <v/>
      </c>
      <c r="N781">
        <f>IF(O781="","",IF(O781&lt;=30,"0-30 dias",IF(O781&lt;=60,"31-60 dias",IF(O781&lt;=90,"61-90 dias","Mais de 90 dias"))))</f>
        <v/>
      </c>
      <c r="O781">
        <f>IF(OR(M781="Pendente",M781="Em andamento"),IF(J781="","",TODAY()-J781),"")</f>
        <v/>
      </c>
      <c r="P781" t="n">
        <v>11538</v>
      </c>
      <c r="Q781" t="inlineStr">
        <is>
          <t>Clima Manutenção (11538)</t>
        </is>
      </c>
      <c r="R781" t="inlineStr">
        <is>
          <t>PC-0040</t>
        </is>
      </c>
      <c r="S781" t="inlineStr">
        <is>
          <t>Motor agitador modelo 01</t>
        </is>
      </c>
      <c r="T781" t="n">
        <v>2</v>
      </c>
      <c r="U781" t="n">
        <v>101</v>
      </c>
      <c r="V781">
        <f>IF(J781="","",MONTH(J781))</f>
        <v/>
      </c>
      <c r="W781">
        <f>IF(J781="","",YEAR(J781))</f>
        <v/>
      </c>
      <c r="X781" t="inlineStr">
        <is>
          <t>TransNorte</t>
        </is>
      </c>
      <c r="Y781">
        <f>IFERROR(INDEX(Rastreio!$H$2:$H$200,MATCH(X781&amp;"|"&amp;U781,Rastreio!$A$2:$A$200,0)),"")</f>
        <v/>
      </c>
    </row>
    <row r="782">
      <c r="A782">
        <f>IFERROR(INDEX(STAs!$G$2:$G$61,MATCH(P782,STAs!$F$2:$F$61,0))&amp;"","")</f>
        <v/>
      </c>
      <c r="B782" t="n">
        <v>20003615</v>
      </c>
      <c r="C782" t="inlineStr">
        <is>
          <t>Não</t>
        </is>
      </c>
      <c r="D782" t="inlineStr">
        <is>
          <t>MG</t>
        </is>
      </c>
      <c r="E782" t="inlineStr">
        <is>
          <t>SUDESTE MG</t>
        </is>
      </c>
      <c r="F782" t="inlineStr">
        <is>
          <t>Cliente C - Misturador</t>
        </is>
      </c>
      <c r="G782" t="inlineStr">
        <is>
          <t>Chopeiras</t>
        </is>
      </c>
      <c r="H782" s="10" t="n">
        <v>210</v>
      </c>
      <c r="I782" s="10">
        <f>IFERROR(T782*H782,0)</f>
        <v/>
      </c>
      <c r="J782" s="11" t="n">
        <v>46044</v>
      </c>
      <c r="K782" s="11" t="n"/>
      <c r="L782" t="inlineStr">
        <is>
          <t>Aguardando devolução</t>
        </is>
      </c>
      <c r="M782">
        <f>IF(L782="","",IFERROR(VLOOKUP(L782,mapGrupoStatus,2,0),"Outros"))</f>
        <v/>
      </c>
      <c r="N782">
        <f>IF(O782="","",IF(O782&lt;=30,"0-30 dias",IF(O782&lt;=60,"31-60 dias",IF(O782&lt;=90,"61-90 dias","Mais de 90 dias"))))</f>
        <v/>
      </c>
      <c r="O782">
        <f>IF(OR(M782="Pendente",M782="Em andamento"),IF(J782="","",TODAY()-J782),"")</f>
        <v/>
      </c>
      <c r="P782" t="n">
        <v>11619</v>
      </c>
      <c r="Q782" t="inlineStr">
        <is>
          <t>Refrigeração Ltda (11619)</t>
        </is>
      </c>
      <c r="R782" t="inlineStr">
        <is>
          <t>PC-0029</t>
        </is>
      </c>
      <c r="S782" t="inlineStr">
        <is>
          <t>Serpentina modelo 01</t>
        </is>
      </c>
      <c r="T782" t="n">
        <v>1</v>
      </c>
      <c r="U782" t="inlineStr"/>
      <c r="V782">
        <f>IF(J782="","",MONTH(J782))</f>
        <v/>
      </c>
      <c r="W782">
        <f>IF(J782="","",YEAR(J782))</f>
        <v/>
      </c>
      <c r="X782" t="inlineStr"/>
      <c r="Y782">
        <f>IFERROR(INDEX(Rastreio!$H$2:$H$200,MATCH(X782&amp;"|"&amp;U782,Rastreio!$A$2:$A$200,0)),"")</f>
        <v/>
      </c>
    </row>
    <row r="783">
      <c r="A783">
        <f>IFERROR(INDEX(STAs!$G$2:$G$61,MATCH(P783,STAs!$F$2:$F$61,0))&amp;"","")</f>
        <v/>
      </c>
      <c r="B783" t="n">
        <v>20011213</v>
      </c>
      <c r="C783" t="inlineStr">
        <is>
          <t>Não</t>
        </is>
      </c>
      <c r="D783" t="inlineStr">
        <is>
          <t>BA</t>
        </is>
      </c>
      <c r="E783" t="inlineStr">
        <is>
          <t>NORDESTE</t>
        </is>
      </c>
      <c r="F783" t="inlineStr">
        <is>
          <t>Cliente C - Misturador</t>
        </is>
      </c>
      <c r="G783" t="inlineStr">
        <is>
          <t>Refrigeradores</t>
        </is>
      </c>
      <c r="H783" s="10" t="n">
        <v>175</v>
      </c>
      <c r="I783" s="10">
        <f>IFERROR(T783*H783,0)</f>
        <v/>
      </c>
      <c r="J783" s="11" t="n">
        <v>46044</v>
      </c>
      <c r="K783" s="11" t="n">
        <v>46097</v>
      </c>
      <c r="L783" t="inlineStr">
        <is>
          <t>Ok. Devolvida</t>
        </is>
      </c>
      <c r="M783">
        <f>IF(L783="","",IFERROR(VLOOKUP(L783,mapGrupoStatus,2,0),"Outros"))</f>
        <v/>
      </c>
      <c r="N783">
        <f>IF(O783="","",IF(O783&lt;=30,"0-30 dias",IF(O783&lt;=60,"31-60 dias",IF(O783&lt;=90,"61-90 dias","Mais de 90 dias"))))</f>
        <v/>
      </c>
      <c r="O783">
        <f>IF(OR(M783="Pendente",M783="Em andamento"),IF(J783="","",TODAY()-J783),"")</f>
        <v/>
      </c>
      <c r="P783" t="n">
        <v>11538</v>
      </c>
      <c r="Q783" t="inlineStr">
        <is>
          <t>Clima Manutenção (11538)</t>
        </is>
      </c>
      <c r="R783" t="inlineStr">
        <is>
          <t>PC-0012</t>
        </is>
      </c>
      <c r="S783" t="inlineStr">
        <is>
          <t>Placa eletrônica modelo 02</t>
        </is>
      </c>
      <c r="T783" t="n">
        <v>1</v>
      </c>
      <c r="U783" t="n">
        <v>123</v>
      </c>
      <c r="V783">
        <f>IF(J783="","",MONTH(J783))</f>
        <v/>
      </c>
      <c r="W783">
        <f>IF(J783="","",YEAR(J783))</f>
        <v/>
      </c>
      <c r="X783" t="inlineStr">
        <is>
          <t>CargoMax</t>
        </is>
      </c>
      <c r="Y783">
        <f>IFERROR(INDEX(Rastreio!$H$2:$H$200,MATCH(X783&amp;"|"&amp;U783,Rastreio!$A$2:$A$200,0)),"")</f>
        <v/>
      </c>
    </row>
    <row r="784">
      <c r="A784">
        <f>IFERROR(INDEX(STAs!$G$2:$G$61,MATCH(P784,STAs!$F$2:$F$61,0))&amp;"","")</f>
        <v/>
      </c>
      <c r="B784" t="n">
        <v>20013047</v>
      </c>
      <c r="C784" t="inlineStr">
        <is>
          <t>Sim</t>
        </is>
      </c>
      <c r="D784" t="inlineStr">
        <is>
          <t>PR</t>
        </is>
      </c>
      <c r="E784" t="inlineStr">
        <is>
          <t>SUL</t>
        </is>
      </c>
      <c r="F784" t="inlineStr">
        <is>
          <t>Cliente A - Refrigerador</t>
        </is>
      </c>
      <c r="G784" t="inlineStr">
        <is>
          <t>Refrigeradores</t>
        </is>
      </c>
      <c r="H784" s="10" t="n">
        <v>315</v>
      </c>
      <c r="I784" s="10">
        <f>IFERROR(T784*H784,0)</f>
        <v/>
      </c>
      <c r="J784" s="11" t="n">
        <v>46044</v>
      </c>
      <c r="K784" s="11" t="n">
        <v>46070</v>
      </c>
      <c r="L784" t="inlineStr">
        <is>
          <t>Ok. Devolvida</t>
        </is>
      </c>
      <c r="M784">
        <f>IF(L784="","",IFERROR(VLOOKUP(L784,mapGrupoStatus,2,0),"Outros"))</f>
        <v/>
      </c>
      <c r="N784">
        <f>IF(O784="","",IF(O784&lt;=30,"0-30 dias",IF(O784&lt;=60,"31-60 dias",IF(O784&lt;=90,"61-90 dias","Mais de 90 dias"))))</f>
        <v/>
      </c>
      <c r="O784">
        <f>IF(OR(M784="Pendente",M784="Em andamento"),IF(J784="","",TODAY()-J784),"")</f>
        <v/>
      </c>
      <c r="P784" t="n">
        <v>12724</v>
      </c>
      <c r="Q784" t="inlineStr">
        <is>
          <t>Cool Service &amp; Cia (12724)</t>
        </is>
      </c>
      <c r="R784" t="inlineStr">
        <is>
          <t>PC-0002</t>
        </is>
      </c>
      <c r="S784" t="inlineStr">
        <is>
          <t>Compressor modelo 02</t>
        </is>
      </c>
      <c r="T784" t="n">
        <v>1</v>
      </c>
      <c r="U784" t="n">
        <v>120</v>
      </c>
      <c r="V784">
        <f>IF(J784="","",MONTH(J784))</f>
        <v/>
      </c>
      <c r="W784">
        <f>IF(J784="","",YEAR(J784))</f>
        <v/>
      </c>
      <c r="X784" t="inlineStr">
        <is>
          <t>RotaSul</t>
        </is>
      </c>
      <c r="Y784">
        <f>IFERROR(INDEX(Rastreio!$H$2:$H$200,MATCH(X784&amp;"|"&amp;U784,Rastreio!$A$2:$A$200,0)),"")</f>
        <v/>
      </c>
    </row>
    <row r="785">
      <c r="A785">
        <f>IFERROR(INDEX(STAs!$G$2:$G$61,MATCH(P785,STAs!$F$2:$F$61,0))&amp;"","")</f>
        <v/>
      </c>
      <c r="B785" t="n">
        <v>20020504</v>
      </c>
      <c r="C785" t="inlineStr">
        <is>
          <t>Não</t>
        </is>
      </c>
      <c r="D785" t="inlineStr">
        <is>
          <t>BA</t>
        </is>
      </c>
      <c r="E785" t="inlineStr">
        <is>
          <t>NORDESTE</t>
        </is>
      </c>
      <c r="F785" t="inlineStr">
        <is>
          <t>Cliente A - Refrigerador</t>
        </is>
      </c>
      <c r="G785" t="inlineStr">
        <is>
          <t>Refrigeradores</t>
        </is>
      </c>
      <c r="H785" s="10" t="n">
        <v>35</v>
      </c>
      <c r="I785" s="10">
        <f>IFERROR(T785*H785,0)</f>
        <v/>
      </c>
      <c r="J785" s="11" t="n">
        <v>46044</v>
      </c>
      <c r="K785" s="11" t="n">
        <v>46094</v>
      </c>
      <c r="L785" t="inlineStr">
        <is>
          <t>Ok. Devolvida</t>
        </is>
      </c>
      <c r="M785">
        <f>IF(L785="","",IFERROR(VLOOKUP(L785,mapGrupoStatus,2,0),"Outros"))</f>
        <v/>
      </c>
      <c r="N785">
        <f>IF(O785="","",IF(O785&lt;=30,"0-30 dias",IF(O785&lt;=60,"31-60 dias",IF(O785&lt;=90,"61-90 dias","Mais de 90 dias"))))</f>
        <v/>
      </c>
      <c r="O785">
        <f>IF(OR(M785="Pendente",M785="Em andamento"),IF(J785="","",TODAY()-J785),"")</f>
        <v/>
      </c>
      <c r="P785" t="n">
        <v>11538</v>
      </c>
      <c r="Q785" t="inlineStr">
        <is>
          <t>Clima Manutenção (11538)</t>
        </is>
      </c>
      <c r="R785" t="inlineStr">
        <is>
          <t>PC-0024</t>
        </is>
      </c>
      <c r="S785" t="inlineStr">
        <is>
          <t>Relé de partida modelo 02</t>
        </is>
      </c>
      <c r="T785" t="n">
        <v>1</v>
      </c>
      <c r="U785" t="n">
        <v>132</v>
      </c>
      <c r="V785">
        <f>IF(J785="","",MONTH(J785))</f>
        <v/>
      </c>
      <c r="W785">
        <f>IF(J785="","",YEAR(J785))</f>
        <v/>
      </c>
      <c r="X785" t="inlineStr">
        <is>
          <t>EntregaJá</t>
        </is>
      </c>
      <c r="Y785">
        <f>IFERROR(INDEX(Rastreio!$H$2:$H$200,MATCH(X785&amp;"|"&amp;U785,Rastreio!$A$2:$A$200,0)),"")</f>
        <v/>
      </c>
    </row>
    <row r="786">
      <c r="A786">
        <f>IFERROR(INDEX(STAs!$G$2:$G$61,MATCH(P786,STAs!$F$2:$F$61,0))&amp;"","")</f>
        <v/>
      </c>
      <c r="B786" t="n">
        <v>20024622</v>
      </c>
      <c r="C786" t="inlineStr">
        <is>
          <t>Sim</t>
        </is>
      </c>
      <c r="D786" t="inlineStr">
        <is>
          <t>SP</t>
        </is>
      </c>
      <c r="E786" t="inlineStr">
        <is>
          <t>SUDESTE SP</t>
        </is>
      </c>
      <c r="F786" t="inlineStr">
        <is>
          <t>Cliente C - Misturador</t>
        </is>
      </c>
      <c r="G786" t="inlineStr">
        <is>
          <t>Refrigeradores</t>
        </is>
      </c>
      <c r="H786" s="10" t="n">
        <v>35</v>
      </c>
      <c r="I786" s="10">
        <f>IFERROR(T786*H786,0)</f>
        <v/>
      </c>
      <c r="J786" s="11" t="n">
        <v>46044</v>
      </c>
      <c r="K786" s="11" t="n">
        <v>46050</v>
      </c>
      <c r="L786" t="inlineStr">
        <is>
          <t>Ok. Devolvida</t>
        </is>
      </c>
      <c r="M786">
        <f>IF(L786="","",IFERROR(VLOOKUP(L786,mapGrupoStatus,2,0),"Outros"))</f>
        <v/>
      </c>
      <c r="N786">
        <f>IF(O786="","",IF(O786&lt;=30,"0-30 dias",IF(O786&lt;=60,"31-60 dias",IF(O786&lt;=90,"61-90 dias","Mais de 90 dias"))))</f>
        <v/>
      </c>
      <c r="O786">
        <f>IF(OR(M786="Pendente",M786="Em andamento"),IF(J786="","",TODAY()-J786),"")</f>
        <v/>
      </c>
      <c r="P786" t="n">
        <v>10010</v>
      </c>
      <c r="Q786" t="inlineStr">
        <is>
          <t>Cool Service ME (10010)</t>
        </is>
      </c>
      <c r="R786" t="inlineStr">
        <is>
          <t>PC-0023</t>
        </is>
      </c>
      <c r="S786" t="inlineStr">
        <is>
          <t>Relé de partida modelo 01</t>
        </is>
      </c>
      <c r="T786" t="n">
        <v>1</v>
      </c>
      <c r="U786" t="n">
        <v>142</v>
      </c>
      <c r="V786">
        <f>IF(J786="","",MONTH(J786))</f>
        <v/>
      </c>
      <c r="W786">
        <f>IF(J786="","",YEAR(J786))</f>
        <v/>
      </c>
      <c r="X786" t="inlineStr">
        <is>
          <t>CargoMax</t>
        </is>
      </c>
      <c r="Y786">
        <f>IFERROR(INDEX(Rastreio!$H$2:$H$200,MATCH(X786&amp;"|"&amp;U786,Rastreio!$A$2:$A$200,0)),"")</f>
        <v/>
      </c>
    </row>
    <row r="787">
      <c r="A787">
        <f>IFERROR(INDEX(STAs!$G$2:$G$61,MATCH(P787,STAs!$F$2:$F$61,0))&amp;"","")</f>
        <v/>
      </c>
      <c r="B787" t="n">
        <v>20033581</v>
      </c>
      <c r="C787" t="inlineStr">
        <is>
          <t>Não</t>
        </is>
      </c>
      <c r="D787" t="inlineStr">
        <is>
          <t>SP</t>
        </is>
      </c>
      <c r="E787" t="inlineStr">
        <is>
          <t>SUDESTE SP</t>
        </is>
      </c>
      <c r="F787" t="inlineStr">
        <is>
          <t>Cliente B - Chopeira</t>
        </is>
      </c>
      <c r="G787" t="inlineStr">
        <is>
          <t>Chopeiras</t>
        </is>
      </c>
      <c r="H787" s="10" t="n">
        <v>210</v>
      </c>
      <c r="I787" s="10">
        <f>IFERROR(T787*H787,0)</f>
        <v/>
      </c>
      <c r="J787" s="11" t="n">
        <v>46044</v>
      </c>
      <c r="K787" s="11" t="n"/>
      <c r="L787" t="inlineStr">
        <is>
          <t>Em andamento</t>
        </is>
      </c>
      <c r="M787">
        <f>IF(L787="","",IFERROR(VLOOKUP(L787,mapGrupoStatus,2,0),"Outros"))</f>
        <v/>
      </c>
      <c r="N787">
        <f>IF(O787="","",IF(O787&lt;=30,"0-30 dias",IF(O787&lt;=60,"31-60 dias",IF(O787&lt;=90,"61-90 dias","Mais de 90 dias"))))</f>
        <v/>
      </c>
      <c r="O787">
        <f>IF(OR(M787="Pendente",M787="Em andamento"),IF(J787="","",TODAY()-J787),"")</f>
        <v/>
      </c>
      <c r="P787" t="n">
        <v>11710</v>
      </c>
      <c r="Q787" t="inlineStr">
        <is>
          <t>Brisa &amp; Cia (11710)</t>
        </is>
      </c>
      <c r="R787" t="inlineStr">
        <is>
          <t>PC-0029</t>
        </is>
      </c>
      <c r="S787" t="inlineStr">
        <is>
          <t>Serpentina modelo 01</t>
        </is>
      </c>
      <c r="T787" t="n">
        <v>3</v>
      </c>
      <c r="U787" t="n">
        <v>157</v>
      </c>
      <c r="V787">
        <f>IF(J787="","",MONTH(J787))</f>
        <v/>
      </c>
      <c r="W787">
        <f>IF(J787="","",YEAR(J787))</f>
        <v/>
      </c>
      <c r="X787" t="inlineStr">
        <is>
          <t>CargoMax</t>
        </is>
      </c>
      <c r="Y787">
        <f>IFERROR(INDEX(Rastreio!$H$2:$H$200,MATCH(X787&amp;"|"&amp;U787,Rastreio!$A$2:$A$200,0)),"")</f>
        <v/>
      </c>
    </row>
    <row r="788">
      <c r="A788">
        <f>IFERROR(INDEX(STAs!$G$2:$G$61,MATCH(P788,STAs!$F$2:$F$61,0))&amp;"","")</f>
        <v/>
      </c>
      <c r="B788" t="n">
        <v>20037403</v>
      </c>
      <c r="C788" t="inlineStr">
        <is>
          <t>Não</t>
        </is>
      </c>
      <c r="D788" t="inlineStr">
        <is>
          <t>SP</t>
        </is>
      </c>
      <c r="E788" t="inlineStr">
        <is>
          <t>SUDESTE SP</t>
        </is>
      </c>
      <c r="F788" t="inlineStr">
        <is>
          <t>Cliente B - Chopeira</t>
        </is>
      </c>
      <c r="G788" t="inlineStr">
        <is>
          <t>Misturadores</t>
        </is>
      </c>
      <c r="H788" s="10" t="n">
        <v>35</v>
      </c>
      <c r="I788" s="10">
        <f>IFERROR(T788*H788,0)</f>
        <v/>
      </c>
      <c r="J788" s="11" t="n">
        <v>46044</v>
      </c>
      <c r="K788" s="11" t="n"/>
      <c r="L788" t="inlineStr">
        <is>
          <t>Aguardando Transporte</t>
        </is>
      </c>
      <c r="M788">
        <f>IF(L788="","",IFERROR(VLOOKUP(L788,mapGrupoStatus,2,0),"Outros"))</f>
        <v/>
      </c>
      <c r="N788">
        <f>IF(O788="","",IF(O788&lt;=30,"0-30 dias",IF(O788&lt;=60,"31-60 dias",IF(O788&lt;=90,"61-90 dias","Mais de 90 dias"))))</f>
        <v/>
      </c>
      <c r="O788">
        <f>IF(OR(M788="Pendente",M788="Em andamento"),IF(J788="","",TODAY()-J788),"")</f>
        <v/>
      </c>
      <c r="P788" t="n">
        <v>10111</v>
      </c>
      <c r="Q788" t="inlineStr">
        <is>
          <t>Refrigel Manutenção (10111)</t>
        </is>
      </c>
      <c r="R788" t="inlineStr">
        <is>
          <t>PC-0043</t>
        </is>
      </c>
      <c r="S788" t="inlineStr">
        <is>
          <t>Bico dosador modelo 02</t>
        </is>
      </c>
      <c r="T788" t="n">
        <v>1</v>
      </c>
      <c r="U788" t="n">
        <v>154</v>
      </c>
      <c r="V788">
        <f>IF(J788="","",MONTH(J788))</f>
        <v/>
      </c>
      <c r="W788">
        <f>IF(J788="","",YEAR(J788))</f>
        <v/>
      </c>
      <c r="X788" t="inlineStr">
        <is>
          <t>EntregaJá</t>
        </is>
      </c>
      <c r="Y788">
        <f>IFERROR(INDEX(Rastreio!$H$2:$H$200,MATCH(X788&amp;"|"&amp;U788,Rastreio!$A$2:$A$200,0)),"")</f>
        <v/>
      </c>
    </row>
    <row r="789">
      <c r="A789">
        <f>IFERROR(INDEX(STAs!$G$2:$G$61,MATCH(P789,STAs!$F$2:$F$61,0))&amp;"","")</f>
        <v/>
      </c>
      <c r="B789" t="n">
        <v>20003548</v>
      </c>
      <c r="C789" t="inlineStr">
        <is>
          <t>Não</t>
        </is>
      </c>
      <c r="D789" t="inlineStr">
        <is>
          <t>ES</t>
        </is>
      </c>
      <c r="E789" t="inlineStr">
        <is>
          <t>SUDESTE RJ e ES</t>
        </is>
      </c>
      <c r="F789" t="inlineStr">
        <is>
          <t>Cliente B - Chopeira</t>
        </is>
      </c>
      <c r="G789" t="inlineStr">
        <is>
          <t>Refrigeradores</t>
        </is>
      </c>
      <c r="H789" s="10" t="n">
        <v>40</v>
      </c>
      <c r="I789" s="10">
        <f>IFERROR(T789*H789,0)</f>
        <v/>
      </c>
      <c r="J789" s="11" t="n">
        <v>46045</v>
      </c>
      <c r="K789" s="11" t="n">
        <v>46103</v>
      </c>
      <c r="L789" t="inlineStr">
        <is>
          <t>Ok. Devolvida</t>
        </is>
      </c>
      <c r="M789">
        <f>IF(L789="","",IFERROR(VLOOKUP(L789,mapGrupoStatus,2,0),"Outros"))</f>
        <v/>
      </c>
      <c r="N789">
        <f>IF(O789="","",IF(O789&lt;=30,"0-30 dias",IF(O789&lt;=60,"31-60 dias",IF(O789&lt;=90,"61-90 dias","Mais de 90 dias"))))</f>
        <v/>
      </c>
      <c r="O789">
        <f>IF(OR(M789="Pendente",M789="Em andamento"),IF(J789="","",TODAY()-J789),"")</f>
        <v/>
      </c>
      <c r="P789" t="n">
        <v>11162</v>
      </c>
      <c r="Q789" t="inlineStr">
        <is>
          <t>Ártico Refrigeração (11162)</t>
        </is>
      </c>
      <c r="R789" t="inlineStr">
        <is>
          <t>PC-0004</t>
        </is>
      </c>
      <c r="S789" t="inlineStr">
        <is>
          <t>Termostato modelo 01</t>
        </is>
      </c>
      <c r="T789" t="n">
        <v>1</v>
      </c>
      <c r="U789" t="n">
        <v>107</v>
      </c>
      <c r="V789">
        <f>IF(J789="","",MONTH(J789))</f>
        <v/>
      </c>
      <c r="W789">
        <f>IF(J789="","",YEAR(J789))</f>
        <v/>
      </c>
      <c r="X789" t="inlineStr">
        <is>
          <t>EntregaJá</t>
        </is>
      </c>
      <c r="Y789">
        <f>IFERROR(INDEX(Rastreio!$H$2:$H$200,MATCH(X789&amp;"|"&amp;U789,Rastreio!$A$2:$A$200,0)),"")</f>
        <v/>
      </c>
    </row>
    <row r="790">
      <c r="A790">
        <f>IFERROR(INDEX(STAs!$G$2:$G$61,MATCH(P790,STAs!$F$2:$F$61,0))&amp;"","")</f>
        <v/>
      </c>
      <c r="B790" t="n">
        <v>20020376</v>
      </c>
      <c r="C790" t="inlineStr">
        <is>
          <t>Sim</t>
        </is>
      </c>
      <c r="D790" t="inlineStr">
        <is>
          <t>CE</t>
        </is>
      </c>
      <c r="E790" t="inlineStr">
        <is>
          <t>NORDESTE</t>
        </is>
      </c>
      <c r="F790" t="inlineStr">
        <is>
          <t>Cliente B - Chopeira</t>
        </is>
      </c>
      <c r="G790" t="inlineStr">
        <is>
          <t>Misturadores</t>
        </is>
      </c>
      <c r="H790" s="10" t="n">
        <v>265</v>
      </c>
      <c r="I790" s="10">
        <f>IFERROR(T790*H790,0)</f>
        <v/>
      </c>
      <c r="J790" s="11" t="n">
        <v>46045</v>
      </c>
      <c r="K790" s="11" t="n">
        <v>46097</v>
      </c>
      <c r="L790" t="inlineStr">
        <is>
          <t>Ok. Devolvida</t>
        </is>
      </c>
      <c r="M790">
        <f>IF(L790="","",IFERROR(VLOOKUP(L790,mapGrupoStatus,2,0),"Outros"))</f>
        <v/>
      </c>
      <c r="N790">
        <f>IF(O790="","",IF(O790&lt;=30,"0-30 dias",IF(O790&lt;=60,"31-60 dias",IF(O790&lt;=90,"61-90 dias","Mais de 90 dias"))))</f>
        <v/>
      </c>
      <c r="O790">
        <f>IF(OR(M790="Pendente",M790="Em andamento"),IF(J790="","",TODAY()-J790),"")</f>
        <v/>
      </c>
      <c r="P790" t="n">
        <v>10615</v>
      </c>
      <c r="Q790" t="inlineStr">
        <is>
          <t>Brisa Técnica (10615)</t>
        </is>
      </c>
      <c r="R790" t="inlineStr">
        <is>
          <t>PC-0038</t>
        </is>
      </c>
      <c r="S790" t="inlineStr">
        <is>
          <t>Bomba de recirculação modelo 02</t>
        </is>
      </c>
      <c r="T790" t="n">
        <v>1</v>
      </c>
      <c r="U790" t="n">
        <v>138</v>
      </c>
      <c r="V790">
        <f>IF(J790="","",MONTH(J790))</f>
        <v/>
      </c>
      <c r="W790">
        <f>IF(J790="","",YEAR(J790))</f>
        <v/>
      </c>
      <c r="X790" t="inlineStr">
        <is>
          <t>CargoMax</t>
        </is>
      </c>
      <c r="Y790">
        <f>IFERROR(INDEX(Rastreio!$H$2:$H$200,MATCH(X790&amp;"|"&amp;U790,Rastreio!$A$2:$A$200,0)),"")</f>
        <v/>
      </c>
    </row>
    <row r="791">
      <c r="A791">
        <f>IFERROR(INDEX(STAs!$G$2:$G$61,MATCH(P791,STAs!$F$2:$F$61,0))&amp;"","")</f>
        <v/>
      </c>
      <c r="B791" t="n">
        <v>20023265</v>
      </c>
      <c r="C791" t="inlineStr">
        <is>
          <t>Não</t>
        </is>
      </c>
      <c r="D791" t="inlineStr">
        <is>
          <t>PE</t>
        </is>
      </c>
      <c r="E791" t="inlineStr">
        <is>
          <t>NORDESTE</t>
        </is>
      </c>
      <c r="F791" t="inlineStr">
        <is>
          <t>Cliente B - Chopeira</t>
        </is>
      </c>
      <c r="G791" t="inlineStr">
        <is>
          <t>Refrigeradores</t>
        </is>
      </c>
      <c r="H791" s="10" t="n">
        <v>40</v>
      </c>
      <c r="I791" s="10">
        <f>IFERROR(T791*H791,0)</f>
        <v/>
      </c>
      <c r="J791" s="11" t="n">
        <v>46045</v>
      </c>
      <c r="K791" s="11" t="n">
        <v>46062</v>
      </c>
      <c r="L791" t="inlineStr">
        <is>
          <t>Ok. Devolvida</t>
        </is>
      </c>
      <c r="M791">
        <f>IF(L791="","",IFERROR(VLOOKUP(L791,mapGrupoStatus,2,0),"Outros"))</f>
        <v/>
      </c>
      <c r="N791">
        <f>IF(O791="","",IF(O791&lt;=30,"0-30 dias",IF(O791&lt;=60,"31-60 dias",IF(O791&lt;=90,"61-90 dias","Mais de 90 dias"))))</f>
        <v/>
      </c>
      <c r="O791">
        <f>IF(OR(M791="Pendente",M791="Em andamento"),IF(J791="","",TODAY()-J791),"")</f>
        <v/>
      </c>
      <c r="P791" t="n">
        <v>11352</v>
      </c>
      <c r="Q791" t="inlineStr">
        <is>
          <t>Frio Express (11352)</t>
        </is>
      </c>
      <c r="R791" t="inlineStr">
        <is>
          <t>PC-0005</t>
        </is>
      </c>
      <c r="S791" t="inlineStr">
        <is>
          <t>Termostato modelo 02</t>
        </is>
      </c>
      <c r="T791" t="n">
        <v>1</v>
      </c>
      <c r="U791" t="n">
        <v>135</v>
      </c>
      <c r="V791">
        <f>IF(J791="","",MONTH(J791))</f>
        <v/>
      </c>
      <c r="W791">
        <f>IF(J791="","",YEAR(J791))</f>
        <v/>
      </c>
      <c r="X791" t="inlineStr">
        <is>
          <t>EntregaJá</t>
        </is>
      </c>
      <c r="Y791">
        <f>IFERROR(INDEX(Rastreio!$H$2:$H$200,MATCH(X791&amp;"|"&amp;U791,Rastreio!$A$2:$A$200,0)),"")</f>
        <v/>
      </c>
    </row>
    <row r="792">
      <c r="A792">
        <f>IFERROR(INDEX(STAs!$G$2:$G$61,MATCH(P792,STAs!$F$2:$F$61,0))&amp;"","")</f>
        <v/>
      </c>
      <c r="B792" t="n">
        <v>20024192</v>
      </c>
      <c r="C792" t="inlineStr">
        <is>
          <t>Não</t>
        </is>
      </c>
      <c r="D792" t="inlineStr">
        <is>
          <t>ES</t>
        </is>
      </c>
      <c r="E792" t="inlineStr">
        <is>
          <t>SUDESTE RJ e ES</t>
        </is>
      </c>
      <c r="F792" t="inlineStr">
        <is>
          <t>Cliente A - Refrigerador</t>
        </is>
      </c>
      <c r="G792" t="inlineStr">
        <is>
          <t>Chopeiras</t>
        </is>
      </c>
      <c r="H792" s="10" t="n">
        <v>205</v>
      </c>
      <c r="I792" s="10">
        <f>IFERROR(T792*H792,0)</f>
        <v/>
      </c>
      <c r="J792" s="11" t="n">
        <v>46045</v>
      </c>
      <c r="K792" s="11" t="n">
        <v>46098</v>
      </c>
      <c r="L792" t="inlineStr">
        <is>
          <t>Ok. Devolvida</t>
        </is>
      </c>
      <c r="M792">
        <f>IF(L792="","",IFERROR(VLOOKUP(L792,mapGrupoStatus,2,0),"Outros"))</f>
        <v/>
      </c>
      <c r="N792">
        <f>IF(O792="","",IF(O792&lt;=30,"0-30 dias",IF(O792&lt;=60,"31-60 dias",IF(O792&lt;=90,"61-90 dias","Mais de 90 dias"))))</f>
        <v/>
      </c>
      <c r="O792">
        <f>IF(OR(M792="Pendente",M792="Em andamento"),IF(J792="","",TODAY()-J792),"")</f>
        <v/>
      </c>
      <c r="P792" t="n">
        <v>11396</v>
      </c>
      <c r="Q792" t="inlineStr">
        <is>
          <t>Frio Manutenção (11396)</t>
        </is>
      </c>
      <c r="R792" t="inlineStr">
        <is>
          <t>PC-0031</t>
        </is>
      </c>
      <c r="S792" t="inlineStr">
        <is>
          <t>Serpentina modelo 03</t>
        </is>
      </c>
      <c r="T792" t="n">
        <v>1</v>
      </c>
      <c r="U792" t="n">
        <v>140</v>
      </c>
      <c r="V792">
        <f>IF(J792="","",MONTH(J792))</f>
        <v/>
      </c>
      <c r="W792">
        <f>IF(J792="","",YEAR(J792))</f>
        <v/>
      </c>
      <c r="X792" t="inlineStr">
        <is>
          <t>RotaSul</t>
        </is>
      </c>
      <c r="Y792">
        <f>IFERROR(INDEX(Rastreio!$H$2:$H$200,MATCH(X792&amp;"|"&amp;U792,Rastreio!$A$2:$A$200,0)),"")</f>
        <v/>
      </c>
    </row>
    <row r="793">
      <c r="A793">
        <f>IFERROR(INDEX(STAs!$G$2:$G$61,MATCH(P793,STAs!$F$2:$F$61,0))&amp;"","")</f>
        <v/>
      </c>
      <c r="B793" t="n">
        <v>20036356</v>
      </c>
      <c r="C793" t="inlineStr">
        <is>
          <t>Sim</t>
        </is>
      </c>
      <c r="D793" t="inlineStr">
        <is>
          <t>PR</t>
        </is>
      </c>
      <c r="E793" t="inlineStr">
        <is>
          <t>SUL</t>
        </is>
      </c>
      <c r="F793" t="inlineStr">
        <is>
          <t>Cliente A - Refrigerador</t>
        </is>
      </c>
      <c r="G793" t="inlineStr">
        <is>
          <t>Misturadores</t>
        </is>
      </c>
      <c r="H793" s="10" t="n">
        <v>50</v>
      </c>
      <c r="I793" s="10">
        <f>IFERROR(T793*H793,0)</f>
        <v/>
      </c>
      <c r="J793" s="11" t="n">
        <v>46045</v>
      </c>
      <c r="K793" s="11" t="n"/>
      <c r="L793" t="inlineStr">
        <is>
          <t>Aguardando devolução</t>
        </is>
      </c>
      <c r="M793">
        <f>IF(L793="","",IFERROR(VLOOKUP(L793,mapGrupoStatus,2,0),"Outros"))</f>
        <v/>
      </c>
      <c r="N793">
        <f>IF(O793="","",IF(O793&lt;=30,"0-30 dias",IF(O793&lt;=60,"31-60 dias",IF(O793&lt;=90,"61-90 dias","Mais de 90 dias"))))</f>
        <v/>
      </c>
      <c r="O793">
        <f>IF(OR(M793="Pendente",M793="Em andamento"),IF(J793="","",TODAY()-J793),"")</f>
        <v/>
      </c>
      <c r="P793" t="n">
        <v>12724</v>
      </c>
      <c r="Q793" t="inlineStr">
        <is>
          <t>Cool Service &amp; Cia (12724)</t>
        </is>
      </c>
      <c r="R793" t="inlineStr">
        <is>
          <t>PC-0044</t>
        </is>
      </c>
      <c r="S793" t="inlineStr">
        <is>
          <t>Bico dosador modelo 03</t>
        </is>
      </c>
      <c r="T793" t="n">
        <v>1</v>
      </c>
      <c r="U793" t="inlineStr"/>
      <c r="V793">
        <f>IF(J793="","",MONTH(J793))</f>
        <v/>
      </c>
      <c r="W793">
        <f>IF(J793="","",YEAR(J793))</f>
        <v/>
      </c>
      <c r="X793" t="inlineStr"/>
      <c r="Y793">
        <f>IFERROR(INDEX(Rastreio!$H$2:$H$200,MATCH(X793&amp;"|"&amp;U793,Rastreio!$A$2:$A$200,0)),"")</f>
        <v/>
      </c>
    </row>
    <row r="794">
      <c r="A794">
        <f>IFERROR(INDEX(STAs!$G$2:$G$61,MATCH(P794,STAs!$F$2:$F$61,0))&amp;"","")</f>
        <v/>
      </c>
      <c r="B794" t="n">
        <v>20037144</v>
      </c>
      <c r="C794" t="inlineStr">
        <is>
          <t>Não</t>
        </is>
      </c>
      <c r="D794" t="inlineStr">
        <is>
          <t>SP</t>
        </is>
      </c>
      <c r="E794" t="inlineStr">
        <is>
          <t>SUDESTE SP</t>
        </is>
      </c>
      <c r="F794" t="inlineStr">
        <is>
          <t>Cliente A - Refrigerador</t>
        </is>
      </c>
      <c r="G794" t="inlineStr">
        <is>
          <t>Misturadores</t>
        </is>
      </c>
      <c r="H794" s="10" t="n">
        <v>185</v>
      </c>
      <c r="I794" s="10">
        <f>IFERROR(T794*H794,0)</f>
        <v/>
      </c>
      <c r="J794" s="11" t="n">
        <v>46045</v>
      </c>
      <c r="K794" s="11" t="n">
        <v>46073</v>
      </c>
      <c r="L794" t="inlineStr">
        <is>
          <t>Ok. Devolvida</t>
        </is>
      </c>
      <c r="M794">
        <f>IF(L794="","",IFERROR(VLOOKUP(L794,mapGrupoStatus,2,0),"Outros"))</f>
        <v/>
      </c>
      <c r="N794">
        <f>IF(O794="","",IF(O794&lt;=30,"0-30 dias",IF(O794&lt;=60,"31-60 dias",IF(O794&lt;=90,"61-90 dias","Mais de 90 dias"))))</f>
        <v/>
      </c>
      <c r="O794">
        <f>IF(OR(M794="Pendente",M794="Em andamento"),IF(J794="","",TODAY()-J794),"")</f>
        <v/>
      </c>
      <c r="P794" t="n">
        <v>12901</v>
      </c>
      <c r="Q794" t="inlineStr">
        <is>
          <t>Frio Serviços (12901)</t>
        </is>
      </c>
      <c r="R794" t="inlineStr">
        <is>
          <t>PC-0041</t>
        </is>
      </c>
      <c r="S794" t="inlineStr">
        <is>
          <t>Motor agitador modelo 02</t>
        </is>
      </c>
      <c r="T794" t="n">
        <v>1</v>
      </c>
      <c r="U794" t="n">
        <v>164</v>
      </c>
      <c r="V794">
        <f>IF(J794="","",MONTH(J794))</f>
        <v/>
      </c>
      <c r="W794">
        <f>IF(J794="","",YEAR(J794))</f>
        <v/>
      </c>
      <c r="X794" t="inlineStr">
        <is>
          <t>CargoMax</t>
        </is>
      </c>
      <c r="Y794">
        <f>IFERROR(INDEX(Rastreio!$H$2:$H$200,MATCH(X794&amp;"|"&amp;U794,Rastreio!$A$2:$A$200,0)),"")</f>
        <v/>
      </c>
    </row>
    <row r="795">
      <c r="A795">
        <f>IFERROR(INDEX(STAs!$G$2:$G$61,MATCH(P795,STAs!$F$2:$F$61,0))&amp;"","")</f>
        <v/>
      </c>
      <c r="B795" t="n">
        <v>20008186</v>
      </c>
      <c r="C795" t="inlineStr">
        <is>
          <t>Não</t>
        </is>
      </c>
      <c r="D795" t="inlineStr">
        <is>
          <t>ES</t>
        </is>
      </c>
      <c r="E795" t="inlineStr">
        <is>
          <t>SUDESTE RJ e ES</t>
        </is>
      </c>
      <c r="F795" t="inlineStr">
        <is>
          <t>Cliente A - Refrigerador</t>
        </is>
      </c>
      <c r="G795" t="inlineStr">
        <is>
          <t>Refrigeradores</t>
        </is>
      </c>
      <c r="H795" s="10" t="n">
        <v>30</v>
      </c>
      <c r="I795" s="10">
        <f>IFERROR(T795*H795,0)</f>
        <v/>
      </c>
      <c r="J795" s="11" t="n">
        <v>46046</v>
      </c>
      <c r="K795" s="11" t="n">
        <v>46054</v>
      </c>
      <c r="L795" t="inlineStr">
        <is>
          <t>Ok. Devolvida</t>
        </is>
      </c>
      <c r="M795">
        <f>IF(L795="","",IFERROR(VLOOKUP(L795,mapGrupoStatus,2,0),"Outros"))</f>
        <v/>
      </c>
      <c r="N795">
        <f>IF(O795="","",IF(O795&lt;=30,"0-30 dias",IF(O795&lt;=60,"31-60 dias",IF(O795&lt;=90,"61-90 dias","Mais de 90 dias"))))</f>
        <v/>
      </c>
      <c r="O795">
        <f>IF(OR(M795="Pendente",M795="Em andamento"),IF(J795="","",TODAY()-J795),"")</f>
        <v/>
      </c>
      <c r="P795" t="n">
        <v>12555</v>
      </c>
      <c r="Q795" t="inlineStr">
        <is>
          <t>Cool Service Serviços (12555)</t>
        </is>
      </c>
      <c r="R795" t="inlineStr">
        <is>
          <t>PC-0017</t>
        </is>
      </c>
      <c r="S795" t="inlineStr">
        <is>
          <t>Filtro secador modelo 03</t>
        </is>
      </c>
      <c r="T795" t="n">
        <v>2</v>
      </c>
      <c r="U795" t="n">
        <v>111</v>
      </c>
      <c r="V795">
        <f>IF(J795="","",MONTH(J795))</f>
        <v/>
      </c>
      <c r="W795">
        <f>IF(J795="","",YEAR(J795))</f>
        <v/>
      </c>
      <c r="X795" t="inlineStr">
        <is>
          <t>TransNorte</t>
        </is>
      </c>
      <c r="Y795">
        <f>IFERROR(INDEX(Rastreio!$H$2:$H$200,MATCH(X795&amp;"|"&amp;U795,Rastreio!$A$2:$A$200,0)),"")</f>
        <v/>
      </c>
    </row>
    <row r="796">
      <c r="A796">
        <f>IFERROR(INDEX(STAs!$G$2:$G$61,MATCH(P796,STAs!$F$2:$F$61,0))&amp;"","")</f>
        <v/>
      </c>
      <c r="B796" t="n">
        <v>20012396</v>
      </c>
      <c r="C796" t="inlineStr">
        <is>
          <t>Sim</t>
        </is>
      </c>
      <c r="D796" t="inlineStr">
        <is>
          <t>SP</t>
        </is>
      </c>
      <c r="E796" t="inlineStr">
        <is>
          <t>SUDESTE SP</t>
        </is>
      </c>
      <c r="F796" t="inlineStr">
        <is>
          <t>Cliente B - Chopeira</t>
        </is>
      </c>
      <c r="G796" t="inlineStr">
        <is>
          <t>Misturadores</t>
        </is>
      </c>
      <c r="H796" s="10" t="n">
        <v>50</v>
      </c>
      <c r="I796" s="10">
        <f>IFERROR(T796*H796,0)</f>
        <v/>
      </c>
      <c r="J796" s="11" t="n">
        <v>46046</v>
      </c>
      <c r="K796" s="11" t="n"/>
      <c r="L796" t="inlineStr">
        <is>
          <t>Em transporte</t>
        </is>
      </c>
      <c r="M796">
        <f>IF(L796="","",IFERROR(VLOOKUP(L796,mapGrupoStatus,2,0),"Outros"))</f>
        <v/>
      </c>
      <c r="N796">
        <f>IF(O796="","",IF(O796&lt;=30,"0-30 dias",IF(O796&lt;=60,"31-60 dias",IF(O796&lt;=90,"61-90 dias","Mais de 90 dias"))))</f>
        <v/>
      </c>
      <c r="O796">
        <f>IF(OR(M796="Pendente",M796="Em andamento"),IF(J796="","",TODAY()-J796),"")</f>
        <v/>
      </c>
      <c r="P796" t="n">
        <v>10010</v>
      </c>
      <c r="Q796" t="inlineStr">
        <is>
          <t>Cool Service ME (10010)</t>
        </is>
      </c>
      <c r="R796" t="inlineStr">
        <is>
          <t>PC-0047</t>
        </is>
      </c>
      <c r="S796" t="inlineStr">
        <is>
          <t>Sensor de nível modelo 03</t>
        </is>
      </c>
      <c r="T796" t="n">
        <v>1</v>
      </c>
      <c r="U796" t="n">
        <v>124</v>
      </c>
      <c r="V796">
        <f>IF(J796="","",MONTH(J796))</f>
        <v/>
      </c>
      <c r="W796">
        <f>IF(J796="","",YEAR(J796))</f>
        <v/>
      </c>
      <c r="X796" t="inlineStr">
        <is>
          <t>CargoMax</t>
        </is>
      </c>
      <c r="Y796">
        <f>IFERROR(INDEX(Rastreio!$H$2:$H$200,MATCH(X796&amp;"|"&amp;U796,Rastreio!$A$2:$A$200,0)),"")</f>
        <v/>
      </c>
    </row>
    <row r="797">
      <c r="A797">
        <f>IFERROR(INDEX(STAs!$G$2:$G$61,MATCH(P797,STAs!$F$2:$F$61,0))&amp;"","")</f>
        <v/>
      </c>
      <c r="B797" t="n">
        <v>20015640</v>
      </c>
      <c r="C797" t="inlineStr">
        <is>
          <t>Não</t>
        </is>
      </c>
      <c r="D797" t="inlineStr">
        <is>
          <t>SP</t>
        </is>
      </c>
      <c r="E797" t="inlineStr">
        <is>
          <t>SUDESTE SP</t>
        </is>
      </c>
      <c r="F797" t="inlineStr">
        <is>
          <t>Cliente B - Chopeira</t>
        </is>
      </c>
      <c r="G797" t="inlineStr">
        <is>
          <t>Refrigeradores</t>
        </is>
      </c>
      <c r="H797" s="10" t="n">
        <v>40</v>
      </c>
      <c r="I797" s="10">
        <f>IFERROR(T797*H797,0)</f>
        <v/>
      </c>
      <c r="J797" s="11" t="n">
        <v>46046</v>
      </c>
      <c r="K797" s="11" t="n">
        <v>46067</v>
      </c>
      <c r="L797" t="inlineStr">
        <is>
          <t>Ok. Devolvida</t>
        </is>
      </c>
      <c r="M797">
        <f>IF(L797="","",IFERROR(VLOOKUP(L797,mapGrupoStatus,2,0),"Outros"))</f>
        <v/>
      </c>
      <c r="N797">
        <f>IF(O797="","",IF(O797&lt;=30,"0-30 dias",IF(O797&lt;=60,"31-60 dias",IF(O797&lt;=90,"61-90 dias","Mais de 90 dias"))))</f>
        <v/>
      </c>
      <c r="O797">
        <f>IF(OR(M797="Pendente",M797="Em andamento"),IF(J797="","",TODAY()-J797),"")</f>
        <v/>
      </c>
      <c r="P797" t="n">
        <v>10111</v>
      </c>
      <c r="Q797" t="inlineStr">
        <is>
          <t>Refrigel Manutenção (10111)</t>
        </is>
      </c>
      <c r="R797" t="inlineStr">
        <is>
          <t>PC-0004</t>
        </is>
      </c>
      <c r="S797" t="inlineStr">
        <is>
          <t>Termostato modelo 01</t>
        </is>
      </c>
      <c r="T797" t="n">
        <v>1</v>
      </c>
      <c r="U797" t="n">
        <v>130</v>
      </c>
      <c r="V797">
        <f>IF(J797="","",MONTH(J797))</f>
        <v/>
      </c>
      <c r="W797">
        <f>IF(J797="","",YEAR(J797))</f>
        <v/>
      </c>
      <c r="X797" t="inlineStr">
        <is>
          <t>ViaCargo</t>
        </is>
      </c>
      <c r="Y797">
        <f>IFERROR(INDEX(Rastreio!$H$2:$H$200,MATCH(X797&amp;"|"&amp;U797,Rastreio!$A$2:$A$200,0)),"")</f>
        <v/>
      </c>
    </row>
    <row r="798">
      <c r="A798">
        <f>IFERROR(INDEX(STAs!$G$2:$G$61,MATCH(P798,STAs!$F$2:$F$61,0))&amp;"","")</f>
        <v/>
      </c>
      <c r="B798" t="n">
        <v>20017357</v>
      </c>
      <c r="C798" t="inlineStr">
        <is>
          <t>Não</t>
        </is>
      </c>
      <c r="D798" t="inlineStr">
        <is>
          <t>GO</t>
        </is>
      </c>
      <c r="E798" t="inlineStr">
        <is>
          <t>CENTRO OESTE</t>
        </is>
      </c>
      <c r="F798" t="inlineStr">
        <is>
          <t>Cliente B - Chopeira</t>
        </is>
      </c>
      <c r="G798" t="inlineStr">
        <is>
          <t>Misturadores</t>
        </is>
      </c>
      <c r="H798" s="10" t="n">
        <v>200</v>
      </c>
      <c r="I798" s="10">
        <f>IFERROR(T798*H798,0)</f>
        <v/>
      </c>
      <c r="J798" s="11" t="n">
        <v>46046</v>
      </c>
      <c r="K798" s="11" t="n">
        <v>46052</v>
      </c>
      <c r="L798" t="inlineStr">
        <is>
          <t>Ok. Devolvida</t>
        </is>
      </c>
      <c r="M798">
        <f>IF(L798="","",IFERROR(VLOOKUP(L798,mapGrupoStatus,2,0),"Outros"))</f>
        <v/>
      </c>
      <c r="N798">
        <f>IF(O798="","",IF(O798&lt;=30,"0-30 dias",IF(O798&lt;=60,"31-60 dias",IF(O798&lt;=90,"61-90 dias","Mais de 90 dias"))))</f>
        <v/>
      </c>
      <c r="O798">
        <f>IF(OR(M798="Pendente",M798="Em andamento"),IF(J798="","",TODAY()-J798),"")</f>
        <v/>
      </c>
      <c r="P798" t="n">
        <v>11293</v>
      </c>
      <c r="Q798" t="inlineStr">
        <is>
          <t>Assistência Técnica Ltda (11293)</t>
        </is>
      </c>
      <c r="R798" t="inlineStr">
        <is>
          <t>PC-0040</t>
        </is>
      </c>
      <c r="S798" t="inlineStr">
        <is>
          <t>Motor agitador modelo 01</t>
        </is>
      </c>
      <c r="T798" t="n">
        <v>1</v>
      </c>
      <c r="U798" t="n">
        <v>131</v>
      </c>
      <c r="V798">
        <f>IF(J798="","",MONTH(J798))</f>
        <v/>
      </c>
      <c r="W798">
        <f>IF(J798="","",YEAR(J798))</f>
        <v/>
      </c>
      <c r="X798" t="inlineStr">
        <is>
          <t>CargoMax</t>
        </is>
      </c>
      <c r="Y798">
        <f>IFERROR(INDEX(Rastreio!$H$2:$H$200,MATCH(X798&amp;"|"&amp;U798,Rastreio!$A$2:$A$200,0)),"")</f>
        <v/>
      </c>
    </row>
    <row r="799">
      <c r="A799">
        <f>IFERROR(INDEX(STAs!$G$2:$G$61,MATCH(P799,STAs!$F$2:$F$61,0))&amp;"","")</f>
        <v/>
      </c>
      <c r="B799" t="n">
        <v>20022429</v>
      </c>
      <c r="C799" t="inlineStr">
        <is>
          <t>Não</t>
        </is>
      </c>
      <c r="D799" t="inlineStr">
        <is>
          <t>MG</t>
        </is>
      </c>
      <c r="E799" t="inlineStr">
        <is>
          <t>SUDESTE MG</t>
        </is>
      </c>
      <c r="F799" t="inlineStr">
        <is>
          <t>Cliente A - Refrigerador</t>
        </is>
      </c>
      <c r="G799" t="inlineStr">
        <is>
          <t>Refrigeradores</t>
        </is>
      </c>
      <c r="H799" s="10" t="n">
        <v>35</v>
      </c>
      <c r="I799" s="10">
        <f>IFERROR(T799*H799,0)</f>
        <v/>
      </c>
      <c r="J799" s="11" t="n">
        <v>46046</v>
      </c>
      <c r="K799" s="11" t="n">
        <v>46089</v>
      </c>
      <c r="L799" t="inlineStr">
        <is>
          <t>Ok. Devolvida</t>
        </is>
      </c>
      <c r="M799">
        <f>IF(L799="","",IFERROR(VLOOKUP(L799,mapGrupoStatus,2,0),"Outros"))</f>
        <v/>
      </c>
      <c r="N799">
        <f>IF(O799="","",IF(O799&lt;=30,"0-30 dias",IF(O799&lt;=60,"31-60 dias",IF(O799&lt;=90,"61-90 dias","Mais de 90 dias"))))</f>
        <v/>
      </c>
      <c r="O799">
        <f>IF(OR(M799="Pendente",M799="Em andamento"),IF(J799="","",TODAY()-J799),"")</f>
        <v/>
      </c>
      <c r="P799" t="n">
        <v>11487</v>
      </c>
      <c r="Q799" t="inlineStr">
        <is>
          <t>Assistência Técnica Manutenção (11487)</t>
        </is>
      </c>
      <c r="R799" t="inlineStr">
        <is>
          <t>PC-0020</t>
        </is>
      </c>
      <c r="S799" t="inlineStr">
        <is>
          <t>Gaxeta da porta modelo 03</t>
        </is>
      </c>
      <c r="T799" t="n">
        <v>1</v>
      </c>
      <c r="U799" t="n">
        <v>137</v>
      </c>
      <c r="V799">
        <f>IF(J799="","",MONTH(J799))</f>
        <v/>
      </c>
      <c r="W799">
        <f>IF(J799="","",YEAR(J799))</f>
        <v/>
      </c>
      <c r="X799" t="inlineStr">
        <is>
          <t>RotaSul</t>
        </is>
      </c>
      <c r="Y799">
        <f>IFERROR(INDEX(Rastreio!$H$2:$H$200,MATCH(X799&amp;"|"&amp;U799,Rastreio!$A$2:$A$200,0)),"")</f>
        <v/>
      </c>
    </row>
    <row r="800">
      <c r="A800">
        <f>IFERROR(INDEX(STAs!$G$2:$G$61,MATCH(P800,STAs!$F$2:$F$61,0))&amp;"","")</f>
        <v/>
      </c>
      <c r="B800" t="n">
        <v>20009447</v>
      </c>
      <c r="C800" t="inlineStr">
        <is>
          <t>Não</t>
        </is>
      </c>
      <c r="D800" t="inlineStr">
        <is>
          <t>SC</t>
        </is>
      </c>
      <c r="E800" t="inlineStr">
        <is>
          <t>SUL</t>
        </is>
      </c>
      <c r="F800" t="inlineStr">
        <is>
          <t>Cliente B - Chopeira</t>
        </is>
      </c>
      <c r="G800" t="inlineStr">
        <is>
          <t>Chopeiras</t>
        </is>
      </c>
      <c r="H800" s="10" t="n">
        <v>100</v>
      </c>
      <c r="I800" s="10">
        <f>IFERROR(T800*H800,0)</f>
        <v/>
      </c>
      <c r="J800" s="11" t="n">
        <v>46047</v>
      </c>
      <c r="K800" s="11" t="n"/>
      <c r="L800" t="inlineStr">
        <is>
          <t>NF Vencida</t>
        </is>
      </c>
      <c r="M800">
        <f>IF(L800="","",IFERROR(VLOOKUP(L800,mapGrupoStatus,2,0),"Outros"))</f>
        <v/>
      </c>
      <c r="N800">
        <f>IF(O800="","",IF(O800&lt;=30,"0-30 dias",IF(O800&lt;=60,"31-60 dias",IF(O800&lt;=90,"61-90 dias","Mais de 90 dias"))))</f>
        <v/>
      </c>
      <c r="O800">
        <f>IF(OR(M800="Pendente",M800="Em andamento"),IF(J800="","",TODAY()-J800),"")</f>
        <v/>
      </c>
      <c r="P800" t="n">
        <v>12138</v>
      </c>
      <c r="Q800" t="inlineStr">
        <is>
          <t>Refrigeração Serviços (12138)</t>
        </is>
      </c>
      <c r="R800" t="inlineStr">
        <is>
          <t>PC-0027</t>
        </is>
      </c>
      <c r="S800" t="inlineStr">
        <is>
          <t>Torneira de chopp modelo 02</t>
        </is>
      </c>
      <c r="T800" t="n">
        <v>2</v>
      </c>
      <c r="U800" t="inlineStr"/>
      <c r="V800">
        <f>IF(J800="","",MONTH(J800))</f>
        <v/>
      </c>
      <c r="W800">
        <f>IF(J800="","",YEAR(J800))</f>
        <v/>
      </c>
      <c r="X800" t="inlineStr"/>
      <c r="Y800">
        <f>IFERROR(INDEX(Rastreio!$H$2:$H$200,MATCH(X800&amp;"|"&amp;U800,Rastreio!$A$2:$A$200,0)),"")</f>
        <v/>
      </c>
    </row>
    <row r="801">
      <c r="A801">
        <f>IFERROR(INDEX(STAs!$G$2:$G$61,MATCH(P801,STAs!$F$2:$F$61,0))&amp;"","")</f>
        <v/>
      </c>
      <c r="B801" t="n">
        <v>20019472</v>
      </c>
      <c r="C801" t="inlineStr">
        <is>
          <t>Não</t>
        </is>
      </c>
      <c r="D801" t="inlineStr">
        <is>
          <t>RR</t>
        </is>
      </c>
      <c r="E801" t="inlineStr">
        <is>
          <t>NORTE</t>
        </is>
      </c>
      <c r="F801" t="inlineStr">
        <is>
          <t>Cliente B - Chopeira</t>
        </is>
      </c>
      <c r="G801" t="inlineStr">
        <is>
          <t>Chopeiras</t>
        </is>
      </c>
      <c r="H801" s="10" t="n">
        <v>205</v>
      </c>
      <c r="I801" s="10">
        <f>IFERROR(T801*H801,0)</f>
        <v/>
      </c>
      <c r="J801" s="11" t="n">
        <v>46047</v>
      </c>
      <c r="K801" s="11" t="n"/>
      <c r="L801" t="inlineStr">
        <is>
          <t>Não Devolve-Norte</t>
        </is>
      </c>
      <c r="M801">
        <f>IF(L801="","",IFERROR(VLOOKUP(L801,mapGrupoStatus,2,0),"Outros"))</f>
        <v/>
      </c>
      <c r="N801">
        <f>IF(O801="","",IF(O801&lt;=30,"0-30 dias",IF(O801&lt;=60,"31-60 dias",IF(O801&lt;=90,"61-90 dias","Mais de 90 dias"))))</f>
        <v/>
      </c>
      <c r="O801">
        <f>IF(OR(M801="Pendente",M801="Em andamento"),IF(J801="","",TODAY()-J801),"")</f>
        <v/>
      </c>
      <c r="P801" t="n">
        <v>12422</v>
      </c>
      <c r="Q801" t="inlineStr">
        <is>
          <t>Assistência Técnica Refrigeração (12422)</t>
        </is>
      </c>
      <c r="R801" t="inlineStr">
        <is>
          <t>PC-0031</t>
        </is>
      </c>
      <c r="S801" t="inlineStr">
        <is>
          <t>Serpentina modelo 03</t>
        </is>
      </c>
      <c r="T801" t="n">
        <v>1</v>
      </c>
      <c r="U801" t="inlineStr"/>
      <c r="V801">
        <f>IF(J801="","",MONTH(J801))</f>
        <v/>
      </c>
      <c r="W801">
        <f>IF(J801="","",YEAR(J801))</f>
        <v/>
      </c>
      <c r="X801" t="inlineStr"/>
      <c r="Y801">
        <f>IFERROR(INDEX(Rastreio!$H$2:$H$200,MATCH(X801&amp;"|"&amp;U801,Rastreio!$A$2:$A$200,0)),"")</f>
        <v/>
      </c>
    </row>
    <row r="802">
      <c r="A802">
        <f>IFERROR(INDEX(STAs!$G$2:$G$61,MATCH(P802,STAs!$F$2:$F$61,0))&amp;"","")</f>
        <v/>
      </c>
      <c r="B802" t="n">
        <v>20020188</v>
      </c>
      <c r="C802" t="inlineStr">
        <is>
          <t>Não</t>
        </is>
      </c>
      <c r="D802" t="inlineStr">
        <is>
          <t>GO</t>
        </is>
      </c>
      <c r="E802" t="inlineStr">
        <is>
          <t>CENTRO OESTE</t>
        </is>
      </c>
      <c r="F802" t="inlineStr">
        <is>
          <t>Cliente B - Chopeira</t>
        </is>
      </c>
      <c r="G802" t="inlineStr">
        <is>
          <t>Chopeiras</t>
        </is>
      </c>
      <c r="H802" s="10" t="n">
        <v>85</v>
      </c>
      <c r="I802" s="10">
        <f>IFERROR(T802*H802,0)</f>
        <v/>
      </c>
      <c r="J802" s="11" t="n">
        <v>46047</v>
      </c>
      <c r="K802" s="11" t="n">
        <v>46068</v>
      </c>
      <c r="L802" t="inlineStr">
        <is>
          <t>Ok. Devolvida</t>
        </is>
      </c>
      <c r="M802">
        <f>IF(L802="","",IFERROR(VLOOKUP(L802,mapGrupoStatus,2,0),"Outros"))</f>
        <v/>
      </c>
      <c r="N802">
        <f>IF(O802="","",IF(O802&lt;=30,"0-30 dias",IF(O802&lt;=60,"31-60 dias",IF(O802&lt;=90,"61-90 dias","Mais de 90 dias"))))</f>
        <v/>
      </c>
      <c r="O802">
        <f>IF(OR(M802="Pendente",M802="Em andamento"),IF(J802="","",TODAY()-J802),"")</f>
        <v/>
      </c>
      <c r="P802" t="n">
        <v>10317</v>
      </c>
      <c r="Q802" t="inlineStr">
        <is>
          <t>Termotec Manutenção (10317)</t>
        </is>
      </c>
      <c r="R802" t="inlineStr">
        <is>
          <t>PC-0035</t>
        </is>
      </c>
      <c r="S802" t="inlineStr">
        <is>
          <t>Válvula extratora modelo 01</t>
        </is>
      </c>
      <c r="T802" t="n">
        <v>1</v>
      </c>
      <c r="U802" t="n">
        <v>134</v>
      </c>
      <c r="V802">
        <f>IF(J802="","",MONTH(J802))</f>
        <v/>
      </c>
      <c r="W802">
        <f>IF(J802="","",YEAR(J802))</f>
        <v/>
      </c>
      <c r="X802" t="inlineStr">
        <is>
          <t>LogExpress</t>
        </is>
      </c>
      <c r="Y802">
        <f>IFERROR(INDEX(Rastreio!$H$2:$H$200,MATCH(X802&amp;"|"&amp;U802,Rastreio!$A$2:$A$200,0)),"")</f>
        <v/>
      </c>
    </row>
    <row r="803">
      <c r="A803">
        <f>IFERROR(INDEX(STAs!$G$2:$G$61,MATCH(P803,STAs!$F$2:$F$61,0))&amp;"","")</f>
        <v/>
      </c>
      <c r="B803" t="n">
        <v>20023814</v>
      </c>
      <c r="C803" t="inlineStr">
        <is>
          <t>Não</t>
        </is>
      </c>
      <c r="D803" t="inlineStr">
        <is>
          <t>RR</t>
        </is>
      </c>
      <c r="E803" t="inlineStr">
        <is>
          <t>NORTE</t>
        </is>
      </c>
      <c r="F803" t="inlineStr">
        <is>
          <t>Cliente C - Misturador</t>
        </is>
      </c>
      <c r="G803" t="inlineStr">
        <is>
          <t>Chopeiras</t>
        </is>
      </c>
      <c r="H803" s="10" t="n">
        <v>215</v>
      </c>
      <c r="I803" s="10">
        <f>IFERROR(T803*H803,0)</f>
        <v/>
      </c>
      <c r="J803" s="11" t="n">
        <v>46047</v>
      </c>
      <c r="K803" s="11" t="n"/>
      <c r="L803" t="inlineStr">
        <is>
          <t>Não Devolve-Norte</t>
        </is>
      </c>
      <c r="M803">
        <f>IF(L803="","",IFERROR(VLOOKUP(L803,mapGrupoStatus,2,0),"Outros"))</f>
        <v/>
      </c>
      <c r="N803">
        <f>IF(O803="","",IF(O803&lt;=30,"0-30 dias",IF(O803&lt;=60,"31-60 dias",IF(O803&lt;=90,"61-90 dias","Mais de 90 dias"))))</f>
        <v/>
      </c>
      <c r="O803">
        <f>IF(OR(M803="Pendente",M803="Em andamento"),IF(J803="","",TODAY()-J803),"")</f>
        <v/>
      </c>
      <c r="P803" t="n">
        <v>12422</v>
      </c>
      <c r="Q803" t="inlineStr">
        <is>
          <t>Assistência Técnica Refrigeração (12422)</t>
        </is>
      </c>
      <c r="R803" t="inlineStr">
        <is>
          <t>PC-0030</t>
        </is>
      </c>
      <c r="S803" t="inlineStr">
        <is>
          <t>Serpentina modelo 02</t>
        </is>
      </c>
      <c r="T803" t="n">
        <v>2</v>
      </c>
      <c r="U803" t="inlineStr"/>
      <c r="V803">
        <f>IF(J803="","",MONTH(J803))</f>
        <v/>
      </c>
      <c r="W803">
        <f>IF(J803="","",YEAR(J803))</f>
        <v/>
      </c>
      <c r="X803" t="inlineStr"/>
      <c r="Y803">
        <f>IFERROR(INDEX(Rastreio!$H$2:$H$200,MATCH(X803&amp;"|"&amp;U803,Rastreio!$A$2:$A$200,0)),"")</f>
        <v/>
      </c>
    </row>
    <row r="804">
      <c r="A804">
        <f>IFERROR(INDEX(STAs!$G$2:$G$61,MATCH(P804,STAs!$F$2:$F$61,0))&amp;"","")</f>
        <v/>
      </c>
      <c r="B804" t="n">
        <v>20024332</v>
      </c>
      <c r="C804" t="inlineStr">
        <is>
          <t>Não</t>
        </is>
      </c>
      <c r="D804" t="inlineStr">
        <is>
          <t>BA</t>
        </is>
      </c>
      <c r="E804" t="inlineStr">
        <is>
          <t>NORDESTE</t>
        </is>
      </c>
      <c r="F804" t="inlineStr">
        <is>
          <t>Cliente B - Chopeira</t>
        </is>
      </c>
      <c r="G804" t="inlineStr">
        <is>
          <t>Refrigeradores</t>
        </is>
      </c>
      <c r="H804" s="10" t="n">
        <v>155</v>
      </c>
      <c r="I804" s="10">
        <f>IFERROR(T804*H804,0)</f>
        <v/>
      </c>
      <c r="J804" s="11" t="n">
        <v>46047</v>
      </c>
      <c r="K804" s="11" t="n">
        <v>46090</v>
      </c>
      <c r="L804" t="inlineStr">
        <is>
          <t>Ok. Devolvida</t>
        </is>
      </c>
      <c r="M804">
        <f>IF(L804="","",IFERROR(VLOOKUP(L804,mapGrupoStatus,2,0),"Outros"))</f>
        <v/>
      </c>
      <c r="N804">
        <f>IF(O804="","",IF(O804&lt;=30,"0-30 dias",IF(O804&lt;=60,"31-60 dias",IF(O804&lt;=90,"61-90 dias","Mais de 90 dias"))))</f>
        <v/>
      </c>
      <c r="O804">
        <f>IF(OR(M804="Pendente",M804="Em andamento"),IF(J804="","",TODAY()-J804),"")</f>
        <v/>
      </c>
      <c r="P804" t="n">
        <v>12194</v>
      </c>
      <c r="Q804" t="inlineStr">
        <is>
          <t>Polar &amp; Cia (12194)</t>
        </is>
      </c>
      <c r="R804" t="inlineStr">
        <is>
          <t>PC-0021</t>
        </is>
      </c>
      <c r="S804" t="inlineStr">
        <is>
          <t>Controlador digital modelo 01</t>
        </is>
      </c>
      <c r="T804" t="n">
        <v>2</v>
      </c>
      <c r="U804" t="n">
        <v>144</v>
      </c>
      <c r="V804">
        <f>IF(J804="","",MONTH(J804))</f>
        <v/>
      </c>
      <c r="W804">
        <f>IF(J804="","",YEAR(J804))</f>
        <v/>
      </c>
      <c r="X804" t="inlineStr">
        <is>
          <t>LogExpress</t>
        </is>
      </c>
      <c r="Y804">
        <f>IFERROR(INDEX(Rastreio!$H$2:$H$200,MATCH(X804&amp;"|"&amp;U804,Rastreio!$A$2:$A$200,0)),"")</f>
        <v/>
      </c>
    </row>
    <row r="805">
      <c r="A805">
        <f>IFERROR(INDEX(STAs!$G$2:$G$61,MATCH(P805,STAs!$F$2:$F$61,0))&amp;"","")</f>
        <v/>
      </c>
      <c r="B805" t="n">
        <v>20025041</v>
      </c>
      <c r="C805" t="inlineStr">
        <is>
          <t>Não</t>
        </is>
      </c>
      <c r="D805" t="inlineStr">
        <is>
          <t>RJ</t>
        </is>
      </c>
      <c r="E805" t="inlineStr">
        <is>
          <t>SUDESTE RJ e ES</t>
        </is>
      </c>
      <c r="F805" t="inlineStr">
        <is>
          <t>Cliente A - Refrigerador</t>
        </is>
      </c>
      <c r="G805" t="inlineStr">
        <is>
          <t>Misturadores</t>
        </is>
      </c>
      <c r="H805" s="10" t="n">
        <v>40</v>
      </c>
      <c r="I805" s="10">
        <f>IFERROR(T805*H805,0)</f>
        <v/>
      </c>
      <c r="J805" s="11" t="n">
        <v>46047</v>
      </c>
      <c r="K805" s="11" t="n">
        <v>46055</v>
      </c>
      <c r="L805" t="inlineStr">
        <is>
          <t>Ok. Devolvida</t>
        </is>
      </c>
      <c r="M805">
        <f>IF(L805="","",IFERROR(VLOOKUP(L805,mapGrupoStatus,2,0),"Outros"))</f>
        <v/>
      </c>
      <c r="N805">
        <f>IF(O805="","",IF(O805&lt;=30,"0-30 dias",IF(O805&lt;=60,"31-60 dias",IF(O805&lt;=90,"61-90 dias","Mais de 90 dias"))))</f>
        <v/>
      </c>
      <c r="O805">
        <f>IF(OR(M805="Pendente",M805="Em andamento"),IF(J805="","",TODAY()-J805),"")</f>
        <v/>
      </c>
      <c r="P805" t="n">
        <v>12336</v>
      </c>
      <c r="Q805" t="inlineStr">
        <is>
          <t>Termotec ME (12336)</t>
        </is>
      </c>
      <c r="R805" t="inlineStr">
        <is>
          <t>PC-0042</t>
        </is>
      </c>
      <c r="S805" t="inlineStr">
        <is>
          <t>Bico dosador modelo 01</t>
        </is>
      </c>
      <c r="T805" t="n">
        <v>1</v>
      </c>
      <c r="U805" t="n">
        <v>138</v>
      </c>
      <c r="V805">
        <f>IF(J805="","",MONTH(J805))</f>
        <v/>
      </c>
      <c r="W805">
        <f>IF(J805="","",YEAR(J805))</f>
        <v/>
      </c>
      <c r="X805" t="inlineStr">
        <is>
          <t>EntregaJá</t>
        </is>
      </c>
      <c r="Y805">
        <f>IFERROR(INDEX(Rastreio!$H$2:$H$200,MATCH(X805&amp;"|"&amp;U805,Rastreio!$A$2:$A$200,0)),"")</f>
        <v/>
      </c>
    </row>
    <row r="806">
      <c r="A806">
        <f>IFERROR(INDEX(STAs!$G$2:$G$61,MATCH(P806,STAs!$F$2:$F$61,0))&amp;"","")</f>
        <v/>
      </c>
      <c r="B806" t="n">
        <v>20035359</v>
      </c>
      <c r="C806" t="inlineStr">
        <is>
          <t>Não</t>
        </is>
      </c>
      <c r="D806" t="inlineStr">
        <is>
          <t>PE</t>
        </is>
      </c>
      <c r="E806" t="inlineStr">
        <is>
          <t>NORDESTE</t>
        </is>
      </c>
      <c r="F806" t="inlineStr">
        <is>
          <t>Cliente A - Refrigerador</t>
        </is>
      </c>
      <c r="G806" t="inlineStr">
        <is>
          <t>Refrigeradores</t>
        </is>
      </c>
      <c r="H806" s="10" t="n">
        <v>45</v>
      </c>
      <c r="I806" s="10">
        <f>IFERROR(T806*H806,0)</f>
        <v/>
      </c>
      <c r="J806" s="11" t="n">
        <v>46047</v>
      </c>
      <c r="K806" s="11" t="n">
        <v>46088</v>
      </c>
      <c r="L806" t="inlineStr">
        <is>
          <t>Ok. Devolvida</t>
        </is>
      </c>
      <c r="M806">
        <f>IF(L806="","",IFERROR(VLOOKUP(L806,mapGrupoStatus,2,0),"Outros"))</f>
        <v/>
      </c>
      <c r="N806">
        <f>IF(O806="","",IF(O806&lt;=30,"0-30 dias",IF(O806&lt;=60,"31-60 dias",IF(O806&lt;=90,"61-90 dias","Mais de 90 dias"))))</f>
        <v/>
      </c>
      <c r="O806">
        <f>IF(OR(M806="Pendente",M806="Em andamento"),IF(J806="","",TODAY()-J806),"")</f>
        <v/>
      </c>
      <c r="P806" t="n">
        <v>11352</v>
      </c>
      <c r="Q806" t="inlineStr">
        <is>
          <t>Frio Express (11352)</t>
        </is>
      </c>
      <c r="R806" t="inlineStr">
        <is>
          <t>PC-0019</t>
        </is>
      </c>
      <c r="S806" t="inlineStr">
        <is>
          <t>Gaxeta da porta modelo 02</t>
        </is>
      </c>
      <c r="T806" t="n">
        <v>1</v>
      </c>
      <c r="U806" t="n">
        <v>156</v>
      </c>
      <c r="V806">
        <f>IF(J806="","",MONTH(J806))</f>
        <v/>
      </c>
      <c r="W806">
        <f>IF(J806="","",YEAR(J806))</f>
        <v/>
      </c>
      <c r="X806" t="inlineStr">
        <is>
          <t>ViaCargo</t>
        </is>
      </c>
      <c r="Y806">
        <f>IFERROR(INDEX(Rastreio!$H$2:$H$200,MATCH(X806&amp;"|"&amp;U806,Rastreio!$A$2:$A$200,0)),"")</f>
        <v/>
      </c>
    </row>
    <row r="807">
      <c r="A807">
        <f>IFERROR(INDEX(STAs!$G$2:$G$61,MATCH(P807,STAs!$F$2:$F$61,0))&amp;"","")</f>
        <v/>
      </c>
      <c r="B807" t="n">
        <v>20001806</v>
      </c>
      <c r="C807" t="inlineStr">
        <is>
          <t>Não</t>
        </is>
      </c>
      <c r="D807" t="inlineStr">
        <is>
          <t>ES</t>
        </is>
      </c>
      <c r="E807" t="inlineStr">
        <is>
          <t>SUDESTE RJ e ES</t>
        </is>
      </c>
      <c r="F807" t="inlineStr">
        <is>
          <t>Cliente C - Misturador</t>
        </is>
      </c>
      <c r="G807" t="inlineStr">
        <is>
          <t>Misturadores</t>
        </is>
      </c>
      <c r="H807" s="10" t="n">
        <v>50</v>
      </c>
      <c r="I807" s="10">
        <f>IFERROR(T807*H807,0)</f>
        <v/>
      </c>
      <c r="J807" s="11" t="n">
        <v>46048</v>
      </c>
      <c r="K807" s="11" t="n"/>
      <c r="L807" t="inlineStr">
        <is>
          <t>Em transporte</t>
        </is>
      </c>
      <c r="M807">
        <f>IF(L807="","",IFERROR(VLOOKUP(L807,mapGrupoStatus,2,0),"Outros"))</f>
        <v/>
      </c>
      <c r="N807">
        <f>IF(O807="","",IF(O807&lt;=30,"0-30 dias",IF(O807&lt;=60,"31-60 dias",IF(O807&lt;=90,"61-90 dias","Mais de 90 dias"))))</f>
        <v/>
      </c>
      <c r="O807">
        <f>IF(OR(M807="Pendente",M807="Em andamento"),IF(J807="","",TODAY()-J807),"")</f>
        <v/>
      </c>
      <c r="P807" t="n">
        <v>11396</v>
      </c>
      <c r="Q807" t="inlineStr">
        <is>
          <t>Frio Manutenção (11396)</t>
        </is>
      </c>
      <c r="R807" t="inlineStr">
        <is>
          <t>PC-0047</t>
        </is>
      </c>
      <c r="S807" t="inlineStr">
        <is>
          <t>Sensor de nível modelo 03</t>
        </is>
      </c>
      <c r="T807" t="n">
        <v>1</v>
      </c>
      <c r="U807" t="n">
        <v>104</v>
      </c>
      <c r="V807">
        <f>IF(J807="","",MONTH(J807))</f>
        <v/>
      </c>
      <c r="W807">
        <f>IF(J807="","",YEAR(J807))</f>
        <v/>
      </c>
      <c r="X807" t="inlineStr">
        <is>
          <t>ViaCargo</t>
        </is>
      </c>
      <c r="Y807">
        <f>IFERROR(INDEX(Rastreio!$H$2:$H$200,MATCH(X807&amp;"|"&amp;U807,Rastreio!$A$2:$A$200,0)),"")</f>
        <v/>
      </c>
    </row>
    <row r="808">
      <c r="A808">
        <f>IFERROR(INDEX(STAs!$G$2:$G$61,MATCH(P808,STAs!$F$2:$F$61,0))&amp;"","")</f>
        <v/>
      </c>
      <c r="B808" t="n">
        <v>20012823</v>
      </c>
      <c r="C808" t="inlineStr">
        <is>
          <t>Sim</t>
        </is>
      </c>
      <c r="D808" t="inlineStr">
        <is>
          <t>PR</t>
        </is>
      </c>
      <c r="E808" t="inlineStr">
        <is>
          <t>SUL</t>
        </is>
      </c>
      <c r="F808" t="inlineStr">
        <is>
          <t>Cliente B - Chopeira</t>
        </is>
      </c>
      <c r="G808" t="inlineStr">
        <is>
          <t>Misturadores</t>
        </is>
      </c>
      <c r="H808" s="10" t="n">
        <v>200</v>
      </c>
      <c r="I808" s="10">
        <f>IFERROR(T808*H808,0)</f>
        <v/>
      </c>
      <c r="J808" s="11" t="n">
        <v>46048</v>
      </c>
      <c r="K808" s="11" t="n">
        <v>46097</v>
      </c>
      <c r="L808" t="inlineStr">
        <is>
          <t>Ok. Devolvida</t>
        </is>
      </c>
      <c r="M808">
        <f>IF(L808="","",IFERROR(VLOOKUP(L808,mapGrupoStatus,2,0),"Outros"))</f>
        <v/>
      </c>
      <c r="N808">
        <f>IF(O808="","",IF(O808&lt;=30,"0-30 dias",IF(O808&lt;=60,"31-60 dias",IF(O808&lt;=90,"61-90 dias","Mais de 90 dias"))))</f>
        <v/>
      </c>
      <c r="O808">
        <f>IF(OR(M808="Pendente",M808="Em andamento"),IF(J808="","",TODAY()-J808),"")</f>
        <v/>
      </c>
      <c r="P808" t="n">
        <v>10753</v>
      </c>
      <c r="Q808" t="inlineStr">
        <is>
          <t>Refrigel &amp; Cia (10753)</t>
        </is>
      </c>
      <c r="R808" t="inlineStr">
        <is>
          <t>PC-0040</t>
        </is>
      </c>
      <c r="S808" t="inlineStr">
        <is>
          <t>Motor agitador modelo 01</t>
        </is>
      </c>
      <c r="T808" t="n">
        <v>1</v>
      </c>
      <c r="U808" t="n">
        <v>122</v>
      </c>
      <c r="V808">
        <f>IF(J808="","",MONTH(J808))</f>
        <v/>
      </c>
      <c r="W808">
        <f>IF(J808="","",YEAR(J808))</f>
        <v/>
      </c>
      <c r="X808" t="inlineStr">
        <is>
          <t>LogExpress</t>
        </is>
      </c>
      <c r="Y808">
        <f>IFERROR(INDEX(Rastreio!$H$2:$H$200,MATCH(X808&amp;"|"&amp;U808,Rastreio!$A$2:$A$200,0)),"")</f>
        <v/>
      </c>
    </row>
    <row r="809">
      <c r="A809">
        <f>IFERROR(INDEX(STAs!$G$2:$G$61,MATCH(P809,STAs!$F$2:$F$61,0))&amp;"","")</f>
        <v/>
      </c>
      <c r="B809" t="n">
        <v>20014860</v>
      </c>
      <c r="C809" t="inlineStr">
        <is>
          <t>Não</t>
        </is>
      </c>
      <c r="D809" t="inlineStr">
        <is>
          <t>MG</t>
        </is>
      </c>
      <c r="E809" t="inlineStr">
        <is>
          <t>SUDESTE MG</t>
        </is>
      </c>
      <c r="F809" t="inlineStr">
        <is>
          <t>Cliente B - Chopeira</t>
        </is>
      </c>
      <c r="G809" t="inlineStr">
        <is>
          <t>Chopeiras</t>
        </is>
      </c>
      <c r="H809" s="10" t="n">
        <v>85</v>
      </c>
      <c r="I809" s="10">
        <f>IFERROR(T809*H809,0)</f>
        <v/>
      </c>
      <c r="J809" s="11" t="n">
        <v>46048</v>
      </c>
      <c r="K809" s="11" t="n"/>
      <c r="L809" t="inlineStr">
        <is>
          <t>Debitar do STA</t>
        </is>
      </c>
      <c r="M809">
        <f>IF(L809="","",IFERROR(VLOOKUP(L809,mapGrupoStatus,2,0),"Outros"))</f>
        <v/>
      </c>
      <c r="N809">
        <f>IF(O809="","",IF(O809&lt;=30,"0-30 dias",IF(O809&lt;=60,"31-60 dias",IF(O809&lt;=90,"61-90 dias","Mais de 90 dias"))))</f>
        <v/>
      </c>
      <c r="O809">
        <f>IF(OR(M809="Pendente",M809="Em andamento"),IF(J809="","",TODAY()-J809),"")</f>
        <v/>
      </c>
      <c r="P809" t="n">
        <v>12689</v>
      </c>
      <c r="Q809" t="inlineStr">
        <is>
          <t>Norte Frio Manutenção (12689)</t>
        </is>
      </c>
      <c r="R809" t="inlineStr">
        <is>
          <t>PC-0028</t>
        </is>
      </c>
      <c r="S809" t="inlineStr">
        <is>
          <t>Torneira de chopp modelo 03</t>
        </is>
      </c>
      <c r="T809" t="n">
        <v>1</v>
      </c>
      <c r="U809" t="inlineStr"/>
      <c r="V809">
        <f>IF(J809="","",MONTH(J809))</f>
        <v/>
      </c>
      <c r="W809">
        <f>IF(J809="","",YEAR(J809))</f>
        <v/>
      </c>
      <c r="X809" t="inlineStr"/>
      <c r="Y809">
        <f>IFERROR(INDEX(Rastreio!$H$2:$H$200,MATCH(X809&amp;"|"&amp;U809,Rastreio!$A$2:$A$200,0)),"")</f>
        <v/>
      </c>
    </row>
    <row r="810">
      <c r="A810">
        <f>IFERROR(INDEX(STAs!$G$2:$G$61,MATCH(P810,STAs!$F$2:$F$61,0))&amp;"","")</f>
        <v/>
      </c>
      <c r="B810" t="n">
        <v>20021767</v>
      </c>
      <c r="C810" t="inlineStr">
        <is>
          <t>Não</t>
        </is>
      </c>
      <c r="D810" t="inlineStr">
        <is>
          <t>SP</t>
        </is>
      </c>
      <c r="E810" t="inlineStr">
        <is>
          <t>SUDESTE SP</t>
        </is>
      </c>
      <c r="F810" t="inlineStr">
        <is>
          <t>Cliente C - Misturador</t>
        </is>
      </c>
      <c r="G810" t="inlineStr">
        <is>
          <t>Misturadores</t>
        </is>
      </c>
      <c r="H810" s="10" t="n">
        <v>60</v>
      </c>
      <c r="I810" s="10">
        <f>IFERROR(T810*H810,0)</f>
        <v/>
      </c>
      <c r="J810" s="11" t="n">
        <v>46048</v>
      </c>
      <c r="K810" s="11" t="n"/>
      <c r="L810" t="inlineStr">
        <is>
          <t>Em andamento</t>
        </is>
      </c>
      <c r="M810">
        <f>IF(L810="","",IFERROR(VLOOKUP(L810,mapGrupoStatus,2,0),"Outros"))</f>
        <v/>
      </c>
      <c r="N810">
        <f>IF(O810="","",IF(O810&lt;=30,"0-30 dias",IF(O810&lt;=60,"31-60 dias",IF(O810&lt;=90,"61-90 dias","Mais de 90 dias"))))</f>
        <v/>
      </c>
      <c r="O810">
        <f>IF(OR(M810="Pendente",M810="Em andamento"),IF(J810="","",TODAY()-J810),"")</f>
        <v/>
      </c>
      <c r="P810" t="n">
        <v>10111</v>
      </c>
      <c r="Q810" t="inlineStr">
        <is>
          <t>Refrigel Manutenção (10111)</t>
        </is>
      </c>
      <c r="R810" t="inlineStr">
        <is>
          <t>PC-0048</t>
        </is>
      </c>
      <c r="S810" t="inlineStr">
        <is>
          <t>Sensor de nível modelo 04</t>
        </is>
      </c>
      <c r="T810" t="n">
        <v>1</v>
      </c>
      <c r="U810" t="n">
        <v>135</v>
      </c>
      <c r="V810">
        <f>IF(J810="","",MONTH(J810))</f>
        <v/>
      </c>
      <c r="W810">
        <f>IF(J810="","",YEAR(J810))</f>
        <v/>
      </c>
      <c r="X810" t="inlineStr">
        <is>
          <t>RotaSul</t>
        </is>
      </c>
      <c r="Y810">
        <f>IFERROR(INDEX(Rastreio!$H$2:$H$200,MATCH(X810&amp;"|"&amp;U810,Rastreio!$A$2:$A$200,0)),"")</f>
        <v/>
      </c>
    </row>
    <row r="811">
      <c r="A811">
        <f>IFERROR(INDEX(STAs!$G$2:$G$61,MATCH(P811,STAs!$F$2:$F$61,0))&amp;"","")</f>
        <v/>
      </c>
      <c r="B811" t="n">
        <v>20027397</v>
      </c>
      <c r="C811" t="inlineStr">
        <is>
          <t>Não</t>
        </is>
      </c>
      <c r="D811" t="inlineStr">
        <is>
          <t>PR</t>
        </is>
      </c>
      <c r="E811" t="inlineStr">
        <is>
          <t>SUL</t>
        </is>
      </c>
      <c r="F811" t="inlineStr">
        <is>
          <t>Cliente A - Refrigerador</t>
        </is>
      </c>
      <c r="G811" t="inlineStr">
        <is>
          <t>Refrigeradores</t>
        </is>
      </c>
      <c r="H811" s="10" t="n">
        <v>35</v>
      </c>
      <c r="I811" s="10">
        <f>IFERROR(T811*H811,0)</f>
        <v/>
      </c>
      <c r="J811" s="11" t="n">
        <v>46048</v>
      </c>
      <c r="K811" s="11" t="n">
        <v>46071</v>
      </c>
      <c r="L811" t="inlineStr">
        <is>
          <t>Ok. Devolvida</t>
        </is>
      </c>
      <c r="M811">
        <f>IF(L811="","",IFERROR(VLOOKUP(L811,mapGrupoStatus,2,0),"Outros"))</f>
        <v/>
      </c>
      <c r="N811">
        <f>IF(O811="","",IF(O811&lt;=30,"0-30 dias",IF(O811&lt;=60,"31-60 dias",IF(O811&lt;=90,"61-90 dias","Mais de 90 dias"))))</f>
        <v/>
      </c>
      <c r="O811">
        <f>IF(OR(M811="Pendente",M811="Em andamento"),IF(J811="","",TODAY()-J811),"")</f>
        <v/>
      </c>
      <c r="P811" t="n">
        <v>10504</v>
      </c>
      <c r="Q811" t="inlineStr">
        <is>
          <t>Zero Grau Ltda (10504)</t>
        </is>
      </c>
      <c r="R811" t="inlineStr">
        <is>
          <t>PC-0020</t>
        </is>
      </c>
      <c r="S811" t="inlineStr">
        <is>
          <t>Gaxeta da porta modelo 03</t>
        </is>
      </c>
      <c r="T811" t="n">
        <v>1</v>
      </c>
      <c r="U811" t="n">
        <v>149</v>
      </c>
      <c r="V811">
        <f>IF(J811="","",MONTH(J811))</f>
        <v/>
      </c>
      <c r="W811">
        <f>IF(J811="","",YEAR(J811))</f>
        <v/>
      </c>
      <c r="X811" t="inlineStr">
        <is>
          <t>LogExpress</t>
        </is>
      </c>
      <c r="Y811">
        <f>IFERROR(INDEX(Rastreio!$H$2:$H$200,MATCH(X811&amp;"|"&amp;U811,Rastreio!$A$2:$A$200,0)),"")</f>
        <v/>
      </c>
    </row>
    <row r="812">
      <c r="A812">
        <f>IFERROR(INDEX(STAs!$G$2:$G$61,MATCH(P812,STAs!$F$2:$F$61,0))&amp;"","")</f>
        <v/>
      </c>
      <c r="B812" t="n">
        <v>20035510</v>
      </c>
      <c r="C812" t="inlineStr">
        <is>
          <t>Sim</t>
        </is>
      </c>
      <c r="D812" t="inlineStr">
        <is>
          <t>PR</t>
        </is>
      </c>
      <c r="E812" t="inlineStr">
        <is>
          <t>SUL</t>
        </is>
      </c>
      <c r="F812" t="inlineStr">
        <is>
          <t>Cliente B - Chopeira</t>
        </is>
      </c>
      <c r="G812" t="inlineStr">
        <is>
          <t>Misturadores</t>
        </is>
      </c>
      <c r="H812" s="10" t="n">
        <v>255</v>
      </c>
      <c r="I812" s="10">
        <f>IFERROR(T812*H812,0)</f>
        <v/>
      </c>
      <c r="J812" s="11" t="n">
        <v>46048</v>
      </c>
      <c r="K812" s="11" t="n"/>
      <c r="L812" t="inlineStr">
        <is>
          <t>Em transporte</t>
        </is>
      </c>
      <c r="M812">
        <f>IF(L812="","",IFERROR(VLOOKUP(L812,mapGrupoStatus,2,0),"Outros"))</f>
        <v/>
      </c>
      <c r="N812">
        <f>IF(O812="","",IF(O812&lt;=30,"0-30 dias",IF(O812&lt;=60,"31-60 dias",IF(O812&lt;=90,"61-90 dias","Mais de 90 dias"))))</f>
        <v/>
      </c>
      <c r="O812">
        <f>IF(OR(M812="Pendente",M812="Em andamento"),IF(J812="","",TODAY()-J812),"")</f>
        <v/>
      </c>
      <c r="P812" t="n">
        <v>10753</v>
      </c>
      <c r="Q812" t="inlineStr">
        <is>
          <t>Refrigel &amp; Cia (10753)</t>
        </is>
      </c>
      <c r="R812" t="inlineStr">
        <is>
          <t>PC-0039</t>
        </is>
      </c>
      <c r="S812" t="inlineStr">
        <is>
          <t>Bomba de recirculação modelo 03</t>
        </is>
      </c>
      <c r="T812" t="n">
        <v>1</v>
      </c>
      <c r="U812" t="n">
        <v>163</v>
      </c>
      <c r="V812">
        <f>IF(J812="","",MONTH(J812))</f>
        <v/>
      </c>
      <c r="W812">
        <f>IF(J812="","",YEAR(J812))</f>
        <v/>
      </c>
      <c r="X812" t="inlineStr">
        <is>
          <t>TransNorte</t>
        </is>
      </c>
      <c r="Y812">
        <f>IFERROR(INDEX(Rastreio!$H$2:$H$200,MATCH(X812&amp;"|"&amp;U812,Rastreio!$A$2:$A$200,0)),"")</f>
        <v/>
      </c>
    </row>
    <row r="813">
      <c r="A813">
        <f>IFERROR(INDEX(STAs!$G$2:$G$61,MATCH(P813,STAs!$F$2:$F$61,0))&amp;"","")</f>
        <v/>
      </c>
      <c r="B813" t="n">
        <v>20038986</v>
      </c>
      <c r="C813" t="inlineStr">
        <is>
          <t>Não</t>
        </is>
      </c>
      <c r="D813" t="inlineStr">
        <is>
          <t>PB</t>
        </is>
      </c>
      <c r="E813" t="inlineStr">
        <is>
          <t>NORDESTE</t>
        </is>
      </c>
      <c r="F813" t="inlineStr">
        <is>
          <t>Cliente A - Refrigerador</t>
        </is>
      </c>
      <c r="G813" t="inlineStr">
        <is>
          <t>Misturadores</t>
        </is>
      </c>
      <c r="H813" s="10" t="n">
        <v>40</v>
      </c>
      <c r="I813" s="10">
        <f>IFERROR(T813*H813,0)</f>
        <v/>
      </c>
      <c r="J813" s="11" t="n">
        <v>46048</v>
      </c>
      <c r="K813" s="11" t="n">
        <v>46080</v>
      </c>
      <c r="L813" t="inlineStr">
        <is>
          <t>Ok. Devolvida</t>
        </is>
      </c>
      <c r="M813">
        <f>IF(L813="","",IFERROR(VLOOKUP(L813,mapGrupoStatus,2,0),"Outros"))</f>
        <v/>
      </c>
      <c r="N813">
        <f>IF(O813="","",IF(O813&lt;=30,"0-30 dias",IF(O813&lt;=60,"31-60 dias",IF(O813&lt;=90,"61-90 dias","Mais de 90 dias"))))</f>
        <v/>
      </c>
      <c r="O813">
        <f>IF(OR(M813="Pendente",M813="Em andamento"),IF(J813="","",TODAY()-J813),"")</f>
        <v/>
      </c>
      <c r="P813" t="n">
        <v>11741</v>
      </c>
      <c r="Q813" t="inlineStr">
        <is>
          <t>Clima Refrigeração (11741)</t>
        </is>
      </c>
      <c r="R813" t="inlineStr">
        <is>
          <t>PC-0042</t>
        </is>
      </c>
      <c r="S813" t="inlineStr">
        <is>
          <t>Bico dosador modelo 01</t>
        </is>
      </c>
      <c r="T813" t="n">
        <v>1</v>
      </c>
      <c r="U813" t="n">
        <v>168</v>
      </c>
      <c r="V813">
        <f>IF(J813="","",MONTH(J813))</f>
        <v/>
      </c>
      <c r="W813">
        <f>IF(J813="","",YEAR(J813))</f>
        <v/>
      </c>
      <c r="X813" t="inlineStr">
        <is>
          <t>TransNorte</t>
        </is>
      </c>
      <c r="Y813">
        <f>IFERROR(INDEX(Rastreio!$H$2:$H$200,MATCH(X813&amp;"|"&amp;U813,Rastreio!$A$2:$A$200,0)),"")</f>
        <v/>
      </c>
    </row>
    <row r="814">
      <c r="A814">
        <f>IFERROR(INDEX(STAs!$G$2:$G$61,MATCH(P814,STAs!$F$2:$F$61,0))&amp;"","")</f>
        <v/>
      </c>
      <c r="B814" t="n">
        <v>20029631</v>
      </c>
      <c r="C814" t="inlineStr">
        <is>
          <t>Não</t>
        </is>
      </c>
      <c r="D814" t="inlineStr">
        <is>
          <t>SP</t>
        </is>
      </c>
      <c r="E814" t="inlineStr">
        <is>
          <t>SUDESTE SP</t>
        </is>
      </c>
      <c r="F814" t="inlineStr">
        <is>
          <t>Cliente B - Chopeira</t>
        </is>
      </c>
      <c r="G814" t="inlineStr">
        <is>
          <t>Refrigeradores</t>
        </is>
      </c>
      <c r="H814" s="10" t="n">
        <v>35</v>
      </c>
      <c r="I814" s="10">
        <f>IFERROR(T814*H814,0)</f>
        <v/>
      </c>
      <c r="J814" s="11" t="n">
        <v>46049</v>
      </c>
      <c r="K814" s="11" t="n">
        <v>46067</v>
      </c>
      <c r="L814" t="inlineStr">
        <is>
          <t>Ok. Devolvida</t>
        </is>
      </c>
      <c r="M814">
        <f>IF(L814="","",IFERROR(VLOOKUP(L814,mapGrupoStatus,2,0),"Outros"))</f>
        <v/>
      </c>
      <c r="N814">
        <f>IF(O814="","",IF(O814&lt;=30,"0-30 dias",IF(O814&lt;=60,"31-60 dias",IF(O814&lt;=90,"61-90 dias","Mais de 90 dias"))))</f>
        <v/>
      </c>
      <c r="O814">
        <f>IF(OR(M814="Pendente",M814="Em andamento"),IF(J814="","",TODAY()-J814),"")</f>
        <v/>
      </c>
      <c r="P814" t="n">
        <v>12052</v>
      </c>
      <c r="Q814" t="inlineStr">
        <is>
          <t>Brisa Refrigeração (12052)</t>
        </is>
      </c>
      <c r="R814" t="inlineStr">
        <is>
          <t>PC-0016</t>
        </is>
      </c>
      <c r="S814" t="inlineStr">
        <is>
          <t>Filtro secador modelo 02</t>
        </is>
      </c>
      <c r="T814" t="n">
        <v>1</v>
      </c>
      <c r="U814" t="n">
        <v>150</v>
      </c>
      <c r="V814">
        <f>IF(J814="","",MONTH(J814))</f>
        <v/>
      </c>
      <c r="W814">
        <f>IF(J814="","",YEAR(J814))</f>
        <v/>
      </c>
      <c r="X814" t="inlineStr">
        <is>
          <t>RotaSul</t>
        </is>
      </c>
      <c r="Y814">
        <f>IFERROR(INDEX(Rastreio!$H$2:$H$200,MATCH(X814&amp;"|"&amp;U814,Rastreio!$A$2:$A$200,0)),"")</f>
        <v/>
      </c>
    </row>
    <row r="815">
      <c r="A815">
        <f>IFERROR(INDEX(STAs!$G$2:$G$61,MATCH(P815,STAs!$F$2:$F$61,0))&amp;"","")</f>
        <v/>
      </c>
      <c r="B815" t="n">
        <v>20037940</v>
      </c>
      <c r="C815" t="inlineStr">
        <is>
          <t>Não</t>
        </is>
      </c>
      <c r="D815" t="inlineStr">
        <is>
          <t>TO</t>
        </is>
      </c>
      <c r="E815" t="inlineStr">
        <is>
          <t>NORTE</t>
        </is>
      </c>
      <c r="F815" t="inlineStr">
        <is>
          <t>Cliente C - Misturador</t>
        </is>
      </c>
      <c r="G815" t="inlineStr">
        <is>
          <t>Refrigeradores</t>
        </is>
      </c>
      <c r="H815" s="10" t="n">
        <v>190</v>
      </c>
      <c r="I815" s="10">
        <f>IFERROR(T815*H815,0)</f>
        <v/>
      </c>
      <c r="J815" s="11" t="n">
        <v>46049</v>
      </c>
      <c r="K815" s="11" t="n"/>
      <c r="L815" t="inlineStr">
        <is>
          <t>Não Devolve-Norte</t>
        </is>
      </c>
      <c r="M815">
        <f>IF(L815="","",IFERROR(VLOOKUP(L815,mapGrupoStatus,2,0),"Outros"))</f>
        <v/>
      </c>
      <c r="N815">
        <f>IF(O815="","",IF(O815&lt;=30,"0-30 dias",IF(O815&lt;=60,"31-60 dias",IF(O815&lt;=90,"61-90 dias","Mais de 90 dias"))))</f>
        <v/>
      </c>
      <c r="O815">
        <f>IF(OR(M815="Pendente",M815="Em andamento"),IF(J815="","",TODAY()-J815),"")</f>
        <v/>
      </c>
      <c r="P815" t="n">
        <v>10939</v>
      </c>
      <c r="Q815" t="inlineStr">
        <is>
          <t>Zero Grau Manutenção (10939)</t>
        </is>
      </c>
      <c r="R815" t="inlineStr">
        <is>
          <t>PC-0011</t>
        </is>
      </c>
      <c r="S815" t="inlineStr">
        <is>
          <t>Placa eletrônica modelo 01</t>
        </is>
      </c>
      <c r="T815" t="n">
        <v>1</v>
      </c>
      <c r="U815" t="inlineStr"/>
      <c r="V815">
        <f>IF(J815="","",MONTH(J815))</f>
        <v/>
      </c>
      <c r="W815">
        <f>IF(J815="","",YEAR(J815))</f>
        <v/>
      </c>
      <c r="X815" t="inlineStr"/>
      <c r="Y815">
        <f>IFERROR(INDEX(Rastreio!$H$2:$H$200,MATCH(X815&amp;"|"&amp;U815,Rastreio!$A$2:$A$200,0)),"")</f>
        <v/>
      </c>
    </row>
    <row r="816">
      <c r="A816">
        <f>IFERROR(INDEX(STAs!$G$2:$G$61,MATCH(P816,STAs!$F$2:$F$61,0))&amp;"","")</f>
        <v/>
      </c>
      <c r="B816" t="n">
        <v>20002810</v>
      </c>
      <c r="C816" t="inlineStr">
        <is>
          <t>Não</t>
        </is>
      </c>
      <c r="D816" t="inlineStr">
        <is>
          <t>PB</t>
        </is>
      </c>
      <c r="E816" t="inlineStr">
        <is>
          <t>NORDESTE</t>
        </is>
      </c>
      <c r="F816" t="inlineStr">
        <is>
          <t>Cliente B - Chopeira</t>
        </is>
      </c>
      <c r="G816" t="inlineStr">
        <is>
          <t>Refrigeradores</t>
        </is>
      </c>
      <c r="H816" s="10" t="n">
        <v>35</v>
      </c>
      <c r="I816" s="10">
        <f>IFERROR(T816*H816,0)</f>
        <v/>
      </c>
      <c r="J816" s="11" t="n">
        <v>46050</v>
      </c>
      <c r="K816" s="11" t="n">
        <v>46094</v>
      </c>
      <c r="L816" t="inlineStr">
        <is>
          <t>Ok. Devolvida</t>
        </is>
      </c>
      <c r="M816">
        <f>IF(L816="","",IFERROR(VLOOKUP(L816,mapGrupoStatus,2,0),"Outros"))</f>
        <v/>
      </c>
      <c r="N816">
        <f>IF(O816="","",IF(O816&lt;=30,"0-30 dias",IF(O816&lt;=60,"31-60 dias",IF(O816&lt;=90,"61-90 dias","Mais de 90 dias"))))</f>
        <v/>
      </c>
      <c r="O816">
        <f>IF(OR(M816="Pendente",M816="Em andamento"),IF(J816="","",TODAY()-J816),"")</f>
        <v/>
      </c>
      <c r="P816" t="n">
        <v>11741</v>
      </c>
      <c r="Q816" t="inlineStr">
        <is>
          <t>Clima Refrigeração (11741)</t>
        </is>
      </c>
      <c r="R816" t="inlineStr">
        <is>
          <t>PC-0016</t>
        </is>
      </c>
      <c r="S816" t="inlineStr">
        <is>
          <t>Filtro secador modelo 02</t>
        </is>
      </c>
      <c r="T816" t="n">
        <v>1</v>
      </c>
      <c r="U816" t="n">
        <v>109</v>
      </c>
      <c r="V816">
        <f>IF(J816="","",MONTH(J816))</f>
        <v/>
      </c>
      <c r="W816">
        <f>IF(J816="","",YEAR(J816))</f>
        <v/>
      </c>
      <c r="X816" t="inlineStr">
        <is>
          <t>ViaCargo</t>
        </is>
      </c>
      <c r="Y816">
        <f>IFERROR(INDEX(Rastreio!$H$2:$H$200,MATCH(X816&amp;"|"&amp;U816,Rastreio!$A$2:$A$200,0)),"")</f>
        <v/>
      </c>
    </row>
    <row r="817">
      <c r="A817">
        <f>IFERROR(INDEX(STAs!$G$2:$G$61,MATCH(P817,STAs!$F$2:$F$61,0))&amp;"","")</f>
        <v/>
      </c>
      <c r="B817" t="n">
        <v>20020967</v>
      </c>
      <c r="C817" t="inlineStr">
        <is>
          <t>Não</t>
        </is>
      </c>
      <c r="D817" t="inlineStr">
        <is>
          <t>AC</t>
        </is>
      </c>
      <c r="E817" t="inlineStr">
        <is>
          <t>NORTE</t>
        </is>
      </c>
      <c r="F817" t="inlineStr">
        <is>
          <t>Cliente C - Misturador</t>
        </is>
      </c>
      <c r="G817" t="inlineStr">
        <is>
          <t>Misturadores</t>
        </is>
      </c>
      <c r="H817" s="10" t="n">
        <v>255</v>
      </c>
      <c r="I817" s="10">
        <f>IFERROR(T817*H817,0)</f>
        <v/>
      </c>
      <c r="J817" s="11" t="n">
        <v>46050</v>
      </c>
      <c r="K817" s="11" t="n"/>
      <c r="L817" t="inlineStr">
        <is>
          <t>Não Devolve-Norte</t>
        </is>
      </c>
      <c r="M817">
        <f>IF(L817="","",IFERROR(VLOOKUP(L817,mapGrupoStatus,2,0),"Outros"))</f>
        <v/>
      </c>
      <c r="N817">
        <f>IF(O817="","",IF(O817&lt;=30,"0-30 dias",IF(O817&lt;=60,"31-60 dias",IF(O817&lt;=90,"61-90 dias","Mais de 90 dias"))))</f>
        <v/>
      </c>
      <c r="O817">
        <f>IF(OR(M817="Pendente",M817="Em andamento"),IF(J817="","",TODAY()-J817),"")</f>
        <v/>
      </c>
      <c r="P817" t="n">
        <v>11022</v>
      </c>
      <c r="Q817" t="inlineStr">
        <is>
          <t>Brisa Ltda (11022)</t>
        </is>
      </c>
      <c r="R817" t="inlineStr">
        <is>
          <t>PC-0039</t>
        </is>
      </c>
      <c r="S817" t="inlineStr">
        <is>
          <t>Bomba de recirculação modelo 03</t>
        </is>
      </c>
      <c r="T817" t="n">
        <v>1</v>
      </c>
      <c r="U817" t="inlineStr"/>
      <c r="V817">
        <f>IF(J817="","",MONTH(J817))</f>
        <v/>
      </c>
      <c r="W817">
        <f>IF(J817="","",YEAR(J817))</f>
        <v/>
      </c>
      <c r="X817" t="inlineStr"/>
      <c r="Y817">
        <f>IFERROR(INDEX(Rastreio!$H$2:$H$200,MATCH(X817&amp;"|"&amp;U817,Rastreio!$A$2:$A$200,0)),"")</f>
        <v/>
      </c>
    </row>
    <row r="818">
      <c r="A818">
        <f>IFERROR(INDEX(STAs!$G$2:$G$61,MATCH(P818,STAs!$F$2:$F$61,0))&amp;"","")</f>
        <v/>
      </c>
      <c r="B818" t="n">
        <v>20031972</v>
      </c>
      <c r="C818" t="inlineStr">
        <is>
          <t>Não</t>
        </is>
      </c>
      <c r="D818" t="inlineStr">
        <is>
          <t>RS</t>
        </is>
      </c>
      <c r="E818" t="inlineStr">
        <is>
          <t>SUL</t>
        </is>
      </c>
      <c r="F818" t="inlineStr">
        <is>
          <t>Cliente C - Misturador</t>
        </is>
      </c>
      <c r="G818" t="inlineStr">
        <is>
          <t>Chopeiras</t>
        </is>
      </c>
      <c r="H818" s="10" t="n">
        <v>205</v>
      </c>
      <c r="I818" s="10">
        <f>IFERROR(T818*H818,0)</f>
        <v/>
      </c>
      <c r="J818" s="11" t="n">
        <v>46050</v>
      </c>
      <c r="K818" s="11" t="n"/>
      <c r="L818" t="inlineStr">
        <is>
          <t>Aguardando devolução</t>
        </is>
      </c>
      <c r="M818">
        <f>IF(L818="","",IFERROR(VLOOKUP(L818,mapGrupoStatus,2,0),"Outros"))</f>
        <v/>
      </c>
      <c r="N818">
        <f>IF(O818="","",IF(O818&lt;=30,"0-30 dias",IF(O818&lt;=60,"31-60 dias",IF(O818&lt;=90,"61-90 dias","Mais de 90 dias"))))</f>
        <v/>
      </c>
      <c r="O818">
        <f>IF(OR(M818="Pendente",M818="Em andamento"),IF(J818="","",TODAY()-J818),"")</f>
        <v/>
      </c>
      <c r="P818" t="n">
        <v>11459</v>
      </c>
      <c r="Q818" t="inlineStr">
        <is>
          <t>Frio ME (11459)</t>
        </is>
      </c>
      <c r="R818" t="inlineStr">
        <is>
          <t>PC-0031</t>
        </is>
      </c>
      <c r="S818" t="inlineStr">
        <is>
          <t>Serpentina modelo 03</t>
        </is>
      </c>
      <c r="T818" t="n">
        <v>1</v>
      </c>
      <c r="U818" t="inlineStr"/>
      <c r="V818">
        <f>IF(J818="","",MONTH(J818))</f>
        <v/>
      </c>
      <c r="W818">
        <f>IF(J818="","",YEAR(J818))</f>
        <v/>
      </c>
      <c r="X818" t="inlineStr"/>
      <c r="Y818">
        <f>IFERROR(INDEX(Rastreio!$H$2:$H$200,MATCH(X818&amp;"|"&amp;U818,Rastreio!$A$2:$A$200,0)),"")</f>
        <v/>
      </c>
    </row>
    <row r="819">
      <c r="A819">
        <f>IFERROR(INDEX(STAs!$G$2:$G$61,MATCH(P819,STAs!$F$2:$F$61,0))&amp;"","")</f>
        <v/>
      </c>
      <c r="B819" t="n">
        <v>20039792</v>
      </c>
      <c r="C819" t="inlineStr">
        <is>
          <t>Não</t>
        </is>
      </c>
      <c r="D819" t="inlineStr">
        <is>
          <t>SP</t>
        </is>
      </c>
      <c r="E819" t="inlineStr">
        <is>
          <t>SUDESTE SP</t>
        </is>
      </c>
      <c r="F819" t="inlineStr">
        <is>
          <t>Cliente B - Chopeira</t>
        </is>
      </c>
      <c r="G819" t="inlineStr">
        <is>
          <t>Refrigeradores</t>
        </is>
      </c>
      <c r="H819" s="10" t="n">
        <v>330</v>
      </c>
      <c r="I819" s="10">
        <f>IFERROR(T819*H819,0)</f>
        <v/>
      </c>
      <c r="J819" s="11" t="n">
        <v>46050</v>
      </c>
      <c r="K819" s="11" t="n"/>
      <c r="L819" t="inlineStr">
        <is>
          <t>NPD</t>
        </is>
      </c>
      <c r="M819">
        <f>IF(L819="","",IFERROR(VLOOKUP(L819,mapGrupoStatus,2,0),"Outros"))</f>
        <v/>
      </c>
      <c r="N819">
        <f>IF(O819="","",IF(O819&lt;=30,"0-30 dias",IF(O819&lt;=60,"31-60 dias",IF(O819&lt;=90,"61-90 dias","Mais de 90 dias"))))</f>
        <v/>
      </c>
      <c r="O819">
        <f>IF(OR(M819="Pendente",M819="Em andamento"),IF(J819="","",TODAY()-J819),"")</f>
        <v/>
      </c>
      <c r="P819" t="n">
        <v>10538</v>
      </c>
      <c r="Q819" t="inlineStr">
        <is>
          <t>Frio Refrigeração (10538)</t>
        </is>
      </c>
      <c r="R819" t="inlineStr">
        <is>
          <t>PC-0003</t>
        </is>
      </c>
      <c r="S819" t="inlineStr">
        <is>
          <t>Compressor modelo 03</t>
        </is>
      </c>
      <c r="T819" t="n">
        <v>1</v>
      </c>
      <c r="U819" t="inlineStr"/>
      <c r="V819">
        <f>IF(J819="","",MONTH(J819))</f>
        <v/>
      </c>
      <c r="W819">
        <f>IF(J819="","",YEAR(J819))</f>
        <v/>
      </c>
      <c r="X819" t="inlineStr"/>
      <c r="Y819">
        <f>IFERROR(INDEX(Rastreio!$H$2:$H$200,MATCH(X819&amp;"|"&amp;U819,Rastreio!$A$2:$A$200,0)),"")</f>
        <v/>
      </c>
    </row>
    <row r="820">
      <c r="A820">
        <f>IFERROR(INDEX(STAs!$G$2:$G$61,MATCH(P820,STAs!$F$2:$F$61,0))&amp;"","")</f>
        <v/>
      </c>
      <c r="B820" t="n">
        <v>20002891</v>
      </c>
      <c r="C820" t="inlineStr">
        <is>
          <t>Não</t>
        </is>
      </c>
      <c r="D820" t="inlineStr">
        <is>
          <t>MS</t>
        </is>
      </c>
      <c r="E820" t="inlineStr">
        <is>
          <t>CENTRO OESTE</t>
        </is>
      </c>
      <c r="F820" t="inlineStr">
        <is>
          <t>Cliente B - Chopeira</t>
        </is>
      </c>
      <c r="G820" t="inlineStr">
        <is>
          <t>Chopeiras</t>
        </is>
      </c>
      <c r="H820" s="10" t="n">
        <v>215</v>
      </c>
      <c r="I820" s="10">
        <f>IFERROR(T820*H820,0)</f>
        <v/>
      </c>
      <c r="J820" s="11" t="n">
        <v>46051</v>
      </c>
      <c r="K820" s="11" t="n">
        <v>46106</v>
      </c>
      <c r="L820" t="inlineStr">
        <is>
          <t>Ok. Devolvida</t>
        </is>
      </c>
      <c r="M820">
        <f>IF(L820="","",IFERROR(VLOOKUP(L820,mapGrupoStatus,2,0),"Outros"))</f>
        <v/>
      </c>
      <c r="N820">
        <f>IF(O820="","",IF(O820&lt;=30,"0-30 dias",IF(O820&lt;=60,"31-60 dias",IF(O820&lt;=90,"61-90 dias","Mais de 90 dias"))))</f>
        <v/>
      </c>
      <c r="O820">
        <f>IF(OR(M820="Pendente",M820="Em andamento"),IF(J820="","",TODAY()-J820),"")</f>
        <v/>
      </c>
      <c r="P820" t="n">
        <v>12280</v>
      </c>
      <c r="Q820" t="inlineStr">
        <is>
          <t>Termotec &amp; Cia (12280)</t>
        </is>
      </c>
      <c r="R820" t="inlineStr">
        <is>
          <t>PC-0030</t>
        </is>
      </c>
      <c r="S820" t="inlineStr">
        <is>
          <t>Serpentina modelo 02</t>
        </is>
      </c>
      <c r="T820" t="n">
        <v>2</v>
      </c>
      <c r="U820" t="n">
        <v>104</v>
      </c>
      <c r="V820">
        <f>IF(J820="","",MONTH(J820))</f>
        <v/>
      </c>
      <c r="W820">
        <f>IF(J820="","",YEAR(J820))</f>
        <v/>
      </c>
      <c r="X820" t="inlineStr">
        <is>
          <t>TransNorte</t>
        </is>
      </c>
      <c r="Y820">
        <f>IFERROR(INDEX(Rastreio!$H$2:$H$200,MATCH(X820&amp;"|"&amp;U820,Rastreio!$A$2:$A$200,0)),"")</f>
        <v/>
      </c>
    </row>
    <row r="821">
      <c r="A821">
        <f>IFERROR(INDEX(STAs!$G$2:$G$61,MATCH(P821,STAs!$F$2:$F$61,0))&amp;"","")</f>
        <v/>
      </c>
      <c r="B821" t="n">
        <v>20007710</v>
      </c>
      <c r="C821" t="inlineStr">
        <is>
          <t>Não</t>
        </is>
      </c>
      <c r="D821" t="inlineStr">
        <is>
          <t>RS</t>
        </is>
      </c>
      <c r="E821" t="inlineStr">
        <is>
          <t>SUL</t>
        </is>
      </c>
      <c r="F821" t="inlineStr">
        <is>
          <t>Cliente A - Refrigerador</t>
        </is>
      </c>
      <c r="G821" t="inlineStr">
        <is>
          <t>Refrigeradores</t>
        </is>
      </c>
      <c r="H821" s="10" t="n">
        <v>40</v>
      </c>
      <c r="I821" s="10">
        <f>IFERROR(T821*H821,0)</f>
        <v/>
      </c>
      <c r="J821" s="11" t="n">
        <v>46051</v>
      </c>
      <c r="K821" s="11" t="n">
        <v>46072</v>
      </c>
      <c r="L821" t="inlineStr">
        <is>
          <t>Ok. Devolvida</t>
        </is>
      </c>
      <c r="M821">
        <f>IF(L821="","",IFERROR(VLOOKUP(L821,mapGrupoStatus,2,0),"Outros"))</f>
        <v/>
      </c>
      <c r="N821">
        <f>IF(O821="","",IF(O821&lt;=30,"0-30 dias",IF(O821&lt;=60,"31-60 dias",IF(O821&lt;=90,"61-90 dias","Mais de 90 dias"))))</f>
        <v/>
      </c>
      <c r="O821">
        <f>IF(OR(M821="Pendente",M821="Em andamento"),IF(J821="","",TODAY()-J821),"")</f>
        <v/>
      </c>
      <c r="P821" t="n">
        <v>11459</v>
      </c>
      <c r="Q821" t="inlineStr">
        <is>
          <t>Frio ME (11459)</t>
        </is>
      </c>
      <c r="R821" t="inlineStr">
        <is>
          <t>PC-0005</t>
        </is>
      </c>
      <c r="S821" t="inlineStr">
        <is>
          <t>Termostato modelo 02</t>
        </is>
      </c>
      <c r="T821" t="n">
        <v>2</v>
      </c>
      <c r="U821" t="n">
        <v>113</v>
      </c>
      <c r="V821">
        <f>IF(J821="","",MONTH(J821))</f>
        <v/>
      </c>
      <c r="W821">
        <f>IF(J821="","",YEAR(J821))</f>
        <v/>
      </c>
      <c r="X821" t="inlineStr">
        <is>
          <t>LogExpress</t>
        </is>
      </c>
      <c r="Y821">
        <f>IFERROR(INDEX(Rastreio!$H$2:$H$200,MATCH(X821&amp;"|"&amp;U821,Rastreio!$A$2:$A$200,0)),"")</f>
        <v/>
      </c>
    </row>
    <row r="822">
      <c r="A822">
        <f>IFERROR(INDEX(STAs!$G$2:$G$61,MATCH(P822,STAs!$F$2:$F$61,0))&amp;"","")</f>
        <v/>
      </c>
      <c r="B822" t="n">
        <v>20009557</v>
      </c>
      <c r="C822" t="inlineStr">
        <is>
          <t>Não</t>
        </is>
      </c>
      <c r="D822" t="inlineStr">
        <is>
          <t>AP</t>
        </is>
      </c>
      <c r="E822" t="inlineStr">
        <is>
          <t>NORTE</t>
        </is>
      </c>
      <c r="F822" t="inlineStr">
        <is>
          <t>Cliente C - Misturador</t>
        </is>
      </c>
      <c r="G822" t="inlineStr">
        <is>
          <t>Refrigeradores</t>
        </is>
      </c>
      <c r="H822" s="10" t="n">
        <v>185</v>
      </c>
      <c r="I822" s="10">
        <f>IFERROR(T822*H822,0)</f>
        <v/>
      </c>
      <c r="J822" s="11" t="n">
        <v>46051</v>
      </c>
      <c r="K822" s="11" t="n">
        <v>46060</v>
      </c>
      <c r="L822" t="inlineStr">
        <is>
          <t>Ok. Devolvida</t>
        </is>
      </c>
      <c r="M822">
        <f>IF(L822="","",IFERROR(VLOOKUP(L822,mapGrupoStatus,2,0),"Outros"))</f>
        <v/>
      </c>
      <c r="N822">
        <f>IF(O822="","",IF(O822&lt;=30,"0-30 dias",IF(O822&lt;=60,"31-60 dias",IF(O822&lt;=90,"61-90 dias","Mais de 90 dias"))))</f>
        <v/>
      </c>
      <c r="O822">
        <f>IF(OR(M822="Pendente",M822="Em andamento"),IF(J822="","",TODAY()-J822),"")</f>
        <v/>
      </c>
      <c r="P822" t="n">
        <v>11859</v>
      </c>
      <c r="Q822" t="inlineStr">
        <is>
          <t>Ice Tech Serviços (11859)</t>
        </is>
      </c>
      <c r="R822" t="inlineStr">
        <is>
          <t>PC-0013</t>
        </is>
      </c>
      <c r="S822" t="inlineStr">
        <is>
          <t>Placa eletrônica modelo 03</t>
        </is>
      </c>
      <c r="T822" t="n">
        <v>1</v>
      </c>
      <c r="U822" t="n">
        <v>116</v>
      </c>
      <c r="V822">
        <f>IF(J822="","",MONTH(J822))</f>
        <v/>
      </c>
      <c r="W822">
        <f>IF(J822="","",YEAR(J822))</f>
        <v/>
      </c>
      <c r="X822" t="inlineStr">
        <is>
          <t>TransNorte</t>
        </is>
      </c>
      <c r="Y822">
        <f>IFERROR(INDEX(Rastreio!$H$2:$H$200,MATCH(X822&amp;"|"&amp;U822,Rastreio!$A$2:$A$200,0)),"")</f>
        <v/>
      </c>
    </row>
    <row r="823">
      <c r="A823">
        <f>IFERROR(INDEX(STAs!$G$2:$G$61,MATCH(P823,STAs!$F$2:$F$61,0))&amp;"","")</f>
        <v/>
      </c>
      <c r="B823" t="n">
        <v>20040591</v>
      </c>
      <c r="C823" t="inlineStr">
        <is>
          <t>Não</t>
        </is>
      </c>
      <c r="D823" t="inlineStr">
        <is>
          <t>AC</t>
        </is>
      </c>
      <c r="E823" t="inlineStr">
        <is>
          <t>NORTE</t>
        </is>
      </c>
      <c r="F823" t="inlineStr">
        <is>
          <t>Cliente B - Chopeira</t>
        </is>
      </c>
      <c r="G823" t="inlineStr">
        <is>
          <t>Chopeiras</t>
        </is>
      </c>
      <c r="H823" s="10" t="n">
        <v>85</v>
      </c>
      <c r="I823" s="10">
        <f>IFERROR(T823*H823,0)</f>
        <v/>
      </c>
      <c r="J823" s="11" t="n">
        <v>46051</v>
      </c>
      <c r="K823" s="11" t="n"/>
      <c r="L823" t="inlineStr">
        <is>
          <t>Não Devolve-Norte</t>
        </is>
      </c>
      <c r="M823">
        <f>IF(L823="","",IFERROR(VLOOKUP(L823,mapGrupoStatus,2,0),"Outros"))</f>
        <v/>
      </c>
      <c r="N823">
        <f>IF(O823="","",IF(O823&lt;=30,"0-30 dias",IF(O823&lt;=60,"31-60 dias",IF(O823&lt;=90,"61-90 dias","Mais de 90 dias"))))</f>
        <v/>
      </c>
      <c r="O823">
        <f>IF(OR(M823="Pendente",M823="Em andamento"),IF(J823="","",TODAY()-J823),"")</f>
        <v/>
      </c>
      <c r="P823" t="n">
        <v>11022</v>
      </c>
      <c r="Q823" t="inlineStr">
        <is>
          <t>Brisa Ltda (11022)</t>
        </is>
      </c>
      <c r="R823" t="inlineStr">
        <is>
          <t>PC-0035</t>
        </is>
      </c>
      <c r="S823" t="inlineStr">
        <is>
          <t>Válvula extratora modelo 01</t>
        </is>
      </c>
      <c r="T823" t="n">
        <v>1</v>
      </c>
      <c r="U823" t="inlineStr"/>
      <c r="V823">
        <f>IF(J823="","",MONTH(J823))</f>
        <v/>
      </c>
      <c r="W823">
        <f>IF(J823="","",YEAR(J823))</f>
        <v/>
      </c>
      <c r="X823" t="inlineStr"/>
      <c r="Y823">
        <f>IFERROR(INDEX(Rastreio!$H$2:$H$200,MATCH(X823&amp;"|"&amp;U823,Rastreio!$A$2:$A$200,0)),"")</f>
        <v/>
      </c>
    </row>
    <row r="824">
      <c r="A824">
        <f>IFERROR(INDEX(STAs!$G$2:$G$61,MATCH(P824,STAs!$F$2:$F$61,0))&amp;"","")</f>
        <v/>
      </c>
      <c r="B824" t="n">
        <v>20001247</v>
      </c>
      <c r="C824" t="inlineStr">
        <is>
          <t>Não</t>
        </is>
      </c>
      <c r="D824" t="inlineStr">
        <is>
          <t>PB</t>
        </is>
      </c>
      <c r="E824" t="inlineStr">
        <is>
          <t>NORDESTE</t>
        </is>
      </c>
      <c r="F824" t="inlineStr">
        <is>
          <t>Cliente B - Chopeira</t>
        </is>
      </c>
      <c r="G824" t="inlineStr">
        <is>
          <t>Refrigeradores</t>
        </is>
      </c>
      <c r="H824" s="10" t="n">
        <v>35</v>
      </c>
      <c r="I824" s="10">
        <f>IFERROR(T824*H824,0)</f>
        <v/>
      </c>
      <c r="J824" s="11" t="n">
        <v>46052</v>
      </c>
      <c r="K824" s="11" t="n"/>
      <c r="L824" t="inlineStr">
        <is>
          <t>NPD</t>
        </is>
      </c>
      <c r="M824">
        <f>IF(L824="","",IFERROR(VLOOKUP(L824,mapGrupoStatus,2,0),"Outros"))</f>
        <v/>
      </c>
      <c r="N824">
        <f>IF(O824="","",IF(O824&lt;=30,"0-30 dias",IF(O824&lt;=60,"31-60 dias",IF(O824&lt;=90,"61-90 dias","Mais de 90 dias"))))</f>
        <v/>
      </c>
      <c r="O824">
        <f>IF(OR(M824="Pendente",M824="Em andamento"),IF(J824="","",TODAY()-J824),"")</f>
        <v/>
      </c>
      <c r="P824" t="n">
        <v>11741</v>
      </c>
      <c r="Q824" t="inlineStr">
        <is>
          <t>Clima Refrigeração (11741)</t>
        </is>
      </c>
      <c r="R824" t="inlineStr">
        <is>
          <t>PC-0023</t>
        </is>
      </c>
      <c r="S824" t="inlineStr">
        <is>
          <t>Relé de partida modelo 01</t>
        </is>
      </c>
      <c r="T824" t="n">
        <v>1</v>
      </c>
      <c r="U824" t="inlineStr"/>
      <c r="V824">
        <f>IF(J824="","",MONTH(J824))</f>
        <v/>
      </c>
      <c r="W824">
        <f>IF(J824="","",YEAR(J824))</f>
        <v/>
      </c>
      <c r="X824" t="inlineStr"/>
      <c r="Y824">
        <f>IFERROR(INDEX(Rastreio!$H$2:$H$200,MATCH(X824&amp;"|"&amp;U824,Rastreio!$A$2:$A$200,0)),"")</f>
        <v/>
      </c>
    </row>
    <row r="825">
      <c r="A825">
        <f>IFERROR(INDEX(STAs!$G$2:$G$61,MATCH(P825,STAs!$F$2:$F$61,0))&amp;"","")</f>
        <v/>
      </c>
      <c r="B825" t="n">
        <v>20005781</v>
      </c>
      <c r="C825" t="inlineStr">
        <is>
          <t>Não</t>
        </is>
      </c>
      <c r="D825" t="inlineStr">
        <is>
          <t>DF</t>
        </is>
      </c>
      <c r="E825" t="inlineStr">
        <is>
          <t>CENTRO OESTE</t>
        </is>
      </c>
      <c r="F825" t="inlineStr">
        <is>
          <t>Cliente C - Misturador</t>
        </is>
      </c>
      <c r="G825" t="inlineStr">
        <is>
          <t>Chopeiras</t>
        </is>
      </c>
      <c r="H825" s="10" t="n">
        <v>205</v>
      </c>
      <c r="I825" s="10">
        <f>IFERROR(T825*H825,0)</f>
        <v/>
      </c>
      <c r="J825" s="11" t="n">
        <v>46052</v>
      </c>
      <c r="K825" s="11" t="n">
        <v>46062</v>
      </c>
      <c r="L825" t="inlineStr">
        <is>
          <t>Ok. Devolvida</t>
        </is>
      </c>
      <c r="M825">
        <f>IF(L825="","",IFERROR(VLOOKUP(L825,mapGrupoStatus,2,0),"Outros"))</f>
        <v/>
      </c>
      <c r="N825">
        <f>IF(O825="","",IF(O825&lt;=30,"0-30 dias",IF(O825&lt;=60,"31-60 dias",IF(O825&lt;=90,"61-90 dias","Mais de 90 dias"))))</f>
        <v/>
      </c>
      <c r="O825">
        <f>IF(OR(M825="Pendente",M825="Em andamento"),IF(J825="","",TODAY()-J825),"")</f>
        <v/>
      </c>
      <c r="P825" t="n">
        <v>10021</v>
      </c>
      <c r="Q825" t="inlineStr">
        <is>
          <t>Termotec Técnica (10021)</t>
        </is>
      </c>
      <c r="R825" t="inlineStr">
        <is>
          <t>PC-0031</t>
        </is>
      </c>
      <c r="S825" t="inlineStr">
        <is>
          <t>Serpentina modelo 03</t>
        </is>
      </c>
      <c r="T825" t="n">
        <v>1</v>
      </c>
      <c r="U825" t="n">
        <v>108</v>
      </c>
      <c r="V825">
        <f>IF(J825="","",MONTH(J825))</f>
        <v/>
      </c>
      <c r="W825">
        <f>IF(J825="","",YEAR(J825))</f>
        <v/>
      </c>
      <c r="X825" t="inlineStr">
        <is>
          <t>LogExpress</t>
        </is>
      </c>
      <c r="Y825">
        <f>IFERROR(INDEX(Rastreio!$H$2:$H$200,MATCH(X825&amp;"|"&amp;U825,Rastreio!$A$2:$A$200,0)),"")</f>
        <v/>
      </c>
    </row>
    <row r="826">
      <c r="A826">
        <f>IFERROR(INDEX(STAs!$G$2:$G$61,MATCH(P826,STAs!$F$2:$F$61,0))&amp;"","")</f>
        <v/>
      </c>
      <c r="B826" t="n">
        <v>20008773</v>
      </c>
      <c r="C826" t="inlineStr">
        <is>
          <t>Não</t>
        </is>
      </c>
      <c r="D826" t="inlineStr">
        <is>
          <t>PI</t>
        </is>
      </c>
      <c r="E826" t="inlineStr">
        <is>
          <t>NORDESTE</t>
        </is>
      </c>
      <c r="F826" t="inlineStr">
        <is>
          <t>Cliente C - Misturador</t>
        </is>
      </c>
      <c r="G826" t="inlineStr">
        <is>
          <t>Refrigeradores</t>
        </is>
      </c>
      <c r="H826" s="10" t="n">
        <v>35</v>
      </c>
      <c r="I826" s="10">
        <f>IFERROR(T826*H826,0)</f>
        <v/>
      </c>
      <c r="J826" s="11" t="n">
        <v>46052</v>
      </c>
      <c r="K826" s="11" t="n">
        <v>46092</v>
      </c>
      <c r="L826" t="inlineStr">
        <is>
          <t>Ok. Devolvida</t>
        </is>
      </c>
      <c r="M826">
        <f>IF(L826="","",IFERROR(VLOOKUP(L826,mapGrupoStatus,2,0),"Outros"))</f>
        <v/>
      </c>
      <c r="N826">
        <f>IF(O826="","",IF(O826&lt;=30,"0-30 dias",IF(O826&lt;=60,"31-60 dias",IF(O826&lt;=90,"61-90 dias","Mais de 90 dias"))))</f>
        <v/>
      </c>
      <c r="O826">
        <f>IF(OR(M826="Pendente",M826="Em andamento"),IF(J826="","",TODAY()-J826),"")</f>
        <v/>
      </c>
      <c r="P826" t="n">
        <v>10562</v>
      </c>
      <c r="Q826" t="inlineStr">
        <is>
          <t>Clima &amp; Cia (10562)</t>
        </is>
      </c>
      <c r="R826" t="inlineStr">
        <is>
          <t>PC-0023</t>
        </is>
      </c>
      <c r="S826" t="inlineStr">
        <is>
          <t>Relé de partida modelo 01</t>
        </is>
      </c>
      <c r="T826" t="n">
        <v>2</v>
      </c>
      <c r="U826" t="n">
        <v>116</v>
      </c>
      <c r="V826">
        <f>IF(J826="","",MONTH(J826))</f>
        <v/>
      </c>
      <c r="W826">
        <f>IF(J826="","",YEAR(J826))</f>
        <v/>
      </c>
      <c r="X826" t="inlineStr">
        <is>
          <t>RotaSul</t>
        </is>
      </c>
      <c r="Y826">
        <f>IFERROR(INDEX(Rastreio!$H$2:$H$200,MATCH(X826&amp;"|"&amp;U826,Rastreio!$A$2:$A$200,0)),"")</f>
        <v/>
      </c>
    </row>
    <row r="827">
      <c r="A827">
        <f>IFERROR(INDEX(STAs!$G$2:$G$61,MATCH(P827,STAs!$F$2:$F$61,0))&amp;"","")</f>
        <v/>
      </c>
      <c r="B827" t="n">
        <v>20021396</v>
      </c>
      <c r="C827" t="inlineStr">
        <is>
          <t>Não</t>
        </is>
      </c>
      <c r="D827" t="inlineStr">
        <is>
          <t>MS</t>
        </is>
      </c>
      <c r="E827" t="inlineStr">
        <is>
          <t>CENTRO OESTE</t>
        </is>
      </c>
      <c r="F827" t="inlineStr">
        <is>
          <t>Cliente B - Chopeira</t>
        </is>
      </c>
      <c r="G827" t="inlineStr">
        <is>
          <t>Refrigeradores</t>
        </is>
      </c>
      <c r="H827" s="10" t="n">
        <v>70</v>
      </c>
      <c r="I827" s="10">
        <f>IFERROR(T827*H827,0)</f>
        <v/>
      </c>
      <c r="J827" s="11" t="n">
        <v>46052</v>
      </c>
      <c r="K827" s="11" t="n">
        <v>46079</v>
      </c>
      <c r="L827" t="inlineStr">
        <is>
          <t>Ok. Devolvida</t>
        </is>
      </c>
      <c r="M827">
        <f>IF(L827="","",IFERROR(VLOOKUP(L827,mapGrupoStatus,2,0),"Outros"))</f>
        <v/>
      </c>
      <c r="N827">
        <f>IF(O827="","",IF(O827&lt;=30,"0-30 dias",IF(O827&lt;=60,"31-60 dias",IF(O827&lt;=90,"61-90 dias","Mais de 90 dias"))))</f>
        <v/>
      </c>
      <c r="O827">
        <f>IF(OR(M827="Pendente",M827="Em andamento"),IF(J827="","",TODAY()-J827),"")</f>
        <v/>
      </c>
      <c r="P827" t="n">
        <v>10302</v>
      </c>
      <c r="Q827" t="inlineStr">
        <is>
          <t>Ice Tech Express (10302)</t>
        </is>
      </c>
      <c r="R827" t="inlineStr">
        <is>
          <t>PC-0009</t>
        </is>
      </c>
      <c r="S827" t="inlineStr">
        <is>
          <t>Ventilador modelo 03</t>
        </is>
      </c>
      <c r="T827" t="n">
        <v>1</v>
      </c>
      <c r="U827" t="n">
        <v>132</v>
      </c>
      <c r="V827">
        <f>IF(J827="","",MONTH(J827))</f>
        <v/>
      </c>
      <c r="W827">
        <f>IF(J827="","",YEAR(J827))</f>
        <v/>
      </c>
      <c r="X827" t="inlineStr">
        <is>
          <t>TransNorte</t>
        </is>
      </c>
      <c r="Y827">
        <f>IFERROR(INDEX(Rastreio!$H$2:$H$200,MATCH(X827&amp;"|"&amp;U827,Rastreio!$A$2:$A$200,0)),"")</f>
        <v/>
      </c>
    </row>
    <row r="828">
      <c r="A828">
        <f>IFERROR(INDEX(STAs!$G$2:$G$61,MATCH(P828,STAs!$F$2:$F$61,0))&amp;"","")</f>
        <v/>
      </c>
      <c r="B828" t="n">
        <v>20032040</v>
      </c>
      <c r="C828" t="inlineStr">
        <is>
          <t>Não</t>
        </is>
      </c>
      <c r="D828" t="inlineStr">
        <is>
          <t>AM</t>
        </is>
      </c>
      <c r="E828" t="inlineStr">
        <is>
          <t>NORTE</t>
        </is>
      </c>
      <c r="F828" t="inlineStr">
        <is>
          <t>Cliente B - Chopeira</t>
        </is>
      </c>
      <c r="G828" t="inlineStr">
        <is>
          <t>Refrigeradores</t>
        </is>
      </c>
      <c r="H828" s="10" t="n">
        <v>30</v>
      </c>
      <c r="I828" s="10">
        <f>IFERROR(T828*H828,0)</f>
        <v/>
      </c>
      <c r="J828" s="11" t="n">
        <v>46052</v>
      </c>
      <c r="K828" s="11" t="n"/>
      <c r="L828" t="inlineStr">
        <is>
          <t>Não Devolve-Norte</t>
        </is>
      </c>
      <c r="M828">
        <f>IF(L828="","",IFERROR(VLOOKUP(L828,mapGrupoStatus,2,0),"Outros"))</f>
        <v/>
      </c>
      <c r="N828">
        <f>IF(O828="","",IF(O828&lt;=30,"0-30 dias",IF(O828&lt;=60,"31-60 dias",IF(O828&lt;=90,"61-90 dias","Mais de 90 dias"))))</f>
        <v/>
      </c>
      <c r="O828">
        <f>IF(OR(M828="Pendente",M828="Em andamento"),IF(J828="","",TODAY()-J828),"")</f>
        <v/>
      </c>
      <c r="P828" t="n">
        <v>12269</v>
      </c>
      <c r="Q828" t="inlineStr">
        <is>
          <t>Polar Técnica (12269)</t>
        </is>
      </c>
      <c r="R828" t="inlineStr">
        <is>
          <t>PC-0017</t>
        </is>
      </c>
      <c r="S828" t="inlineStr">
        <is>
          <t>Filtro secador modelo 03</t>
        </is>
      </c>
      <c r="T828" t="n">
        <v>1</v>
      </c>
      <c r="U828" t="inlineStr"/>
      <c r="V828">
        <f>IF(J828="","",MONTH(J828))</f>
        <v/>
      </c>
      <c r="W828">
        <f>IF(J828="","",YEAR(J828))</f>
        <v/>
      </c>
      <c r="X828" t="inlineStr"/>
      <c r="Y828">
        <f>IFERROR(INDEX(Rastreio!$H$2:$H$200,MATCH(X828&amp;"|"&amp;U828,Rastreio!$A$2:$A$200,0)),"")</f>
        <v/>
      </c>
    </row>
    <row r="829">
      <c r="A829">
        <f>IFERROR(INDEX(STAs!$G$2:$G$61,MATCH(P829,STAs!$F$2:$F$61,0))&amp;"","")</f>
        <v/>
      </c>
      <c r="B829" t="n">
        <v>20007740</v>
      </c>
      <c r="C829" t="inlineStr">
        <is>
          <t>Não</t>
        </is>
      </c>
      <c r="D829" t="inlineStr">
        <is>
          <t>SP</t>
        </is>
      </c>
      <c r="E829" t="inlineStr">
        <is>
          <t>SUDESTE SP</t>
        </is>
      </c>
      <c r="F829" t="inlineStr">
        <is>
          <t>Cliente B - Chopeira</t>
        </is>
      </c>
      <c r="G829" t="inlineStr">
        <is>
          <t>Refrigeradores</t>
        </is>
      </c>
      <c r="H829" s="10" t="n">
        <v>30</v>
      </c>
      <c r="I829" s="10">
        <f>IFERROR(T829*H829,0)</f>
        <v/>
      </c>
      <c r="J829" s="11" t="n">
        <v>46053</v>
      </c>
      <c r="K829" s="11" t="n">
        <v>46061</v>
      </c>
      <c r="L829" t="inlineStr">
        <is>
          <t>Ok. Devolvida</t>
        </is>
      </c>
      <c r="M829">
        <f>IF(L829="","",IFERROR(VLOOKUP(L829,mapGrupoStatus,2,0),"Outros"))</f>
        <v/>
      </c>
      <c r="N829">
        <f>IF(O829="","",IF(O829&lt;=30,"0-30 dias",IF(O829&lt;=60,"31-60 dias",IF(O829&lt;=90,"61-90 dias","Mais de 90 dias"))))</f>
        <v/>
      </c>
      <c r="O829">
        <f>IF(OR(M829="Pendente",M829="Em andamento"),IF(J829="","",TODAY()-J829),"")</f>
        <v/>
      </c>
      <c r="P829" t="n">
        <v>11710</v>
      </c>
      <c r="Q829" t="inlineStr">
        <is>
          <t>Brisa &amp; Cia (11710)</t>
        </is>
      </c>
      <c r="R829" t="inlineStr">
        <is>
          <t>PC-0017</t>
        </is>
      </c>
      <c r="S829" t="inlineStr">
        <is>
          <t>Filtro secador modelo 03</t>
        </is>
      </c>
      <c r="T829" t="n">
        <v>1</v>
      </c>
      <c r="U829" t="n">
        <v>113</v>
      </c>
      <c r="V829">
        <f>IF(J829="","",MONTH(J829))</f>
        <v/>
      </c>
      <c r="W829">
        <f>IF(J829="","",YEAR(J829))</f>
        <v/>
      </c>
      <c r="X829" t="inlineStr">
        <is>
          <t>RotaSul</t>
        </is>
      </c>
      <c r="Y829">
        <f>IFERROR(INDEX(Rastreio!$H$2:$H$200,MATCH(X829&amp;"|"&amp;U829,Rastreio!$A$2:$A$200,0)),"")</f>
        <v/>
      </c>
    </row>
    <row r="830">
      <c r="A830">
        <f>IFERROR(INDEX(STAs!$G$2:$G$61,MATCH(P830,STAs!$F$2:$F$61,0))&amp;"","")</f>
        <v/>
      </c>
      <c r="B830" t="n">
        <v>20017756</v>
      </c>
      <c r="C830" t="inlineStr">
        <is>
          <t>Não</t>
        </is>
      </c>
      <c r="D830" t="inlineStr">
        <is>
          <t>MS</t>
        </is>
      </c>
      <c r="E830" t="inlineStr">
        <is>
          <t>CENTRO OESTE</t>
        </is>
      </c>
      <c r="F830" t="inlineStr">
        <is>
          <t>Cliente B - Chopeira</t>
        </is>
      </c>
      <c r="G830" t="inlineStr">
        <is>
          <t>Refrigeradores</t>
        </is>
      </c>
      <c r="H830" s="10" t="n">
        <v>155</v>
      </c>
      <c r="I830" s="10">
        <f>IFERROR(T830*H830,0)</f>
        <v/>
      </c>
      <c r="J830" s="11" t="n">
        <v>46053</v>
      </c>
      <c r="K830" s="11" t="n"/>
      <c r="L830" t="inlineStr">
        <is>
          <t>Aguardando devolução</t>
        </is>
      </c>
      <c r="M830">
        <f>IF(L830="","",IFERROR(VLOOKUP(L830,mapGrupoStatus,2,0),"Outros"))</f>
        <v/>
      </c>
      <c r="N830">
        <f>IF(O830="","",IF(O830&lt;=30,"0-30 dias",IF(O830&lt;=60,"31-60 dias",IF(O830&lt;=90,"61-90 dias","Mais de 90 dias"))))</f>
        <v/>
      </c>
      <c r="O830">
        <f>IF(OR(M830="Pendente",M830="Em andamento"),IF(J830="","",TODAY()-J830),"")</f>
        <v/>
      </c>
      <c r="P830" t="n">
        <v>10302</v>
      </c>
      <c r="Q830" t="inlineStr">
        <is>
          <t>Ice Tech Express (10302)</t>
        </is>
      </c>
      <c r="R830" t="inlineStr">
        <is>
          <t>PC-0021</t>
        </is>
      </c>
      <c r="S830" t="inlineStr">
        <is>
          <t>Controlador digital modelo 01</t>
        </is>
      </c>
      <c r="T830" t="n">
        <v>2</v>
      </c>
      <c r="U830" t="inlineStr"/>
      <c r="V830">
        <f>IF(J830="","",MONTH(J830))</f>
        <v/>
      </c>
      <c r="W830">
        <f>IF(J830="","",YEAR(J830))</f>
        <v/>
      </c>
      <c r="X830" t="inlineStr"/>
      <c r="Y830">
        <f>IFERROR(INDEX(Rastreio!$H$2:$H$200,MATCH(X830&amp;"|"&amp;U830,Rastreio!$A$2:$A$200,0)),"")</f>
        <v/>
      </c>
    </row>
    <row r="831">
      <c r="A831">
        <f>IFERROR(INDEX(STAs!$G$2:$G$61,MATCH(P831,STAs!$F$2:$F$61,0))&amp;"","")</f>
        <v/>
      </c>
      <c r="B831" t="n">
        <v>20018720</v>
      </c>
      <c r="C831" t="inlineStr">
        <is>
          <t>Não</t>
        </is>
      </c>
      <c r="D831" t="inlineStr">
        <is>
          <t>GO</t>
        </is>
      </c>
      <c r="E831" t="inlineStr">
        <is>
          <t>CENTRO OESTE</t>
        </is>
      </c>
      <c r="F831" t="inlineStr">
        <is>
          <t>Cliente B - Chopeira</t>
        </is>
      </c>
      <c r="G831" t="inlineStr">
        <is>
          <t>Refrigeradores</t>
        </is>
      </c>
      <c r="H831" s="10" t="n">
        <v>65</v>
      </c>
      <c r="I831" s="10">
        <f>IFERROR(T831*H831,0)</f>
        <v/>
      </c>
      <c r="J831" s="11" t="n">
        <v>46053</v>
      </c>
      <c r="K831" s="11" t="n">
        <v>46085</v>
      </c>
      <c r="L831" t="inlineStr">
        <is>
          <t>Ok. Devolvida</t>
        </is>
      </c>
      <c r="M831">
        <f>IF(L831="","",IFERROR(VLOOKUP(L831,mapGrupoStatus,2,0),"Outros"))</f>
        <v/>
      </c>
      <c r="N831">
        <f>IF(O831="","",IF(O831&lt;=30,"0-30 dias",IF(O831&lt;=60,"31-60 dias",IF(O831&lt;=90,"61-90 dias","Mais de 90 dias"))))</f>
        <v/>
      </c>
      <c r="O831">
        <f>IF(OR(M831="Pendente",M831="Em andamento"),IF(J831="","",TODAY()-J831),"")</f>
        <v/>
      </c>
      <c r="P831" t="n">
        <v>12007</v>
      </c>
      <c r="Q831" t="inlineStr">
        <is>
          <t>Refrigel Ltda (12007)</t>
        </is>
      </c>
      <c r="R831" t="inlineStr">
        <is>
          <t>PC-0010</t>
        </is>
      </c>
      <c r="S831" t="inlineStr">
        <is>
          <t>Ventilador modelo 04</t>
        </is>
      </c>
      <c r="T831" t="n">
        <v>2</v>
      </c>
      <c r="U831" t="n">
        <v>127</v>
      </c>
      <c r="V831">
        <f>IF(J831="","",MONTH(J831))</f>
        <v/>
      </c>
      <c r="W831">
        <f>IF(J831="","",YEAR(J831))</f>
        <v/>
      </c>
      <c r="X831" t="inlineStr">
        <is>
          <t>EntregaJá</t>
        </is>
      </c>
      <c r="Y831">
        <f>IFERROR(INDEX(Rastreio!$H$2:$H$200,MATCH(X831&amp;"|"&amp;U831,Rastreio!$A$2:$A$200,0)),"")</f>
        <v/>
      </c>
    </row>
    <row r="832">
      <c r="A832">
        <f>IFERROR(INDEX(STAs!$G$2:$G$61,MATCH(P832,STAs!$F$2:$F$61,0))&amp;"","")</f>
        <v/>
      </c>
      <c r="B832" t="n">
        <v>20026238</v>
      </c>
      <c r="C832" t="inlineStr">
        <is>
          <t>Não</t>
        </is>
      </c>
      <c r="D832" t="inlineStr">
        <is>
          <t>RR</t>
        </is>
      </c>
      <c r="E832" t="inlineStr">
        <is>
          <t>NORTE</t>
        </is>
      </c>
      <c r="F832" t="inlineStr">
        <is>
          <t>Cliente C - Misturador</t>
        </is>
      </c>
      <c r="G832" t="inlineStr">
        <is>
          <t>Refrigeradores</t>
        </is>
      </c>
      <c r="H832" s="10" t="n">
        <v>190</v>
      </c>
      <c r="I832" s="10">
        <f>IFERROR(T832*H832,0)</f>
        <v/>
      </c>
      <c r="J832" s="11" t="n">
        <v>46053</v>
      </c>
      <c r="K832" s="11" t="n"/>
      <c r="L832" t="inlineStr">
        <is>
          <t>Não Devolve-Norte</t>
        </is>
      </c>
      <c r="M832">
        <f>IF(L832="","",IFERROR(VLOOKUP(L832,mapGrupoStatus,2,0),"Outros"))</f>
        <v/>
      </c>
      <c r="N832">
        <f>IF(O832="","",IF(O832&lt;=30,"0-30 dias",IF(O832&lt;=60,"31-60 dias",IF(O832&lt;=90,"61-90 dias","Mais de 90 dias"))))</f>
        <v/>
      </c>
      <c r="O832">
        <f>IF(OR(M832="Pendente",M832="Em andamento"),IF(J832="","",TODAY()-J832),"")</f>
        <v/>
      </c>
      <c r="P832" t="n">
        <v>12422</v>
      </c>
      <c r="Q832" t="inlineStr">
        <is>
          <t>Assistência Técnica Refrigeração (12422)</t>
        </is>
      </c>
      <c r="R832" t="inlineStr">
        <is>
          <t>PC-0011</t>
        </is>
      </c>
      <c r="S832" t="inlineStr">
        <is>
          <t>Placa eletrônica modelo 01</t>
        </is>
      </c>
      <c r="T832" t="n">
        <v>1</v>
      </c>
      <c r="U832" t="inlineStr"/>
      <c r="V832">
        <f>IF(J832="","",MONTH(J832))</f>
        <v/>
      </c>
      <c r="W832">
        <f>IF(J832="","",YEAR(J832))</f>
        <v/>
      </c>
      <c r="X832" t="inlineStr"/>
      <c r="Y832">
        <f>IFERROR(INDEX(Rastreio!$H$2:$H$200,MATCH(X832&amp;"|"&amp;U832,Rastreio!$A$2:$A$200,0)),"")</f>
        <v/>
      </c>
    </row>
    <row r="833">
      <c r="A833">
        <f>IFERROR(INDEX(STAs!$G$2:$G$61,MATCH(P833,STAs!$F$2:$F$61,0))&amp;"","")</f>
        <v/>
      </c>
      <c r="B833" t="n">
        <v>20027471</v>
      </c>
      <c r="C833" t="inlineStr">
        <is>
          <t>Não</t>
        </is>
      </c>
      <c r="D833" t="inlineStr">
        <is>
          <t>AC</t>
        </is>
      </c>
      <c r="E833" t="inlineStr">
        <is>
          <t>NORTE</t>
        </is>
      </c>
      <c r="F833" t="inlineStr">
        <is>
          <t>Cliente B - Chopeira</t>
        </is>
      </c>
      <c r="G833" t="inlineStr">
        <is>
          <t>Refrigeradores</t>
        </is>
      </c>
      <c r="H833" s="10" t="n">
        <v>35</v>
      </c>
      <c r="I833" s="10">
        <f>IFERROR(T833*H833,0)</f>
        <v/>
      </c>
      <c r="J833" s="11" t="n">
        <v>46053</v>
      </c>
      <c r="K833" s="11" t="n"/>
      <c r="L833" t="inlineStr">
        <is>
          <t>Em transporte</t>
        </is>
      </c>
      <c r="M833">
        <f>IF(L833="","",IFERROR(VLOOKUP(L833,mapGrupoStatus,2,0),"Outros"))</f>
        <v/>
      </c>
      <c r="N833">
        <f>IF(O833="","",IF(O833&lt;=30,"0-30 dias",IF(O833&lt;=60,"31-60 dias",IF(O833&lt;=90,"61-90 dias","Mais de 90 dias"))))</f>
        <v/>
      </c>
      <c r="O833">
        <f>IF(OR(M833="Pendente",M833="Em andamento"),IF(J833="","",TODAY()-J833),"")</f>
        <v/>
      </c>
      <c r="P833" t="n">
        <v>11022</v>
      </c>
      <c r="Q833" t="inlineStr">
        <is>
          <t>Brisa Ltda (11022)</t>
        </is>
      </c>
      <c r="R833" t="inlineStr">
        <is>
          <t>PC-0020</t>
        </is>
      </c>
      <c r="S833" t="inlineStr">
        <is>
          <t>Gaxeta da porta modelo 03</t>
        </is>
      </c>
      <c r="T833" t="n">
        <v>1</v>
      </c>
      <c r="U833" t="n">
        <v>147</v>
      </c>
      <c r="V833">
        <f>IF(J833="","",MONTH(J833))</f>
        <v/>
      </c>
      <c r="W833">
        <f>IF(J833="","",YEAR(J833))</f>
        <v/>
      </c>
      <c r="X833" t="inlineStr">
        <is>
          <t>CargoMax</t>
        </is>
      </c>
      <c r="Y833">
        <f>IFERROR(INDEX(Rastreio!$H$2:$H$200,MATCH(X833&amp;"|"&amp;U833,Rastreio!$A$2:$A$200,0)),"")</f>
        <v/>
      </c>
    </row>
    <row r="834">
      <c r="A834">
        <f>IFERROR(INDEX(STAs!$G$2:$G$61,MATCH(P834,STAs!$F$2:$F$61,0))&amp;"","")</f>
        <v/>
      </c>
      <c r="B834" t="n">
        <v>20040719</v>
      </c>
      <c r="C834" t="inlineStr">
        <is>
          <t>Não</t>
        </is>
      </c>
      <c r="D834" t="inlineStr">
        <is>
          <t>MS</t>
        </is>
      </c>
      <c r="E834" t="inlineStr">
        <is>
          <t>CENTRO OESTE</t>
        </is>
      </c>
      <c r="F834" t="inlineStr">
        <is>
          <t>Cliente C - Misturador</t>
        </is>
      </c>
      <c r="G834" t="inlineStr">
        <is>
          <t>Misturadores</t>
        </is>
      </c>
      <c r="H834" s="10" t="n">
        <v>255</v>
      </c>
      <c r="I834" s="10">
        <f>IFERROR(T834*H834,0)</f>
        <v/>
      </c>
      <c r="J834" s="11" t="n">
        <v>46053</v>
      </c>
      <c r="K834" s="11" t="n"/>
      <c r="L834" t="inlineStr">
        <is>
          <t>NF Vencida</t>
        </is>
      </c>
      <c r="M834">
        <f>IF(L834="","",IFERROR(VLOOKUP(L834,mapGrupoStatus,2,0),"Outros"))</f>
        <v/>
      </c>
      <c r="N834">
        <f>IF(O834="","",IF(O834&lt;=30,"0-30 dias",IF(O834&lt;=60,"31-60 dias",IF(O834&lt;=90,"61-90 dias","Mais de 90 dias"))))</f>
        <v/>
      </c>
      <c r="O834">
        <f>IF(OR(M834="Pendente",M834="Em andamento"),IF(J834="","",TODAY()-J834),"")</f>
        <v/>
      </c>
      <c r="P834" t="n">
        <v>11726</v>
      </c>
      <c r="Q834" t="inlineStr">
        <is>
          <t>Norte Frio Refrigeração (11726)</t>
        </is>
      </c>
      <c r="R834" t="inlineStr">
        <is>
          <t>PC-0037</t>
        </is>
      </c>
      <c r="S834" t="inlineStr">
        <is>
          <t>Bomba de recirculação modelo 01</t>
        </is>
      </c>
      <c r="T834" t="n">
        <v>1</v>
      </c>
      <c r="U834" t="inlineStr"/>
      <c r="V834">
        <f>IF(J834="","",MONTH(J834))</f>
        <v/>
      </c>
      <c r="W834">
        <f>IF(J834="","",YEAR(J834))</f>
        <v/>
      </c>
      <c r="X834" t="inlineStr"/>
      <c r="Y834">
        <f>IFERROR(INDEX(Rastreio!$H$2:$H$200,MATCH(X834&amp;"|"&amp;U834,Rastreio!$A$2:$A$200,0)),"")</f>
        <v/>
      </c>
    </row>
    <row r="835">
      <c r="A835">
        <f>IFERROR(INDEX(STAs!$G$2:$G$61,MATCH(P835,STAs!$F$2:$F$61,0))&amp;"","")</f>
        <v/>
      </c>
      <c r="B835" t="n">
        <v>20014333</v>
      </c>
      <c r="C835" t="inlineStr">
        <is>
          <t>Sim</t>
        </is>
      </c>
      <c r="D835" t="inlineStr">
        <is>
          <t>CE</t>
        </is>
      </c>
      <c r="E835" t="inlineStr">
        <is>
          <t>NORDESTE</t>
        </is>
      </c>
      <c r="F835" t="inlineStr">
        <is>
          <t>Cliente B - Chopeira</t>
        </is>
      </c>
      <c r="G835" t="inlineStr">
        <is>
          <t>Misturadores</t>
        </is>
      </c>
      <c r="H835" s="10" t="n">
        <v>50</v>
      </c>
      <c r="I835" s="10">
        <f>IFERROR(T835*H835,0)</f>
        <v/>
      </c>
      <c r="J835" s="11" t="n">
        <v>46054</v>
      </c>
      <c r="K835" s="11" t="n"/>
      <c r="L835" t="inlineStr">
        <is>
          <t>Em transporte</t>
        </is>
      </c>
      <c r="M835">
        <f>IF(L835="","",IFERROR(VLOOKUP(L835,mapGrupoStatus,2,0),"Outros"))</f>
        <v/>
      </c>
      <c r="N835">
        <f>IF(O835="","",IF(O835&lt;=30,"0-30 dias",IF(O835&lt;=60,"31-60 dias",IF(O835&lt;=90,"61-90 dias","Mais de 90 dias"))))</f>
        <v/>
      </c>
      <c r="O835">
        <f>IF(OR(M835="Pendente",M835="Em andamento"),IF(J835="","",TODAY()-J835),"")</f>
        <v/>
      </c>
      <c r="P835" t="n">
        <v>10615</v>
      </c>
      <c r="Q835" t="inlineStr">
        <is>
          <t>Brisa Técnica (10615)</t>
        </is>
      </c>
      <c r="R835" t="inlineStr">
        <is>
          <t>PC-0044</t>
        </is>
      </c>
      <c r="S835" t="inlineStr">
        <is>
          <t>Bico dosador modelo 03</t>
        </is>
      </c>
      <c r="T835" t="n">
        <v>1</v>
      </c>
      <c r="U835" t="n">
        <v>124</v>
      </c>
      <c r="V835">
        <f>IF(J835="","",MONTH(J835))</f>
        <v/>
      </c>
      <c r="W835">
        <f>IF(J835="","",YEAR(J835))</f>
        <v/>
      </c>
      <c r="X835" t="inlineStr">
        <is>
          <t>EntregaJá</t>
        </is>
      </c>
      <c r="Y835">
        <f>IFERROR(INDEX(Rastreio!$H$2:$H$200,MATCH(X835&amp;"|"&amp;U835,Rastreio!$A$2:$A$200,0)),"")</f>
        <v/>
      </c>
    </row>
    <row r="836">
      <c r="A836">
        <f>IFERROR(INDEX(STAs!$G$2:$G$61,MATCH(P836,STAs!$F$2:$F$61,0))&amp;"","")</f>
        <v/>
      </c>
      <c r="B836" t="n">
        <v>20022399</v>
      </c>
      <c r="C836" t="inlineStr">
        <is>
          <t>Não</t>
        </is>
      </c>
      <c r="D836" t="inlineStr">
        <is>
          <t>GO</t>
        </is>
      </c>
      <c r="E836" t="inlineStr">
        <is>
          <t>CENTRO OESTE</t>
        </is>
      </c>
      <c r="F836" t="inlineStr">
        <is>
          <t>Cliente A - Refrigerador</t>
        </is>
      </c>
      <c r="G836" t="inlineStr">
        <is>
          <t>Chopeiras</t>
        </is>
      </c>
      <c r="H836" s="10" t="n">
        <v>85</v>
      </c>
      <c r="I836" s="10">
        <f>IFERROR(T836*H836,0)</f>
        <v/>
      </c>
      <c r="J836" s="11" t="n">
        <v>46054</v>
      </c>
      <c r="K836" s="11" t="n"/>
      <c r="L836" t="inlineStr">
        <is>
          <t>Em transporte</t>
        </is>
      </c>
      <c r="M836">
        <f>IF(L836="","",IFERROR(VLOOKUP(L836,mapGrupoStatus,2,0),"Outros"))</f>
        <v/>
      </c>
      <c r="N836">
        <f>IF(O836="","",IF(O836&lt;=30,"0-30 dias",IF(O836&lt;=60,"31-60 dias",IF(O836&lt;=90,"61-90 dias","Mais de 90 dias"))))</f>
        <v/>
      </c>
      <c r="O836">
        <f>IF(OR(M836="Pendente",M836="Em andamento"),IF(J836="","",TODAY()-J836),"")</f>
        <v/>
      </c>
      <c r="P836" t="n">
        <v>11293</v>
      </c>
      <c r="Q836" t="inlineStr">
        <is>
          <t>Assistência Técnica Ltda (11293)</t>
        </is>
      </c>
      <c r="R836" t="inlineStr">
        <is>
          <t>PC-0028</t>
        </is>
      </c>
      <c r="S836" t="inlineStr">
        <is>
          <t>Torneira de chopp modelo 03</t>
        </is>
      </c>
      <c r="T836" t="n">
        <v>1</v>
      </c>
      <c r="U836" t="n">
        <v>135</v>
      </c>
      <c r="V836">
        <f>IF(J836="","",MONTH(J836))</f>
        <v/>
      </c>
      <c r="W836">
        <f>IF(J836="","",YEAR(J836))</f>
        <v/>
      </c>
      <c r="X836" t="inlineStr">
        <is>
          <t>TransNorte</t>
        </is>
      </c>
      <c r="Y836">
        <f>IFERROR(INDEX(Rastreio!$H$2:$H$200,MATCH(X836&amp;"|"&amp;U836,Rastreio!$A$2:$A$200,0)),"")</f>
        <v/>
      </c>
    </row>
    <row r="837">
      <c r="A837">
        <f>IFERROR(INDEX(STAs!$G$2:$G$61,MATCH(P837,STAs!$F$2:$F$61,0))&amp;"","")</f>
        <v/>
      </c>
      <c r="B837" t="n">
        <v>20023497</v>
      </c>
      <c r="C837" t="inlineStr">
        <is>
          <t>Não</t>
        </is>
      </c>
      <c r="D837" t="inlineStr">
        <is>
          <t>RO</t>
        </is>
      </c>
      <c r="E837" t="inlineStr">
        <is>
          <t>NORTE</t>
        </is>
      </c>
      <c r="F837" t="inlineStr">
        <is>
          <t>Cliente B - Chopeira</t>
        </is>
      </c>
      <c r="G837" t="inlineStr">
        <is>
          <t>Refrigeradores</t>
        </is>
      </c>
      <c r="H837" s="10" t="n">
        <v>325</v>
      </c>
      <c r="I837" s="10">
        <f>IFERROR(T837*H837,0)</f>
        <v/>
      </c>
      <c r="J837" s="11" t="n">
        <v>46054</v>
      </c>
      <c r="K837" s="11" t="n">
        <v>46109</v>
      </c>
      <c r="L837" t="inlineStr">
        <is>
          <t>Ok. Devolvida</t>
        </is>
      </c>
      <c r="M837">
        <f>IF(L837="","",IFERROR(VLOOKUP(L837,mapGrupoStatus,2,0),"Outros"))</f>
        <v/>
      </c>
      <c r="N837">
        <f>IF(O837="","",IF(O837&lt;=30,"0-30 dias",IF(O837&lt;=60,"31-60 dias",IF(O837&lt;=90,"61-90 dias","Mais de 90 dias"))))</f>
        <v/>
      </c>
      <c r="O837">
        <f>IF(OR(M837="Pendente",M837="Em andamento"),IF(J837="","",TODAY()-J837),"")</f>
        <v/>
      </c>
      <c r="P837" t="n">
        <v>12019</v>
      </c>
      <c r="Q837" t="inlineStr">
        <is>
          <t>Ártico Serviços (12019)</t>
        </is>
      </c>
      <c r="R837" t="inlineStr">
        <is>
          <t>PC-0001</t>
        </is>
      </c>
      <c r="S837" t="inlineStr">
        <is>
          <t>Compressor modelo 01</t>
        </is>
      </c>
      <c r="T837" t="n">
        <v>1</v>
      </c>
      <c r="U837" t="n">
        <v>139</v>
      </c>
      <c r="V837">
        <f>IF(J837="","",MONTH(J837))</f>
        <v/>
      </c>
      <c r="W837">
        <f>IF(J837="","",YEAR(J837))</f>
        <v/>
      </c>
      <c r="X837" t="inlineStr">
        <is>
          <t>ViaCargo</t>
        </is>
      </c>
      <c r="Y837">
        <f>IFERROR(INDEX(Rastreio!$H$2:$H$200,MATCH(X837&amp;"|"&amp;U837,Rastreio!$A$2:$A$200,0)),"")</f>
        <v/>
      </c>
    </row>
    <row r="838">
      <c r="A838">
        <f>IFERROR(INDEX(STAs!$G$2:$G$61,MATCH(P838,STAs!$F$2:$F$61,0))&amp;"","")</f>
        <v/>
      </c>
      <c r="B838" t="n">
        <v>20032870</v>
      </c>
      <c r="C838" t="inlineStr">
        <is>
          <t>Não</t>
        </is>
      </c>
      <c r="D838" t="inlineStr">
        <is>
          <t>RR</t>
        </is>
      </c>
      <c r="E838" t="inlineStr">
        <is>
          <t>NORTE</t>
        </is>
      </c>
      <c r="F838" t="inlineStr">
        <is>
          <t>Cliente C - Misturador</t>
        </is>
      </c>
      <c r="G838" t="inlineStr">
        <is>
          <t>Refrigeradores</t>
        </is>
      </c>
      <c r="H838" s="10" t="n">
        <v>65</v>
      </c>
      <c r="I838" s="10">
        <f>IFERROR(T838*H838,0)</f>
        <v/>
      </c>
      <c r="J838" s="11" t="n">
        <v>46054</v>
      </c>
      <c r="K838" s="11" t="n"/>
      <c r="L838" t="inlineStr">
        <is>
          <t>Em transporte</t>
        </is>
      </c>
      <c r="M838">
        <f>IF(L838="","",IFERROR(VLOOKUP(L838,mapGrupoStatus,2,0),"Outros"))</f>
        <v/>
      </c>
      <c r="N838">
        <f>IF(O838="","",IF(O838&lt;=30,"0-30 dias",IF(O838&lt;=60,"31-60 dias",IF(O838&lt;=90,"61-90 dias","Mais de 90 dias"))))</f>
        <v/>
      </c>
      <c r="O838">
        <f>IF(OR(M838="Pendente",M838="Em andamento"),IF(J838="","",TODAY()-J838),"")</f>
        <v/>
      </c>
      <c r="P838" t="n">
        <v>10468</v>
      </c>
      <c r="Q838" t="inlineStr">
        <is>
          <t>Clima Express (10468)</t>
        </is>
      </c>
      <c r="R838" t="inlineStr">
        <is>
          <t>PC-0010</t>
        </is>
      </c>
      <c r="S838" t="inlineStr">
        <is>
          <t>Ventilador modelo 04</t>
        </is>
      </c>
      <c r="T838" t="n">
        <v>1</v>
      </c>
      <c r="U838" t="n">
        <v>158</v>
      </c>
      <c r="V838">
        <f>IF(J838="","",MONTH(J838))</f>
        <v/>
      </c>
      <c r="W838">
        <f>IF(J838="","",YEAR(J838))</f>
        <v/>
      </c>
      <c r="X838" t="inlineStr">
        <is>
          <t>RotaSul</t>
        </is>
      </c>
      <c r="Y838">
        <f>IFERROR(INDEX(Rastreio!$H$2:$H$200,MATCH(X838&amp;"|"&amp;U838,Rastreio!$A$2:$A$200,0)),"")</f>
        <v/>
      </c>
    </row>
    <row r="839">
      <c r="A839">
        <f>IFERROR(INDEX(STAs!$G$2:$G$61,MATCH(P839,STAs!$F$2:$F$61,0))&amp;"","")</f>
        <v/>
      </c>
      <c r="B839" t="n">
        <v>20008730</v>
      </c>
      <c r="C839" t="inlineStr">
        <is>
          <t>Não</t>
        </is>
      </c>
      <c r="D839" t="inlineStr">
        <is>
          <t>RR</t>
        </is>
      </c>
      <c r="E839" t="inlineStr">
        <is>
          <t>NORTE</t>
        </is>
      </c>
      <c r="F839" t="inlineStr">
        <is>
          <t>Cliente C - Misturador</t>
        </is>
      </c>
      <c r="G839" t="inlineStr">
        <is>
          <t>Refrigeradores</t>
        </is>
      </c>
      <c r="H839" s="10" t="n">
        <v>190</v>
      </c>
      <c r="I839" s="10">
        <f>IFERROR(T839*H839,0)</f>
        <v/>
      </c>
      <c r="J839" s="11" t="n">
        <v>46055</v>
      </c>
      <c r="K839" s="11" t="n"/>
      <c r="L839" t="inlineStr">
        <is>
          <t>Não Devolve-Norte</t>
        </is>
      </c>
      <c r="M839">
        <f>IF(L839="","",IFERROR(VLOOKUP(L839,mapGrupoStatus,2,0),"Outros"))</f>
        <v/>
      </c>
      <c r="N839">
        <f>IF(O839="","",IF(O839&lt;=30,"0-30 dias",IF(O839&lt;=60,"31-60 dias",IF(O839&lt;=90,"61-90 dias","Mais de 90 dias"))))</f>
        <v/>
      </c>
      <c r="O839">
        <f>IF(OR(M839="Pendente",M839="Em andamento"),IF(J839="","",TODAY()-J839),"")</f>
        <v/>
      </c>
      <c r="P839" t="n">
        <v>10468</v>
      </c>
      <c r="Q839" t="inlineStr">
        <is>
          <t>Clima Express (10468)</t>
        </is>
      </c>
      <c r="R839" t="inlineStr">
        <is>
          <t>PC-0014</t>
        </is>
      </c>
      <c r="S839" t="inlineStr">
        <is>
          <t>Placa eletrônica modelo 04</t>
        </is>
      </c>
      <c r="T839" t="n">
        <v>1</v>
      </c>
      <c r="U839" t="inlineStr"/>
      <c r="V839">
        <f>IF(J839="","",MONTH(J839))</f>
        <v/>
      </c>
      <c r="W839">
        <f>IF(J839="","",YEAR(J839))</f>
        <v/>
      </c>
      <c r="X839" t="inlineStr"/>
      <c r="Y839">
        <f>IFERROR(INDEX(Rastreio!$H$2:$H$200,MATCH(X839&amp;"|"&amp;U839,Rastreio!$A$2:$A$200,0)),"")</f>
        <v/>
      </c>
    </row>
    <row r="840">
      <c r="A840">
        <f>IFERROR(INDEX(STAs!$G$2:$G$61,MATCH(P840,STAs!$F$2:$F$61,0))&amp;"","")</f>
        <v/>
      </c>
      <c r="B840" t="n">
        <v>20014180</v>
      </c>
      <c r="C840" t="inlineStr">
        <is>
          <t>Não</t>
        </is>
      </c>
      <c r="D840" t="inlineStr">
        <is>
          <t>RJ</t>
        </is>
      </c>
      <c r="E840" t="inlineStr">
        <is>
          <t>SUDESTE RJ e ES</t>
        </is>
      </c>
      <c r="F840" t="inlineStr">
        <is>
          <t>Cliente C - Misturador</t>
        </is>
      </c>
      <c r="G840" t="inlineStr">
        <is>
          <t>Chopeiras</t>
        </is>
      </c>
      <c r="H840" s="10" t="n">
        <v>85</v>
      </c>
      <c r="I840" s="10">
        <f>IFERROR(T840*H840,0)</f>
        <v/>
      </c>
      <c r="J840" s="11" t="n">
        <v>46055</v>
      </c>
      <c r="K840" s="11" t="n">
        <v>46085</v>
      </c>
      <c r="L840" t="inlineStr">
        <is>
          <t>Ok. Devolvida</t>
        </is>
      </c>
      <c r="M840">
        <f>IF(L840="","",IFERROR(VLOOKUP(L840,mapGrupoStatus,2,0),"Outros"))</f>
        <v/>
      </c>
      <c r="N840">
        <f>IF(O840="","",IF(O840&lt;=30,"0-30 dias",IF(O840&lt;=60,"31-60 dias",IF(O840&lt;=90,"61-90 dias","Mais de 90 dias"))))</f>
        <v/>
      </c>
      <c r="O840">
        <f>IF(OR(M840="Pendente",M840="Em andamento"),IF(J840="","",TODAY()-J840),"")</f>
        <v/>
      </c>
      <c r="P840" t="n">
        <v>11059</v>
      </c>
      <c r="Q840" t="inlineStr">
        <is>
          <t>Frio Ltda (11059)</t>
        </is>
      </c>
      <c r="R840" t="inlineStr">
        <is>
          <t>PC-0036</t>
        </is>
      </c>
      <c r="S840" t="inlineStr">
        <is>
          <t>Válvula extratora modelo 02</t>
        </is>
      </c>
      <c r="T840" t="n">
        <v>1</v>
      </c>
      <c r="U840" t="n">
        <v>127</v>
      </c>
      <c r="V840">
        <f>IF(J840="","",MONTH(J840))</f>
        <v/>
      </c>
      <c r="W840">
        <f>IF(J840="","",YEAR(J840))</f>
        <v/>
      </c>
      <c r="X840" t="inlineStr">
        <is>
          <t>CargoMax</t>
        </is>
      </c>
      <c r="Y840">
        <f>IFERROR(INDEX(Rastreio!$H$2:$H$200,MATCH(X840&amp;"|"&amp;U840,Rastreio!$A$2:$A$200,0)),"")</f>
        <v/>
      </c>
    </row>
    <row r="841">
      <c r="A841">
        <f>IFERROR(INDEX(STAs!$G$2:$G$61,MATCH(P841,STAs!$F$2:$F$61,0))&amp;"","")</f>
        <v/>
      </c>
      <c r="B841" t="n">
        <v>20019051</v>
      </c>
      <c r="C841" t="inlineStr">
        <is>
          <t>Não</t>
        </is>
      </c>
      <c r="D841" t="inlineStr">
        <is>
          <t>SP</t>
        </is>
      </c>
      <c r="E841" t="inlineStr">
        <is>
          <t>SUDESTE SP</t>
        </is>
      </c>
      <c r="F841" t="inlineStr">
        <is>
          <t>Cliente A - Refrigerador</t>
        </is>
      </c>
      <c r="G841" t="inlineStr">
        <is>
          <t>Refrigeradores</t>
        </is>
      </c>
      <c r="H841" s="10" t="n">
        <v>185</v>
      </c>
      <c r="I841" s="10">
        <f>IFERROR(T841*H841,0)</f>
        <v/>
      </c>
      <c r="J841" s="11" t="n">
        <v>46055</v>
      </c>
      <c r="K841" s="11" t="n"/>
      <c r="L841" t="inlineStr">
        <is>
          <t>Aguardando devolução</t>
        </is>
      </c>
      <c r="M841">
        <f>IF(L841="","",IFERROR(VLOOKUP(L841,mapGrupoStatus,2,0),"Outros"))</f>
        <v/>
      </c>
      <c r="N841">
        <f>IF(O841="","",IF(O841&lt;=30,"0-30 dias",IF(O841&lt;=60,"31-60 dias",IF(O841&lt;=90,"61-90 dias","Mais de 90 dias"))))</f>
        <v/>
      </c>
      <c r="O841">
        <f>IF(OR(M841="Pendente",M841="Em andamento"),IF(J841="","",TODAY()-J841),"")</f>
        <v/>
      </c>
      <c r="P841" t="n">
        <v>11710</v>
      </c>
      <c r="Q841" t="inlineStr">
        <is>
          <t>Brisa &amp; Cia (11710)</t>
        </is>
      </c>
      <c r="R841" t="inlineStr">
        <is>
          <t>PC-0013</t>
        </is>
      </c>
      <c r="S841" t="inlineStr">
        <is>
          <t>Placa eletrônica modelo 03</t>
        </is>
      </c>
      <c r="T841" t="n">
        <v>1</v>
      </c>
      <c r="U841" t="inlineStr"/>
      <c r="V841">
        <f>IF(J841="","",MONTH(J841))</f>
        <v/>
      </c>
      <c r="W841">
        <f>IF(J841="","",YEAR(J841))</f>
        <v/>
      </c>
      <c r="X841" t="inlineStr"/>
      <c r="Y841">
        <f>IFERROR(INDEX(Rastreio!$H$2:$H$200,MATCH(X841&amp;"|"&amp;U841,Rastreio!$A$2:$A$200,0)),"")</f>
        <v/>
      </c>
    </row>
    <row r="842">
      <c r="A842">
        <f>IFERROR(INDEX(STAs!$G$2:$G$61,MATCH(P842,STAs!$F$2:$F$61,0))&amp;"","")</f>
        <v/>
      </c>
      <c r="B842" t="n">
        <v>20025804</v>
      </c>
      <c r="C842" t="inlineStr">
        <is>
          <t>Não</t>
        </is>
      </c>
      <c r="D842" t="inlineStr">
        <is>
          <t>BA</t>
        </is>
      </c>
      <c r="E842" t="inlineStr">
        <is>
          <t>NORDESTE</t>
        </is>
      </c>
      <c r="F842" t="inlineStr">
        <is>
          <t>Cliente C - Misturador</t>
        </is>
      </c>
      <c r="G842" t="inlineStr">
        <is>
          <t>Refrigeradores</t>
        </is>
      </c>
      <c r="H842" s="10" t="n">
        <v>35</v>
      </c>
      <c r="I842" s="10">
        <f>IFERROR(T842*H842,0)</f>
        <v/>
      </c>
      <c r="J842" s="11" t="n">
        <v>46055</v>
      </c>
      <c r="K842" s="11" t="n"/>
      <c r="L842" t="inlineStr">
        <is>
          <t>NF Vencida</t>
        </is>
      </c>
      <c r="M842">
        <f>IF(L842="","",IFERROR(VLOOKUP(L842,mapGrupoStatus,2,0),"Outros"))</f>
        <v/>
      </c>
      <c r="N842">
        <f>IF(O842="","",IF(O842&lt;=30,"0-30 dias",IF(O842&lt;=60,"31-60 dias",IF(O842&lt;=90,"61-90 dias","Mais de 90 dias"))))</f>
        <v/>
      </c>
      <c r="O842">
        <f>IF(OR(M842="Pendente",M842="Em andamento"),IF(J842="","",TODAY()-J842),"")</f>
        <v/>
      </c>
      <c r="P842" t="n">
        <v>11244</v>
      </c>
      <c r="Q842" t="inlineStr">
        <is>
          <t>Refrigeração Manutenção (11244)</t>
        </is>
      </c>
      <c r="R842" t="inlineStr">
        <is>
          <t>PC-0024</t>
        </is>
      </c>
      <c r="S842" t="inlineStr">
        <is>
          <t>Relé de partida modelo 02</t>
        </is>
      </c>
      <c r="T842" t="n">
        <v>2</v>
      </c>
      <c r="U842" t="inlineStr"/>
      <c r="V842">
        <f>IF(J842="","",MONTH(J842))</f>
        <v/>
      </c>
      <c r="W842">
        <f>IF(J842="","",YEAR(J842))</f>
        <v/>
      </c>
      <c r="X842" t="inlineStr"/>
      <c r="Y842">
        <f>IFERROR(INDEX(Rastreio!$H$2:$H$200,MATCH(X842&amp;"|"&amp;U842,Rastreio!$A$2:$A$200,0)),"")</f>
        <v/>
      </c>
    </row>
    <row r="843">
      <c r="A843">
        <f>IFERROR(INDEX(STAs!$G$2:$G$61,MATCH(P843,STAs!$F$2:$F$61,0))&amp;"","")</f>
        <v/>
      </c>
      <c r="B843" t="n">
        <v>20027190</v>
      </c>
      <c r="C843" t="inlineStr">
        <is>
          <t>Não</t>
        </is>
      </c>
      <c r="D843" t="inlineStr">
        <is>
          <t>MG</t>
        </is>
      </c>
      <c r="E843" t="inlineStr">
        <is>
          <t>SUDESTE MG</t>
        </is>
      </c>
      <c r="F843" t="inlineStr">
        <is>
          <t>Cliente C - Misturador</t>
        </is>
      </c>
      <c r="G843" t="inlineStr">
        <is>
          <t>Refrigeradores</t>
        </is>
      </c>
      <c r="H843" s="10" t="n">
        <v>325</v>
      </c>
      <c r="I843" s="10">
        <f>IFERROR(T843*H843,0)</f>
        <v/>
      </c>
      <c r="J843" s="11" t="n">
        <v>46055</v>
      </c>
      <c r="K843" s="11" t="n"/>
      <c r="L843" t="inlineStr">
        <is>
          <t>Aguardando Transporte</t>
        </is>
      </c>
      <c r="M843">
        <f>IF(L843="","",IFERROR(VLOOKUP(L843,mapGrupoStatus,2,0),"Outros"))</f>
        <v/>
      </c>
      <c r="N843">
        <f>IF(O843="","",IF(O843&lt;=30,"0-30 dias",IF(O843&lt;=60,"31-60 dias",IF(O843&lt;=90,"61-90 dias","Mais de 90 dias"))))</f>
        <v/>
      </c>
      <c r="O843">
        <f>IF(OR(M843="Pendente",M843="Em andamento"),IF(J843="","",TODAY()-J843),"")</f>
        <v/>
      </c>
      <c r="P843" t="n">
        <v>11487</v>
      </c>
      <c r="Q843" t="inlineStr">
        <is>
          <t>Assistência Técnica Manutenção (11487)</t>
        </is>
      </c>
      <c r="R843" t="inlineStr">
        <is>
          <t>PC-0001</t>
        </is>
      </c>
      <c r="S843" t="inlineStr">
        <is>
          <t>Compressor modelo 01</t>
        </is>
      </c>
      <c r="T843" t="n">
        <v>1</v>
      </c>
      <c r="U843" t="n">
        <v>146</v>
      </c>
      <c r="V843">
        <f>IF(J843="","",MONTH(J843))</f>
        <v/>
      </c>
      <c r="W843">
        <f>IF(J843="","",YEAR(J843))</f>
        <v/>
      </c>
      <c r="X843" t="inlineStr">
        <is>
          <t>CargoMax</t>
        </is>
      </c>
      <c r="Y843">
        <f>IFERROR(INDEX(Rastreio!$H$2:$H$200,MATCH(X843&amp;"|"&amp;U843,Rastreio!$A$2:$A$200,0)),"")</f>
        <v/>
      </c>
    </row>
    <row r="844">
      <c r="A844">
        <f>IFERROR(INDEX(STAs!$G$2:$G$61,MATCH(P844,STAs!$F$2:$F$61,0))&amp;"","")</f>
        <v/>
      </c>
      <c r="B844" t="n">
        <v>20027456</v>
      </c>
      <c r="C844" t="inlineStr">
        <is>
          <t>Não</t>
        </is>
      </c>
      <c r="D844" t="inlineStr">
        <is>
          <t>PE</t>
        </is>
      </c>
      <c r="E844" t="inlineStr">
        <is>
          <t>NORDESTE</t>
        </is>
      </c>
      <c r="F844" t="inlineStr">
        <is>
          <t>Cliente C - Misturador</t>
        </is>
      </c>
      <c r="G844" t="inlineStr">
        <is>
          <t>Refrigeradores</t>
        </is>
      </c>
      <c r="H844" s="10" t="n">
        <v>55</v>
      </c>
      <c r="I844" s="10">
        <f>IFERROR(T844*H844,0)</f>
        <v/>
      </c>
      <c r="J844" s="11" t="n">
        <v>46055</v>
      </c>
      <c r="K844" s="11" t="n"/>
      <c r="L844" t="inlineStr">
        <is>
          <t>Em transporte</t>
        </is>
      </c>
      <c r="M844">
        <f>IF(L844="","",IFERROR(VLOOKUP(L844,mapGrupoStatus,2,0),"Outros"))</f>
        <v/>
      </c>
      <c r="N844">
        <f>IF(O844="","",IF(O844&lt;=30,"0-30 dias",IF(O844&lt;=60,"31-60 dias",IF(O844&lt;=90,"61-90 dias","Mais de 90 dias"))))</f>
        <v/>
      </c>
      <c r="O844">
        <f>IF(OR(M844="Pendente",M844="Em andamento"),IF(J844="","",TODAY()-J844),"")</f>
        <v/>
      </c>
      <c r="P844" t="n">
        <v>11352</v>
      </c>
      <c r="Q844" t="inlineStr">
        <is>
          <t>Frio Express (11352)</t>
        </is>
      </c>
      <c r="R844" t="inlineStr">
        <is>
          <t>PC-0007</t>
        </is>
      </c>
      <c r="S844" t="inlineStr">
        <is>
          <t>Ventilador modelo 01</t>
        </is>
      </c>
      <c r="T844" t="n">
        <v>2</v>
      </c>
      <c r="U844" t="n">
        <v>148</v>
      </c>
      <c r="V844">
        <f>IF(J844="","",MONTH(J844))</f>
        <v/>
      </c>
      <c r="W844">
        <f>IF(J844="","",YEAR(J844))</f>
        <v/>
      </c>
      <c r="X844" t="inlineStr">
        <is>
          <t>TransNorte</t>
        </is>
      </c>
      <c r="Y844">
        <f>IFERROR(INDEX(Rastreio!$H$2:$H$200,MATCH(X844&amp;"|"&amp;U844,Rastreio!$A$2:$A$200,0)),"")</f>
        <v/>
      </c>
    </row>
    <row r="845">
      <c r="A845">
        <f>IFERROR(INDEX(STAs!$G$2:$G$61,MATCH(P845,STAs!$F$2:$F$61,0))&amp;"","")</f>
        <v/>
      </c>
      <c r="B845" t="n">
        <v>20027651</v>
      </c>
      <c r="C845" t="inlineStr">
        <is>
          <t>Não</t>
        </is>
      </c>
      <c r="D845" t="inlineStr">
        <is>
          <t>RJ</t>
        </is>
      </c>
      <c r="E845" t="inlineStr">
        <is>
          <t>SUDESTE RJ e ES</t>
        </is>
      </c>
      <c r="F845" t="inlineStr">
        <is>
          <t>Cliente A - Refrigerador</t>
        </is>
      </c>
      <c r="G845" t="inlineStr">
        <is>
          <t>Misturadores</t>
        </is>
      </c>
      <c r="H845" s="10" t="n">
        <v>50</v>
      </c>
      <c r="I845" s="10">
        <f>IFERROR(T845*H845,0)</f>
        <v/>
      </c>
      <c r="J845" s="11" t="n">
        <v>46055</v>
      </c>
      <c r="K845" s="11" t="n"/>
      <c r="L845" t="inlineStr">
        <is>
          <t>Em transporte</t>
        </is>
      </c>
      <c r="M845">
        <f>IF(L845="","",IFERROR(VLOOKUP(L845,mapGrupoStatus,2,0),"Outros"))</f>
        <v/>
      </c>
      <c r="N845">
        <f>IF(O845="","",IF(O845&lt;=30,"0-30 dias",IF(O845&lt;=60,"31-60 dias",IF(O845&lt;=90,"61-90 dias","Mais de 90 dias"))))</f>
        <v/>
      </c>
      <c r="O845">
        <f>IF(OR(M845="Pendente",M845="Em andamento"),IF(J845="","",TODAY()-J845),"")</f>
        <v/>
      </c>
      <c r="P845" t="n">
        <v>12811</v>
      </c>
      <c r="Q845" t="inlineStr">
        <is>
          <t>Norte Frio Técnica (12811)</t>
        </is>
      </c>
      <c r="R845" t="inlineStr">
        <is>
          <t>PC-0044</t>
        </is>
      </c>
      <c r="S845" t="inlineStr">
        <is>
          <t>Bico dosador modelo 03</t>
        </is>
      </c>
      <c r="T845" t="n">
        <v>2</v>
      </c>
      <c r="U845" t="n">
        <v>138</v>
      </c>
      <c r="V845">
        <f>IF(J845="","",MONTH(J845))</f>
        <v/>
      </c>
      <c r="W845">
        <f>IF(J845="","",YEAR(J845))</f>
        <v/>
      </c>
      <c r="X845" t="inlineStr">
        <is>
          <t>EntregaJá</t>
        </is>
      </c>
      <c r="Y845">
        <f>IFERROR(INDEX(Rastreio!$H$2:$H$200,MATCH(X845&amp;"|"&amp;U845,Rastreio!$A$2:$A$200,0)),"")</f>
        <v/>
      </c>
    </row>
    <row r="846">
      <c r="A846">
        <f>IFERROR(INDEX(STAs!$G$2:$G$61,MATCH(P846,STAs!$F$2:$F$61,0))&amp;"","")</f>
        <v/>
      </c>
      <c r="B846" t="n">
        <v>20037956</v>
      </c>
      <c r="C846" t="inlineStr">
        <is>
          <t>Não</t>
        </is>
      </c>
      <c r="D846" t="inlineStr">
        <is>
          <t>MS</t>
        </is>
      </c>
      <c r="E846" t="inlineStr">
        <is>
          <t>CENTRO OESTE</t>
        </is>
      </c>
      <c r="F846" t="inlineStr">
        <is>
          <t>Cliente B - Chopeira</t>
        </is>
      </c>
      <c r="G846" t="inlineStr">
        <is>
          <t>Refrigeradores</t>
        </is>
      </c>
      <c r="H846" s="10" t="n">
        <v>30</v>
      </c>
      <c r="I846" s="10">
        <f>IFERROR(T846*H846,0)</f>
        <v/>
      </c>
      <c r="J846" s="11" t="n">
        <v>46055</v>
      </c>
      <c r="K846" s="11" t="n">
        <v>46081</v>
      </c>
      <c r="L846" t="inlineStr">
        <is>
          <t>Ok. Devolvida</t>
        </is>
      </c>
      <c r="M846">
        <f>IF(L846="","",IFERROR(VLOOKUP(L846,mapGrupoStatus,2,0),"Outros"))</f>
        <v/>
      </c>
      <c r="N846">
        <f>IF(O846="","",IF(O846&lt;=30,"0-30 dias",IF(O846&lt;=60,"31-60 dias",IF(O846&lt;=90,"61-90 dias","Mais de 90 dias"))))</f>
        <v/>
      </c>
      <c r="O846">
        <f>IF(OR(M846="Pendente",M846="Em andamento"),IF(J846="","",TODAY()-J846),"")</f>
        <v/>
      </c>
      <c r="P846" t="n">
        <v>12280</v>
      </c>
      <c r="Q846" t="inlineStr">
        <is>
          <t>Termotec &amp; Cia (12280)</t>
        </is>
      </c>
      <c r="R846" t="inlineStr">
        <is>
          <t>PC-0025</t>
        </is>
      </c>
      <c r="S846" t="inlineStr">
        <is>
          <t>Relé de partida modelo 03</t>
        </is>
      </c>
      <c r="T846" t="n">
        <v>1</v>
      </c>
      <c r="U846" t="n">
        <v>156</v>
      </c>
      <c r="V846">
        <f>IF(J846="","",MONTH(J846))</f>
        <v/>
      </c>
      <c r="W846">
        <f>IF(J846="","",YEAR(J846))</f>
        <v/>
      </c>
      <c r="X846" t="inlineStr">
        <is>
          <t>EntregaJá</t>
        </is>
      </c>
      <c r="Y846">
        <f>IFERROR(INDEX(Rastreio!$H$2:$H$200,MATCH(X846&amp;"|"&amp;U846,Rastreio!$A$2:$A$200,0)),"")</f>
        <v/>
      </c>
    </row>
    <row r="847">
      <c r="A847">
        <f>IFERROR(INDEX(STAs!$G$2:$G$61,MATCH(P847,STAs!$F$2:$F$61,0))&amp;"","")</f>
        <v/>
      </c>
      <c r="B847" t="n">
        <v>20019285</v>
      </c>
      <c r="C847" t="inlineStr">
        <is>
          <t>Não</t>
        </is>
      </c>
      <c r="D847" t="inlineStr">
        <is>
          <t>GO</t>
        </is>
      </c>
      <c r="E847" t="inlineStr">
        <is>
          <t>CENTRO OESTE</t>
        </is>
      </c>
      <c r="F847" t="inlineStr">
        <is>
          <t>Cliente B - Chopeira</t>
        </is>
      </c>
      <c r="G847" t="inlineStr">
        <is>
          <t>Chopeiras</t>
        </is>
      </c>
      <c r="H847" s="10" t="n">
        <v>100</v>
      </c>
      <c r="I847" s="10">
        <f>IFERROR(T847*H847,0)</f>
        <v/>
      </c>
      <c r="J847" s="11" t="n">
        <v>46056</v>
      </c>
      <c r="K847" s="11" t="n">
        <v>46096</v>
      </c>
      <c r="L847" t="inlineStr">
        <is>
          <t>Ok. Devolvida</t>
        </is>
      </c>
      <c r="M847">
        <f>IF(L847="","",IFERROR(VLOOKUP(L847,mapGrupoStatus,2,0),"Outros"))</f>
        <v/>
      </c>
      <c r="N847">
        <f>IF(O847="","",IF(O847&lt;=30,"0-30 dias",IF(O847&lt;=60,"31-60 dias",IF(O847&lt;=90,"61-90 dias","Mais de 90 dias"))))</f>
        <v/>
      </c>
      <c r="O847">
        <f>IF(OR(M847="Pendente",M847="Em andamento"),IF(J847="","",TODAY()-J847),"")</f>
        <v/>
      </c>
      <c r="P847" t="n">
        <v>10317</v>
      </c>
      <c r="Q847" t="inlineStr">
        <is>
          <t>Termotec Manutenção (10317)</t>
        </is>
      </c>
      <c r="R847" t="inlineStr">
        <is>
          <t>PC-0027</t>
        </is>
      </c>
      <c r="S847" t="inlineStr">
        <is>
          <t>Torneira de chopp modelo 02</t>
        </is>
      </c>
      <c r="T847" t="n">
        <v>2</v>
      </c>
      <c r="U847" t="n">
        <v>132</v>
      </c>
      <c r="V847">
        <f>IF(J847="","",MONTH(J847))</f>
        <v/>
      </c>
      <c r="W847">
        <f>IF(J847="","",YEAR(J847))</f>
        <v/>
      </c>
      <c r="X847" t="inlineStr">
        <is>
          <t>LogExpress</t>
        </is>
      </c>
      <c r="Y847">
        <f>IFERROR(INDEX(Rastreio!$H$2:$H$200,MATCH(X847&amp;"|"&amp;U847,Rastreio!$A$2:$A$200,0)),"")</f>
        <v/>
      </c>
    </row>
    <row r="848">
      <c r="A848">
        <f>IFERROR(INDEX(STAs!$G$2:$G$61,MATCH(P848,STAs!$F$2:$F$61,0))&amp;"","")</f>
        <v/>
      </c>
      <c r="B848" t="n">
        <v>20019607</v>
      </c>
      <c r="C848" t="inlineStr">
        <is>
          <t>Não</t>
        </is>
      </c>
      <c r="D848" t="inlineStr">
        <is>
          <t>SP</t>
        </is>
      </c>
      <c r="E848" t="inlineStr">
        <is>
          <t>SUDESTE SP</t>
        </is>
      </c>
      <c r="F848" t="inlineStr">
        <is>
          <t>Cliente A - Refrigerador</t>
        </is>
      </c>
      <c r="G848" t="inlineStr">
        <is>
          <t>Chopeiras</t>
        </is>
      </c>
      <c r="H848" s="10" t="n">
        <v>85</v>
      </c>
      <c r="I848" s="10">
        <f>IFERROR(T848*H848,0)</f>
        <v/>
      </c>
      <c r="J848" s="11" t="n">
        <v>46056</v>
      </c>
      <c r="K848" s="11" t="n"/>
      <c r="L848" t="inlineStr">
        <is>
          <t>Aguardando Transporte</t>
        </is>
      </c>
      <c r="M848">
        <f>IF(L848="","",IFERROR(VLOOKUP(L848,mapGrupoStatus,2,0),"Outros"))</f>
        <v/>
      </c>
      <c r="N848">
        <f>IF(O848="","",IF(O848&lt;=30,"0-30 dias",IF(O848&lt;=60,"31-60 dias",IF(O848&lt;=90,"61-90 dias","Mais de 90 dias"))))</f>
        <v/>
      </c>
      <c r="O848">
        <f>IF(OR(M848="Pendente",M848="Em andamento"),IF(J848="","",TODAY()-J848),"")</f>
        <v/>
      </c>
      <c r="P848" t="n">
        <v>11365</v>
      </c>
      <c r="Q848" t="inlineStr">
        <is>
          <t>Ártico Express (11365)</t>
        </is>
      </c>
      <c r="R848" t="inlineStr">
        <is>
          <t>PC-0026</t>
        </is>
      </c>
      <c r="S848" t="inlineStr">
        <is>
          <t>Torneira de chopp modelo 01</t>
        </is>
      </c>
      <c r="T848" t="n">
        <v>2</v>
      </c>
      <c r="U848" t="n">
        <v>136</v>
      </c>
      <c r="V848">
        <f>IF(J848="","",MONTH(J848))</f>
        <v/>
      </c>
      <c r="W848">
        <f>IF(J848="","",YEAR(J848))</f>
        <v/>
      </c>
      <c r="X848" t="inlineStr">
        <is>
          <t>ViaCargo</t>
        </is>
      </c>
      <c r="Y848">
        <f>IFERROR(INDEX(Rastreio!$H$2:$H$200,MATCH(X848&amp;"|"&amp;U848,Rastreio!$A$2:$A$200,0)),"")</f>
        <v/>
      </c>
    </row>
    <row r="849">
      <c r="A849">
        <f>IFERROR(INDEX(STAs!$G$2:$G$61,MATCH(P849,STAs!$F$2:$F$61,0))&amp;"","")</f>
        <v/>
      </c>
      <c r="B849" t="n">
        <v>20028380</v>
      </c>
      <c r="C849" t="inlineStr">
        <is>
          <t>Não</t>
        </is>
      </c>
      <c r="D849" t="inlineStr">
        <is>
          <t>ES</t>
        </is>
      </c>
      <c r="E849" t="inlineStr">
        <is>
          <t>SUDESTE RJ e ES</t>
        </is>
      </c>
      <c r="F849" t="inlineStr">
        <is>
          <t>Cliente A - Refrigerador</t>
        </is>
      </c>
      <c r="G849" t="inlineStr">
        <is>
          <t>Chopeiras</t>
        </is>
      </c>
      <c r="H849" s="10" t="n">
        <v>85</v>
      </c>
      <c r="I849" s="10">
        <f>IFERROR(T849*H849,0)</f>
        <v/>
      </c>
      <c r="J849" s="11" t="n">
        <v>46056</v>
      </c>
      <c r="K849" s="11" t="n"/>
      <c r="L849" t="inlineStr">
        <is>
          <t>Aguardando devolução</t>
        </is>
      </c>
      <c r="M849">
        <f>IF(L849="","",IFERROR(VLOOKUP(L849,mapGrupoStatus,2,0),"Outros"))</f>
        <v/>
      </c>
      <c r="N849">
        <f>IF(O849="","",IF(O849&lt;=30,"0-30 dias",IF(O849&lt;=60,"31-60 dias",IF(O849&lt;=90,"61-90 dias","Mais de 90 dias"))))</f>
        <v/>
      </c>
      <c r="O849">
        <f>IF(OR(M849="Pendente",M849="Em andamento"),IF(J849="","",TODAY()-J849),"")</f>
        <v/>
      </c>
      <c r="P849" t="n">
        <v>11162</v>
      </c>
      <c r="Q849" t="inlineStr">
        <is>
          <t>Ártico Refrigeração (11162)</t>
        </is>
      </c>
      <c r="R849" t="inlineStr">
        <is>
          <t>PC-0028</t>
        </is>
      </c>
      <c r="S849" t="inlineStr">
        <is>
          <t>Torneira de chopp modelo 03</t>
        </is>
      </c>
      <c r="T849" t="n">
        <v>1</v>
      </c>
      <c r="U849" t="inlineStr"/>
      <c r="V849">
        <f>IF(J849="","",MONTH(J849))</f>
        <v/>
      </c>
      <c r="W849">
        <f>IF(J849="","",YEAR(J849))</f>
        <v/>
      </c>
      <c r="X849" t="inlineStr"/>
      <c r="Y849">
        <f>IFERROR(INDEX(Rastreio!$H$2:$H$200,MATCH(X849&amp;"|"&amp;U849,Rastreio!$A$2:$A$200,0)),"")</f>
        <v/>
      </c>
    </row>
    <row r="850">
      <c r="A850">
        <f>IFERROR(INDEX(STAs!$G$2:$G$61,MATCH(P850,STAs!$F$2:$F$61,0))&amp;"","")</f>
        <v/>
      </c>
      <c r="B850" t="n">
        <v>20037248</v>
      </c>
      <c r="C850" t="inlineStr">
        <is>
          <t>Não</t>
        </is>
      </c>
      <c r="D850" t="inlineStr">
        <is>
          <t>SP</t>
        </is>
      </c>
      <c r="E850" t="inlineStr">
        <is>
          <t>SUDESTE SP</t>
        </is>
      </c>
      <c r="F850" t="inlineStr">
        <is>
          <t>Cliente C - Misturador</t>
        </is>
      </c>
      <c r="G850" t="inlineStr">
        <is>
          <t>Refrigeradores</t>
        </is>
      </c>
      <c r="H850" s="10" t="n">
        <v>190</v>
      </c>
      <c r="I850" s="10">
        <f>IFERROR(T850*H850,0)</f>
        <v/>
      </c>
      <c r="J850" s="11" t="n">
        <v>46056</v>
      </c>
      <c r="K850" s="11" t="n">
        <v>46064</v>
      </c>
      <c r="L850" t="inlineStr">
        <is>
          <t>Ok. Devolvida</t>
        </is>
      </c>
      <c r="M850">
        <f>IF(L850="","",IFERROR(VLOOKUP(L850,mapGrupoStatus,2,0),"Outros"))</f>
        <v/>
      </c>
      <c r="N850">
        <f>IF(O850="","",IF(O850&lt;=30,"0-30 dias",IF(O850&lt;=60,"31-60 dias",IF(O850&lt;=90,"61-90 dias","Mais de 90 dias"))))</f>
        <v/>
      </c>
      <c r="O850">
        <f>IF(OR(M850="Pendente",M850="Em andamento"),IF(J850="","",TODAY()-J850),"")</f>
        <v/>
      </c>
      <c r="P850" t="n">
        <v>12052</v>
      </c>
      <c r="Q850" t="inlineStr">
        <is>
          <t>Brisa Refrigeração (12052)</t>
        </is>
      </c>
      <c r="R850" t="inlineStr">
        <is>
          <t>PC-0014</t>
        </is>
      </c>
      <c r="S850" t="inlineStr">
        <is>
          <t>Placa eletrônica modelo 04</t>
        </is>
      </c>
      <c r="T850" t="n">
        <v>2</v>
      </c>
      <c r="U850" t="n">
        <v>153</v>
      </c>
      <c r="V850">
        <f>IF(J850="","",MONTH(J850))</f>
        <v/>
      </c>
      <c r="W850">
        <f>IF(J850="","",YEAR(J850))</f>
        <v/>
      </c>
      <c r="X850" t="inlineStr">
        <is>
          <t>EntregaJá</t>
        </is>
      </c>
      <c r="Y850">
        <f>IFERROR(INDEX(Rastreio!$H$2:$H$200,MATCH(X850&amp;"|"&amp;U850,Rastreio!$A$2:$A$200,0)),"")</f>
        <v/>
      </c>
    </row>
    <row r="851">
      <c r="A851">
        <f>IFERROR(INDEX(STAs!$G$2:$G$61,MATCH(P851,STAs!$F$2:$F$61,0))&amp;"","")</f>
        <v/>
      </c>
      <c r="B851" t="n">
        <v>20000335</v>
      </c>
      <c r="C851" t="inlineStr">
        <is>
          <t>Não</t>
        </is>
      </c>
      <c r="D851" t="inlineStr">
        <is>
          <t>PE</t>
        </is>
      </c>
      <c r="E851" t="inlineStr">
        <is>
          <t>NORDESTE</t>
        </is>
      </c>
      <c r="F851" t="inlineStr">
        <is>
          <t>Cliente C - Misturador</t>
        </is>
      </c>
      <c r="G851" t="inlineStr">
        <is>
          <t>Misturadores</t>
        </is>
      </c>
      <c r="H851" s="10" t="n">
        <v>50</v>
      </c>
      <c r="I851" s="10">
        <f>IFERROR(T851*H851,0)</f>
        <v/>
      </c>
      <c r="J851" s="11" t="n">
        <v>46057</v>
      </c>
      <c r="K851" s="11" t="n"/>
      <c r="L851" t="inlineStr">
        <is>
          <t>Em andamento</t>
        </is>
      </c>
      <c r="M851">
        <f>IF(L851="","",IFERROR(VLOOKUP(L851,mapGrupoStatus,2,0),"Outros"))</f>
        <v/>
      </c>
      <c r="N851">
        <f>IF(O851="","",IF(O851&lt;=30,"0-30 dias",IF(O851&lt;=60,"31-60 dias",IF(O851&lt;=90,"61-90 dias","Mais de 90 dias"))))</f>
        <v/>
      </c>
      <c r="O851">
        <f>IF(OR(M851="Pendente",M851="Em andamento"),IF(J851="","",TODAY()-J851),"")</f>
        <v/>
      </c>
      <c r="P851" t="n">
        <v>11352</v>
      </c>
      <c r="Q851" t="inlineStr">
        <is>
          <t>Frio Express (11352)</t>
        </is>
      </c>
      <c r="R851" t="inlineStr">
        <is>
          <t>PC-0045</t>
        </is>
      </c>
      <c r="S851" t="inlineStr">
        <is>
          <t>Sensor de nível modelo 01</t>
        </is>
      </c>
      <c r="T851" t="n">
        <v>1</v>
      </c>
      <c r="U851" t="n">
        <v>100</v>
      </c>
      <c r="V851">
        <f>IF(J851="","",MONTH(J851))</f>
        <v/>
      </c>
      <c r="W851">
        <f>IF(J851="","",YEAR(J851))</f>
        <v/>
      </c>
      <c r="X851" t="inlineStr">
        <is>
          <t>ViaCargo</t>
        </is>
      </c>
      <c r="Y851">
        <f>IFERROR(INDEX(Rastreio!$H$2:$H$200,MATCH(X851&amp;"|"&amp;U851,Rastreio!$A$2:$A$200,0)),"")</f>
        <v/>
      </c>
    </row>
    <row r="852">
      <c r="A852">
        <f>IFERROR(INDEX(STAs!$G$2:$G$61,MATCH(P852,STAs!$F$2:$F$61,0))&amp;"","")</f>
        <v/>
      </c>
      <c r="B852" t="n">
        <v>20003017</v>
      </c>
      <c r="C852" t="inlineStr">
        <is>
          <t>Não</t>
        </is>
      </c>
      <c r="D852" t="inlineStr">
        <is>
          <t>RJ</t>
        </is>
      </c>
      <c r="E852" t="inlineStr">
        <is>
          <t>SUDESTE RJ e ES</t>
        </is>
      </c>
      <c r="F852" t="inlineStr">
        <is>
          <t>Cliente B - Chopeira</t>
        </is>
      </c>
      <c r="G852" t="inlineStr">
        <is>
          <t>Misturadores</t>
        </is>
      </c>
      <c r="H852" s="10" t="n">
        <v>35</v>
      </c>
      <c r="I852" s="10">
        <f>IFERROR(T852*H852,0)</f>
        <v/>
      </c>
      <c r="J852" s="11" t="n">
        <v>46057</v>
      </c>
      <c r="K852" s="11" t="n">
        <v>46107</v>
      </c>
      <c r="L852" t="inlineStr">
        <is>
          <t>Ok. Devolvida</t>
        </is>
      </c>
      <c r="M852">
        <f>IF(L852="","",IFERROR(VLOOKUP(L852,mapGrupoStatus,2,0),"Outros"))</f>
        <v/>
      </c>
      <c r="N852">
        <f>IF(O852="","",IF(O852&lt;=30,"0-30 dias",IF(O852&lt;=60,"31-60 dias",IF(O852&lt;=90,"61-90 dias","Mais de 90 dias"))))</f>
        <v/>
      </c>
      <c r="O852">
        <f>IF(OR(M852="Pendente",M852="Em andamento"),IF(J852="","",TODAY()-J852),"")</f>
        <v/>
      </c>
      <c r="P852" t="n">
        <v>11059</v>
      </c>
      <c r="Q852" t="inlineStr">
        <is>
          <t>Frio Ltda (11059)</t>
        </is>
      </c>
      <c r="R852" t="inlineStr">
        <is>
          <t>PC-0043</t>
        </is>
      </c>
      <c r="S852" t="inlineStr">
        <is>
          <t>Bico dosador modelo 02</t>
        </is>
      </c>
      <c r="T852" t="n">
        <v>1</v>
      </c>
      <c r="U852" t="n">
        <v>107</v>
      </c>
      <c r="V852">
        <f>IF(J852="","",MONTH(J852))</f>
        <v/>
      </c>
      <c r="W852">
        <f>IF(J852="","",YEAR(J852))</f>
        <v/>
      </c>
      <c r="X852" t="inlineStr">
        <is>
          <t>RotaSul</t>
        </is>
      </c>
      <c r="Y852">
        <f>IFERROR(INDEX(Rastreio!$H$2:$H$200,MATCH(X852&amp;"|"&amp;U852,Rastreio!$A$2:$A$200,0)),"")</f>
        <v/>
      </c>
    </row>
    <row r="853">
      <c r="A853">
        <f>IFERROR(INDEX(STAs!$G$2:$G$61,MATCH(P853,STAs!$F$2:$F$61,0))&amp;"","")</f>
        <v/>
      </c>
      <c r="B853" t="n">
        <v>20005300</v>
      </c>
      <c r="C853" t="inlineStr">
        <is>
          <t>Não</t>
        </is>
      </c>
      <c r="D853" t="inlineStr">
        <is>
          <t>GO</t>
        </is>
      </c>
      <c r="E853" t="inlineStr">
        <is>
          <t>CENTRO OESTE</t>
        </is>
      </c>
      <c r="F853" t="inlineStr">
        <is>
          <t>Cliente A - Refrigerador</t>
        </is>
      </c>
      <c r="G853" t="inlineStr">
        <is>
          <t>Refrigeradores</t>
        </is>
      </c>
      <c r="H853" s="10" t="n">
        <v>50</v>
      </c>
      <c r="I853" s="10">
        <f>IFERROR(T853*H853,0)</f>
        <v/>
      </c>
      <c r="J853" s="11" t="n">
        <v>46058</v>
      </c>
      <c r="K853" s="11" t="n">
        <v>46111</v>
      </c>
      <c r="L853" t="inlineStr">
        <is>
          <t>Ok. Devolvida</t>
        </is>
      </c>
      <c r="M853">
        <f>IF(L853="","",IFERROR(VLOOKUP(L853,mapGrupoStatus,2,0),"Outros"))</f>
        <v/>
      </c>
      <c r="N853">
        <f>IF(O853="","",IF(O853&lt;=30,"0-30 dias",IF(O853&lt;=60,"31-60 dias",IF(O853&lt;=90,"61-90 dias","Mais de 90 dias"))))</f>
        <v/>
      </c>
      <c r="O853">
        <f>IF(OR(M853="Pendente",M853="Em andamento"),IF(J853="","",TODAY()-J853),"")</f>
        <v/>
      </c>
      <c r="P853" t="n">
        <v>10317</v>
      </c>
      <c r="Q853" t="inlineStr">
        <is>
          <t>Termotec Manutenção (10317)</t>
        </is>
      </c>
      <c r="R853" t="inlineStr">
        <is>
          <t>PC-0006</t>
        </is>
      </c>
      <c r="S853" t="inlineStr">
        <is>
          <t>Termostato modelo 03</t>
        </is>
      </c>
      <c r="T853" t="n">
        <v>1</v>
      </c>
      <c r="U853" t="n">
        <v>114</v>
      </c>
      <c r="V853">
        <f>IF(J853="","",MONTH(J853))</f>
        <v/>
      </c>
      <c r="W853">
        <f>IF(J853="","",YEAR(J853))</f>
        <v/>
      </c>
      <c r="X853" t="inlineStr">
        <is>
          <t>ViaCargo</t>
        </is>
      </c>
      <c r="Y853">
        <f>IFERROR(INDEX(Rastreio!$H$2:$H$200,MATCH(X853&amp;"|"&amp;U853,Rastreio!$A$2:$A$200,0)),"")</f>
        <v/>
      </c>
    </row>
    <row r="854">
      <c r="A854">
        <f>IFERROR(INDEX(STAs!$G$2:$G$61,MATCH(P854,STAs!$F$2:$F$61,0))&amp;"","")</f>
        <v/>
      </c>
      <c r="B854" t="n">
        <v>20006904</v>
      </c>
      <c r="C854" t="inlineStr">
        <is>
          <t>Não</t>
        </is>
      </c>
      <c r="D854" t="inlineStr">
        <is>
          <t>ES</t>
        </is>
      </c>
      <c r="E854" t="inlineStr">
        <is>
          <t>SUDESTE RJ e ES</t>
        </is>
      </c>
      <c r="F854" t="inlineStr">
        <is>
          <t>Cliente A - Refrigerador</t>
        </is>
      </c>
      <c r="G854" t="inlineStr">
        <is>
          <t>Refrigeradores</t>
        </is>
      </c>
      <c r="H854" s="10" t="n">
        <v>325</v>
      </c>
      <c r="I854" s="10">
        <f>IFERROR(T854*H854,0)</f>
        <v/>
      </c>
      <c r="J854" s="11" t="n">
        <v>46058</v>
      </c>
      <c r="K854" s="11" t="n">
        <v>46096</v>
      </c>
      <c r="L854" t="inlineStr">
        <is>
          <t>Ok. Devolvida</t>
        </is>
      </c>
      <c r="M854">
        <f>IF(L854="","",IFERROR(VLOOKUP(L854,mapGrupoStatus,2,0),"Outros"))</f>
        <v/>
      </c>
      <c r="N854">
        <f>IF(O854="","",IF(O854&lt;=30,"0-30 dias",IF(O854&lt;=60,"31-60 dias",IF(O854&lt;=90,"61-90 dias","Mais de 90 dias"))))</f>
        <v/>
      </c>
      <c r="O854">
        <f>IF(OR(M854="Pendente",M854="Em andamento"),IF(J854="","",TODAY()-J854),"")</f>
        <v/>
      </c>
      <c r="P854" t="n">
        <v>11099</v>
      </c>
      <c r="Q854" t="inlineStr">
        <is>
          <t>Refrigel Serviços (11099)</t>
        </is>
      </c>
      <c r="R854" t="inlineStr">
        <is>
          <t>PC-0001</t>
        </is>
      </c>
      <c r="S854" t="inlineStr">
        <is>
          <t>Compressor modelo 01</t>
        </is>
      </c>
      <c r="T854" t="n">
        <v>3</v>
      </c>
      <c r="U854" t="n">
        <v>111</v>
      </c>
      <c r="V854">
        <f>IF(J854="","",MONTH(J854))</f>
        <v/>
      </c>
      <c r="W854">
        <f>IF(J854="","",YEAR(J854))</f>
        <v/>
      </c>
      <c r="X854" t="inlineStr">
        <is>
          <t>TransNorte</t>
        </is>
      </c>
      <c r="Y854">
        <f>IFERROR(INDEX(Rastreio!$H$2:$H$200,MATCH(X854&amp;"|"&amp;U854,Rastreio!$A$2:$A$200,0)),"")</f>
        <v/>
      </c>
    </row>
    <row r="855">
      <c r="A855">
        <f>IFERROR(INDEX(STAs!$G$2:$G$61,MATCH(P855,STAs!$F$2:$F$61,0))&amp;"","")</f>
        <v/>
      </c>
      <c r="B855" t="n">
        <v>20028773</v>
      </c>
      <c r="C855" t="inlineStr">
        <is>
          <t>Não</t>
        </is>
      </c>
      <c r="D855" t="inlineStr">
        <is>
          <t>AP</t>
        </is>
      </c>
      <c r="E855" t="inlineStr">
        <is>
          <t>NORTE</t>
        </is>
      </c>
      <c r="F855" t="inlineStr">
        <is>
          <t>Cliente B - Chopeira</t>
        </is>
      </c>
      <c r="G855" t="inlineStr">
        <is>
          <t>Refrigeradores</t>
        </is>
      </c>
      <c r="H855" s="10" t="n">
        <v>325</v>
      </c>
      <c r="I855" s="10">
        <f>IFERROR(T855*H855,0)</f>
        <v/>
      </c>
      <c r="J855" s="11" t="n">
        <v>46058</v>
      </c>
      <c r="K855" s="11" t="n"/>
      <c r="L855" t="inlineStr">
        <is>
          <t>Não Devolve-Norte</t>
        </is>
      </c>
      <c r="M855">
        <f>IF(L855="","",IFERROR(VLOOKUP(L855,mapGrupoStatus,2,0),"Outros"))</f>
        <v/>
      </c>
      <c r="N855">
        <f>IF(O855="","",IF(O855&lt;=30,"0-30 dias",IF(O855&lt;=60,"31-60 dias",IF(O855&lt;=90,"61-90 dias","Mais de 90 dias"))))</f>
        <v/>
      </c>
      <c r="O855">
        <f>IF(OR(M855="Pendente",M855="Em andamento"),IF(J855="","",TODAY()-J855),"")</f>
        <v/>
      </c>
      <c r="P855" t="n">
        <v>11859</v>
      </c>
      <c r="Q855" t="inlineStr">
        <is>
          <t>Ice Tech Serviços (11859)</t>
        </is>
      </c>
      <c r="R855" t="inlineStr">
        <is>
          <t>PC-0001</t>
        </is>
      </c>
      <c r="S855" t="inlineStr">
        <is>
          <t>Compressor modelo 01</t>
        </is>
      </c>
      <c r="T855" t="n">
        <v>2</v>
      </c>
      <c r="U855" t="inlineStr"/>
      <c r="V855">
        <f>IF(J855="","",MONTH(J855))</f>
        <v/>
      </c>
      <c r="W855">
        <f>IF(J855="","",YEAR(J855))</f>
        <v/>
      </c>
      <c r="X855" t="inlineStr"/>
      <c r="Y855">
        <f>IFERROR(INDEX(Rastreio!$H$2:$H$200,MATCH(X855&amp;"|"&amp;U855,Rastreio!$A$2:$A$200,0)),"")</f>
        <v/>
      </c>
    </row>
    <row r="856">
      <c r="A856">
        <f>IFERROR(INDEX(STAs!$G$2:$G$61,MATCH(P856,STAs!$F$2:$F$61,0))&amp;"","")</f>
        <v/>
      </c>
      <c r="B856" t="n">
        <v>20032559</v>
      </c>
      <c r="C856" t="inlineStr">
        <is>
          <t>Não</t>
        </is>
      </c>
      <c r="D856" t="inlineStr">
        <is>
          <t>AM</t>
        </is>
      </c>
      <c r="E856" t="inlineStr">
        <is>
          <t>NORTE</t>
        </is>
      </c>
      <c r="F856" t="inlineStr">
        <is>
          <t>Cliente C - Misturador</t>
        </is>
      </c>
      <c r="G856" t="inlineStr">
        <is>
          <t>Refrigeradores</t>
        </is>
      </c>
      <c r="H856" s="10" t="n">
        <v>25</v>
      </c>
      <c r="I856" s="10">
        <f>IFERROR(T856*H856,0)</f>
        <v/>
      </c>
      <c r="J856" s="11" t="n">
        <v>46058</v>
      </c>
      <c r="K856" s="11" t="n"/>
      <c r="L856" t="inlineStr">
        <is>
          <t>Não Devolve-Norte</t>
        </is>
      </c>
      <c r="M856">
        <f>IF(L856="","",IFERROR(VLOOKUP(L856,mapGrupoStatus,2,0),"Outros"))</f>
        <v/>
      </c>
      <c r="N856">
        <f>IF(O856="","",IF(O856&lt;=30,"0-30 dias",IF(O856&lt;=60,"31-60 dias",IF(O856&lt;=90,"61-90 dias","Mais de 90 dias"))))</f>
        <v/>
      </c>
      <c r="O856">
        <f>IF(OR(M856="Pendente",M856="Em andamento"),IF(J856="","",TODAY()-J856),"")</f>
        <v/>
      </c>
      <c r="P856" t="n">
        <v>12269</v>
      </c>
      <c r="Q856" t="inlineStr">
        <is>
          <t>Polar Técnica (12269)</t>
        </is>
      </c>
      <c r="R856" t="inlineStr">
        <is>
          <t>PC-0015</t>
        </is>
      </c>
      <c r="S856" t="inlineStr">
        <is>
          <t>Filtro secador modelo 01</t>
        </is>
      </c>
      <c r="T856" t="n">
        <v>1</v>
      </c>
      <c r="U856" t="inlineStr"/>
      <c r="V856">
        <f>IF(J856="","",MONTH(J856))</f>
        <v/>
      </c>
      <c r="W856">
        <f>IF(J856="","",YEAR(J856))</f>
        <v/>
      </c>
      <c r="X856" t="inlineStr"/>
      <c r="Y856">
        <f>IFERROR(INDEX(Rastreio!$H$2:$H$200,MATCH(X856&amp;"|"&amp;U856,Rastreio!$A$2:$A$200,0)),"")</f>
        <v/>
      </c>
    </row>
    <row r="857">
      <c r="A857">
        <f>IFERROR(INDEX(STAs!$G$2:$G$61,MATCH(P857,STAs!$F$2:$F$61,0))&amp;"","")</f>
        <v/>
      </c>
      <c r="B857" t="n">
        <v>20038263</v>
      </c>
      <c r="C857" t="inlineStr">
        <is>
          <t>Não</t>
        </is>
      </c>
      <c r="D857" t="inlineStr">
        <is>
          <t>SP</t>
        </is>
      </c>
      <c r="E857" t="inlineStr">
        <is>
          <t>SUDESTE SP</t>
        </is>
      </c>
      <c r="F857" t="inlineStr">
        <is>
          <t>Cliente B - Chopeira</t>
        </is>
      </c>
      <c r="G857" t="inlineStr">
        <is>
          <t>Misturadores</t>
        </is>
      </c>
      <c r="H857" s="10" t="n">
        <v>255</v>
      </c>
      <c r="I857" s="10">
        <f>IFERROR(T857*H857,0)</f>
        <v/>
      </c>
      <c r="J857" s="11" t="n">
        <v>46058</v>
      </c>
      <c r="K857" s="11" t="n"/>
      <c r="L857" t="inlineStr">
        <is>
          <t>Aguardando devolução</t>
        </is>
      </c>
      <c r="M857">
        <f>IF(L857="","",IFERROR(VLOOKUP(L857,mapGrupoStatus,2,0),"Outros"))</f>
        <v/>
      </c>
      <c r="N857">
        <f>IF(O857="","",IF(O857&lt;=30,"0-30 dias",IF(O857&lt;=60,"31-60 dias",IF(O857&lt;=90,"61-90 dias","Mais de 90 dias"))))</f>
        <v/>
      </c>
      <c r="O857">
        <f>IF(OR(M857="Pendente",M857="Em andamento"),IF(J857="","",TODAY()-J857),"")</f>
        <v/>
      </c>
      <c r="P857" t="n">
        <v>11710</v>
      </c>
      <c r="Q857" t="inlineStr">
        <is>
          <t>Brisa &amp; Cia (11710)</t>
        </is>
      </c>
      <c r="R857" t="inlineStr">
        <is>
          <t>PC-0039</t>
        </is>
      </c>
      <c r="S857" t="inlineStr">
        <is>
          <t>Bomba de recirculação modelo 03</t>
        </is>
      </c>
      <c r="T857" t="n">
        <v>1</v>
      </c>
      <c r="U857" t="inlineStr"/>
      <c r="V857">
        <f>IF(J857="","",MONTH(J857))</f>
        <v/>
      </c>
      <c r="W857">
        <f>IF(J857="","",YEAR(J857))</f>
        <v/>
      </c>
      <c r="X857" t="inlineStr"/>
      <c r="Y857">
        <f>IFERROR(INDEX(Rastreio!$H$2:$H$200,MATCH(X857&amp;"|"&amp;U857,Rastreio!$A$2:$A$200,0)),"")</f>
        <v/>
      </c>
    </row>
    <row r="858">
      <c r="A858">
        <f>IFERROR(INDEX(STAs!$G$2:$G$61,MATCH(P858,STAs!$F$2:$F$61,0))&amp;"","")</f>
        <v/>
      </c>
      <c r="B858" t="n">
        <v>20003227</v>
      </c>
      <c r="C858" t="inlineStr">
        <is>
          <t>Sim</t>
        </is>
      </c>
      <c r="D858" t="inlineStr">
        <is>
          <t>PR</t>
        </is>
      </c>
      <c r="E858" t="inlineStr">
        <is>
          <t>SUL</t>
        </is>
      </c>
      <c r="F858" t="inlineStr">
        <is>
          <t>Cliente B - Chopeira</t>
        </is>
      </c>
      <c r="G858" t="inlineStr">
        <is>
          <t>Refrigeradores</t>
        </is>
      </c>
      <c r="H858" s="10" t="n">
        <v>50</v>
      </c>
      <c r="I858" s="10">
        <f>IFERROR(T858*H858,0)</f>
        <v/>
      </c>
      <c r="J858" s="11" t="n">
        <v>46059</v>
      </c>
      <c r="K858" s="11" t="n">
        <v>46109</v>
      </c>
      <c r="L858" t="inlineStr">
        <is>
          <t>Ok. Devolvida</t>
        </is>
      </c>
      <c r="M858">
        <f>IF(L858="","",IFERROR(VLOOKUP(L858,mapGrupoStatus,2,0),"Outros"))</f>
        <v/>
      </c>
      <c r="N858">
        <f>IF(O858="","",IF(O858&lt;=30,"0-30 dias",IF(O858&lt;=60,"31-60 dias",IF(O858&lt;=90,"61-90 dias","Mais de 90 dias"))))</f>
        <v/>
      </c>
      <c r="O858">
        <f>IF(OR(M858="Pendente",M858="Em andamento"),IF(J858="","",TODAY()-J858),"")</f>
        <v/>
      </c>
      <c r="P858" t="n">
        <v>12724</v>
      </c>
      <c r="Q858" t="inlineStr">
        <is>
          <t>Cool Service &amp; Cia (12724)</t>
        </is>
      </c>
      <c r="R858" t="inlineStr">
        <is>
          <t>PC-0006</t>
        </is>
      </c>
      <c r="S858" t="inlineStr">
        <is>
          <t>Termostato modelo 03</t>
        </is>
      </c>
      <c r="T858" t="n">
        <v>1</v>
      </c>
      <c r="U858" t="n">
        <v>107</v>
      </c>
      <c r="V858">
        <f>IF(J858="","",MONTH(J858))</f>
        <v/>
      </c>
      <c r="W858">
        <f>IF(J858="","",YEAR(J858))</f>
        <v/>
      </c>
      <c r="X858" t="inlineStr">
        <is>
          <t>EntregaJá</t>
        </is>
      </c>
      <c r="Y858">
        <f>IFERROR(INDEX(Rastreio!$H$2:$H$200,MATCH(X858&amp;"|"&amp;U858,Rastreio!$A$2:$A$200,0)),"")</f>
        <v/>
      </c>
    </row>
    <row r="859">
      <c r="A859">
        <f>IFERROR(INDEX(STAs!$G$2:$G$61,MATCH(P859,STAs!$F$2:$F$61,0))&amp;"","")</f>
        <v/>
      </c>
      <c r="B859" t="n">
        <v>20006639</v>
      </c>
      <c r="C859" t="inlineStr">
        <is>
          <t>Não</t>
        </is>
      </c>
      <c r="D859" t="inlineStr">
        <is>
          <t>PA</t>
        </is>
      </c>
      <c r="E859" t="inlineStr">
        <is>
          <t>NORTE</t>
        </is>
      </c>
      <c r="F859" t="inlineStr">
        <is>
          <t>Cliente A - Refrigerador</t>
        </is>
      </c>
      <c r="G859" t="inlineStr">
        <is>
          <t>Misturadores</t>
        </is>
      </c>
      <c r="H859" s="10" t="n">
        <v>40</v>
      </c>
      <c r="I859" s="10">
        <f>IFERROR(T859*H859,0)</f>
        <v/>
      </c>
      <c r="J859" s="11" t="n">
        <v>46059</v>
      </c>
      <c r="K859" s="11" t="n"/>
      <c r="L859" t="inlineStr">
        <is>
          <t>Em andamento</t>
        </is>
      </c>
      <c r="M859">
        <f>IF(L859="","",IFERROR(VLOOKUP(L859,mapGrupoStatus,2,0),"Outros"))</f>
        <v/>
      </c>
      <c r="N859">
        <f>IF(O859="","",IF(O859&lt;=30,"0-30 dias",IF(O859&lt;=60,"31-60 dias",IF(O859&lt;=90,"61-90 dias","Mais de 90 dias"))))</f>
        <v/>
      </c>
      <c r="O859">
        <f>IF(OR(M859="Pendente",M859="Em andamento"),IF(J859="","",TODAY()-J859),"")</f>
        <v/>
      </c>
      <c r="P859" t="n">
        <v>11986</v>
      </c>
      <c r="Q859" t="inlineStr">
        <is>
          <t>Polar Serviços (11986)</t>
        </is>
      </c>
      <c r="R859" t="inlineStr">
        <is>
          <t>PC-0042</t>
        </is>
      </c>
      <c r="S859" t="inlineStr">
        <is>
          <t>Bico dosador modelo 01</t>
        </is>
      </c>
      <c r="T859" t="n">
        <v>2</v>
      </c>
      <c r="U859" t="n">
        <v>111</v>
      </c>
      <c r="V859">
        <f>IF(J859="","",MONTH(J859))</f>
        <v/>
      </c>
      <c r="W859">
        <f>IF(J859="","",YEAR(J859))</f>
        <v/>
      </c>
      <c r="X859" t="inlineStr">
        <is>
          <t>TransNorte</t>
        </is>
      </c>
      <c r="Y859">
        <f>IFERROR(INDEX(Rastreio!$H$2:$H$200,MATCH(X859&amp;"|"&amp;U859,Rastreio!$A$2:$A$200,0)),"")</f>
        <v/>
      </c>
    </row>
    <row r="860">
      <c r="A860">
        <f>IFERROR(INDEX(STAs!$G$2:$G$61,MATCH(P860,STAs!$F$2:$F$61,0))&amp;"","")</f>
        <v/>
      </c>
      <c r="B860" t="n">
        <v>20007457</v>
      </c>
      <c r="C860" t="inlineStr">
        <is>
          <t>Não</t>
        </is>
      </c>
      <c r="D860" t="inlineStr">
        <is>
          <t>RR</t>
        </is>
      </c>
      <c r="E860" t="inlineStr">
        <is>
          <t>NORTE</t>
        </is>
      </c>
      <c r="F860" t="inlineStr">
        <is>
          <t>Cliente A - Refrigerador</t>
        </is>
      </c>
      <c r="G860" t="inlineStr">
        <is>
          <t>Chopeiras</t>
        </is>
      </c>
      <c r="H860" s="10" t="n">
        <v>120</v>
      </c>
      <c r="I860" s="10">
        <f>IFERROR(T860*H860,0)</f>
        <v/>
      </c>
      <c r="J860" s="11" t="n">
        <v>46059</v>
      </c>
      <c r="K860" s="11" t="n"/>
      <c r="L860" t="inlineStr">
        <is>
          <t>Não Devolve-Norte</t>
        </is>
      </c>
      <c r="M860">
        <f>IF(L860="","",IFERROR(VLOOKUP(L860,mapGrupoStatus,2,0),"Outros"))</f>
        <v/>
      </c>
      <c r="N860">
        <f>IF(O860="","",IF(O860&lt;=30,"0-30 dias",IF(O860&lt;=60,"31-60 dias",IF(O860&lt;=90,"61-90 dias","Mais de 90 dias"))))</f>
        <v/>
      </c>
      <c r="O860">
        <f>IF(OR(M860="Pendente",M860="Em andamento"),IF(J860="","",TODAY()-J860),"")</f>
        <v/>
      </c>
      <c r="P860" t="n">
        <v>12422</v>
      </c>
      <c r="Q860" t="inlineStr">
        <is>
          <t>Assistência Técnica Refrigeração (12422)</t>
        </is>
      </c>
      <c r="R860" t="inlineStr">
        <is>
          <t>PC-0032</t>
        </is>
      </c>
      <c r="S860" t="inlineStr">
        <is>
          <t>Regulador de pressão modelo 01</t>
        </is>
      </c>
      <c r="T860" t="n">
        <v>1</v>
      </c>
      <c r="U860" t="inlineStr"/>
      <c r="V860">
        <f>IF(J860="","",MONTH(J860))</f>
        <v/>
      </c>
      <c r="W860">
        <f>IF(J860="","",YEAR(J860))</f>
        <v/>
      </c>
      <c r="X860" t="inlineStr"/>
      <c r="Y860">
        <f>IFERROR(INDEX(Rastreio!$H$2:$H$200,MATCH(X860&amp;"|"&amp;U860,Rastreio!$A$2:$A$200,0)),"")</f>
        <v/>
      </c>
    </row>
    <row r="861">
      <c r="A861">
        <f>IFERROR(INDEX(STAs!$G$2:$G$61,MATCH(P861,STAs!$F$2:$F$61,0))&amp;"","")</f>
        <v/>
      </c>
      <c r="B861" t="n">
        <v>20013118</v>
      </c>
      <c r="C861" t="inlineStr">
        <is>
          <t>Não</t>
        </is>
      </c>
      <c r="D861" t="inlineStr">
        <is>
          <t>SP</t>
        </is>
      </c>
      <c r="E861" t="inlineStr">
        <is>
          <t>SUDESTE SP</t>
        </is>
      </c>
      <c r="F861" t="inlineStr">
        <is>
          <t>Cliente B - Chopeira</t>
        </is>
      </c>
      <c r="G861" t="inlineStr">
        <is>
          <t>Refrigeradores</t>
        </is>
      </c>
      <c r="H861" s="10" t="n">
        <v>185</v>
      </c>
      <c r="I861" s="10">
        <f>IFERROR(T861*H861,0)</f>
        <v/>
      </c>
      <c r="J861" s="11" t="n">
        <v>46059</v>
      </c>
      <c r="K861" s="11" t="n"/>
      <c r="L861" t="inlineStr">
        <is>
          <t>Em andamento</t>
        </is>
      </c>
      <c r="M861">
        <f>IF(L861="","",IFERROR(VLOOKUP(L861,mapGrupoStatus,2,0),"Outros"))</f>
        <v/>
      </c>
      <c r="N861">
        <f>IF(O861="","",IF(O861&lt;=30,"0-30 dias",IF(O861&lt;=60,"31-60 dias",IF(O861&lt;=90,"61-90 dias","Mais de 90 dias"))))</f>
        <v/>
      </c>
      <c r="O861">
        <f>IF(OR(M861="Pendente",M861="Em andamento"),IF(J861="","",TODAY()-J861),"")</f>
        <v/>
      </c>
      <c r="P861" t="n">
        <v>12052</v>
      </c>
      <c r="Q861" t="inlineStr">
        <is>
          <t>Brisa Refrigeração (12052)</t>
        </is>
      </c>
      <c r="R861" t="inlineStr">
        <is>
          <t>PC-0013</t>
        </is>
      </c>
      <c r="S861" t="inlineStr">
        <is>
          <t>Placa eletrônica modelo 03</t>
        </is>
      </c>
      <c r="T861" t="n">
        <v>3</v>
      </c>
      <c r="U861" t="n">
        <v>125</v>
      </c>
      <c r="V861">
        <f>IF(J861="","",MONTH(J861))</f>
        <v/>
      </c>
      <c r="W861">
        <f>IF(J861="","",YEAR(J861))</f>
        <v/>
      </c>
      <c r="X861" t="inlineStr">
        <is>
          <t>CargoMax</t>
        </is>
      </c>
      <c r="Y861">
        <f>IFERROR(INDEX(Rastreio!$H$2:$H$200,MATCH(X861&amp;"|"&amp;U861,Rastreio!$A$2:$A$200,0)),"")</f>
        <v/>
      </c>
    </row>
    <row r="862">
      <c r="A862">
        <f>IFERROR(INDEX(STAs!$G$2:$G$61,MATCH(P862,STAs!$F$2:$F$61,0))&amp;"","")</f>
        <v/>
      </c>
      <c r="B862" t="n">
        <v>20017712</v>
      </c>
      <c r="C862" t="inlineStr">
        <is>
          <t>Não</t>
        </is>
      </c>
      <c r="D862" t="inlineStr">
        <is>
          <t>PI</t>
        </is>
      </c>
      <c r="E862" t="inlineStr">
        <is>
          <t>NORDESTE</t>
        </is>
      </c>
      <c r="F862" t="inlineStr">
        <is>
          <t>Cliente A - Refrigerador</t>
        </is>
      </c>
      <c r="G862" t="inlineStr">
        <is>
          <t>Refrigeradores</t>
        </is>
      </c>
      <c r="H862" s="10" t="n">
        <v>315</v>
      </c>
      <c r="I862" s="10">
        <f>IFERROR(T862*H862,0)</f>
        <v/>
      </c>
      <c r="J862" s="11" t="n">
        <v>46059</v>
      </c>
      <c r="K862" s="11" t="n">
        <v>46099</v>
      </c>
      <c r="L862" t="inlineStr">
        <is>
          <t>Ok. Devolvida</t>
        </is>
      </c>
      <c r="M862">
        <f>IF(L862="","",IFERROR(VLOOKUP(L862,mapGrupoStatus,2,0),"Outros"))</f>
        <v/>
      </c>
      <c r="N862">
        <f>IF(O862="","",IF(O862&lt;=30,"0-30 dias",IF(O862&lt;=60,"31-60 dias",IF(O862&lt;=90,"61-90 dias","Mais de 90 dias"))))</f>
        <v/>
      </c>
      <c r="O862">
        <f>IF(OR(M862="Pendente",M862="Em andamento"),IF(J862="","",TODAY()-J862),"")</f>
        <v/>
      </c>
      <c r="P862" t="n">
        <v>10562</v>
      </c>
      <c r="Q862" t="inlineStr">
        <is>
          <t>Clima &amp; Cia (10562)</t>
        </is>
      </c>
      <c r="R862" t="inlineStr">
        <is>
          <t>PC-0002</t>
        </is>
      </c>
      <c r="S862" t="inlineStr">
        <is>
          <t>Compressor modelo 02</t>
        </is>
      </c>
      <c r="T862" t="n">
        <v>1</v>
      </c>
      <c r="U862" t="n">
        <v>123</v>
      </c>
      <c r="V862">
        <f>IF(J862="","",MONTH(J862))</f>
        <v/>
      </c>
      <c r="W862">
        <f>IF(J862="","",YEAR(J862))</f>
        <v/>
      </c>
      <c r="X862" t="inlineStr">
        <is>
          <t>RotaSul</t>
        </is>
      </c>
      <c r="Y862">
        <f>IFERROR(INDEX(Rastreio!$H$2:$H$200,MATCH(X862&amp;"|"&amp;U862,Rastreio!$A$2:$A$200,0)),"")</f>
        <v/>
      </c>
    </row>
    <row r="863">
      <c r="A863">
        <f>IFERROR(INDEX(STAs!$G$2:$G$61,MATCH(P863,STAs!$F$2:$F$61,0))&amp;"","")</f>
        <v/>
      </c>
      <c r="B863" t="n">
        <v>20000117</v>
      </c>
      <c r="C863" t="inlineStr">
        <is>
          <t>Não</t>
        </is>
      </c>
      <c r="D863" t="inlineStr">
        <is>
          <t>GO</t>
        </is>
      </c>
      <c r="E863" t="inlineStr">
        <is>
          <t>CENTRO OESTE</t>
        </is>
      </c>
      <c r="F863" t="inlineStr">
        <is>
          <t>Cliente C - Misturador</t>
        </is>
      </c>
      <c r="G863" t="inlineStr">
        <is>
          <t>Misturadores</t>
        </is>
      </c>
      <c r="H863" s="10" t="n">
        <v>265</v>
      </c>
      <c r="I863" s="10">
        <f>IFERROR(T863*H863,0)</f>
        <v/>
      </c>
      <c r="J863" s="11" t="n">
        <v>46060</v>
      </c>
      <c r="K863" s="11" t="n"/>
      <c r="L863" t="inlineStr">
        <is>
          <t>Em transporte</t>
        </is>
      </c>
      <c r="M863">
        <f>IF(L863="","",IFERROR(VLOOKUP(L863,mapGrupoStatus,2,0),"Outros"))</f>
        <v/>
      </c>
      <c r="N863">
        <f>IF(O863="","",IF(O863&lt;=30,"0-30 dias",IF(O863&lt;=60,"31-60 dias",IF(O863&lt;=90,"61-90 dias","Mais de 90 dias"))))</f>
        <v/>
      </c>
      <c r="O863">
        <f>IF(OR(M863="Pendente",M863="Em andamento"),IF(J863="","",TODAY()-J863),"")</f>
        <v/>
      </c>
      <c r="P863" t="n">
        <v>10317</v>
      </c>
      <c r="Q863" t="inlineStr">
        <is>
          <t>Termotec Manutenção (10317)</t>
        </is>
      </c>
      <c r="R863" t="inlineStr">
        <is>
          <t>PC-0038</t>
        </is>
      </c>
      <c r="S863" t="inlineStr">
        <is>
          <t>Bomba de recirculação modelo 02</t>
        </is>
      </c>
      <c r="T863" t="n">
        <v>1</v>
      </c>
      <c r="U863" t="n">
        <v>100</v>
      </c>
      <c r="V863">
        <f>IF(J863="","",MONTH(J863))</f>
        <v/>
      </c>
      <c r="W863">
        <f>IF(J863="","",YEAR(J863))</f>
        <v/>
      </c>
      <c r="X863" t="inlineStr">
        <is>
          <t>RotaSul</t>
        </is>
      </c>
      <c r="Y863">
        <f>IFERROR(INDEX(Rastreio!$H$2:$H$200,MATCH(X863&amp;"|"&amp;U863,Rastreio!$A$2:$A$200,0)),"")</f>
        <v/>
      </c>
    </row>
    <row r="864">
      <c r="A864">
        <f>IFERROR(INDEX(STAs!$G$2:$G$61,MATCH(P864,STAs!$F$2:$F$61,0))&amp;"","")</f>
        <v/>
      </c>
      <c r="B864" t="n">
        <v>20000852</v>
      </c>
      <c r="C864" t="inlineStr">
        <is>
          <t>Não</t>
        </is>
      </c>
      <c r="D864" t="inlineStr">
        <is>
          <t>AP</t>
        </is>
      </c>
      <c r="E864" t="inlineStr">
        <is>
          <t>NORTE</t>
        </is>
      </c>
      <c r="F864" t="inlineStr">
        <is>
          <t>Cliente A - Refrigerador</t>
        </is>
      </c>
      <c r="G864" t="inlineStr">
        <is>
          <t>Refrigeradores</t>
        </is>
      </c>
      <c r="H864" s="10" t="n">
        <v>35</v>
      </c>
      <c r="I864" s="10">
        <f>IFERROR(T864*H864,0)</f>
        <v/>
      </c>
      <c r="J864" s="11" t="n">
        <v>46060</v>
      </c>
      <c r="K864" s="11" t="n"/>
      <c r="L864" t="inlineStr">
        <is>
          <t>Em transporte</t>
        </is>
      </c>
      <c r="M864">
        <f>IF(L864="","",IFERROR(VLOOKUP(L864,mapGrupoStatus,2,0),"Outros"))</f>
        <v/>
      </c>
      <c r="N864">
        <f>IF(O864="","",IF(O864&lt;=30,"0-30 dias",IF(O864&lt;=60,"31-60 dias",IF(O864&lt;=90,"61-90 dias","Mais de 90 dias"))))</f>
        <v/>
      </c>
      <c r="O864">
        <f>IF(OR(M864="Pendente",M864="Em andamento"),IF(J864="","",TODAY()-J864),"")</f>
        <v/>
      </c>
      <c r="P864" t="n">
        <v>11859</v>
      </c>
      <c r="Q864" t="inlineStr">
        <is>
          <t>Ice Tech Serviços (11859)</t>
        </is>
      </c>
      <c r="R864" t="inlineStr">
        <is>
          <t>PC-0016</t>
        </is>
      </c>
      <c r="S864" t="inlineStr">
        <is>
          <t>Filtro secador modelo 02</t>
        </is>
      </c>
      <c r="T864" t="n">
        <v>1</v>
      </c>
      <c r="U864" t="n">
        <v>103</v>
      </c>
      <c r="V864">
        <f>IF(J864="","",MONTH(J864))</f>
        <v/>
      </c>
      <c r="W864">
        <f>IF(J864="","",YEAR(J864))</f>
        <v/>
      </c>
      <c r="X864" t="inlineStr">
        <is>
          <t>LogExpress</t>
        </is>
      </c>
      <c r="Y864">
        <f>IFERROR(INDEX(Rastreio!$H$2:$H$200,MATCH(X864&amp;"|"&amp;U864,Rastreio!$A$2:$A$200,0)),"")</f>
        <v/>
      </c>
    </row>
    <row r="865">
      <c r="A865">
        <f>IFERROR(INDEX(STAs!$G$2:$G$61,MATCH(P865,STAs!$F$2:$F$61,0))&amp;"","")</f>
        <v/>
      </c>
      <c r="B865" t="n">
        <v>20014588</v>
      </c>
      <c r="C865" t="inlineStr">
        <is>
          <t>Não</t>
        </is>
      </c>
      <c r="D865" t="inlineStr">
        <is>
          <t>PA</t>
        </is>
      </c>
      <c r="E865" t="inlineStr">
        <is>
          <t>NORTE</t>
        </is>
      </c>
      <c r="F865" t="inlineStr">
        <is>
          <t>Cliente B - Chopeira</t>
        </is>
      </c>
      <c r="G865" t="inlineStr">
        <is>
          <t>Chopeiras</t>
        </is>
      </c>
      <c r="H865" s="10" t="n">
        <v>85</v>
      </c>
      <c r="I865" s="10">
        <f>IFERROR(T865*H865,0)</f>
        <v/>
      </c>
      <c r="J865" s="11" t="n">
        <v>46060</v>
      </c>
      <c r="K865" s="11" t="n"/>
      <c r="L865" t="inlineStr">
        <is>
          <t>Em transporte</t>
        </is>
      </c>
      <c r="M865">
        <f>IF(L865="","",IFERROR(VLOOKUP(L865,mapGrupoStatus,2,0),"Outros"))</f>
        <v/>
      </c>
      <c r="N865">
        <f>IF(O865="","",IF(O865&lt;=30,"0-30 dias",IF(O865&lt;=60,"31-60 dias",IF(O865&lt;=90,"61-90 dias","Mais de 90 dias"))))</f>
        <v/>
      </c>
      <c r="O865">
        <f>IF(OR(M865="Pendente",M865="Em andamento"),IF(J865="","",TODAY()-J865),"")</f>
        <v/>
      </c>
      <c r="P865" t="n">
        <v>11986</v>
      </c>
      <c r="Q865" t="inlineStr">
        <is>
          <t>Polar Serviços (11986)</t>
        </is>
      </c>
      <c r="R865" t="inlineStr">
        <is>
          <t>PC-0035</t>
        </is>
      </c>
      <c r="S865" t="inlineStr">
        <is>
          <t>Válvula extratora modelo 01</t>
        </is>
      </c>
      <c r="T865" t="n">
        <v>1</v>
      </c>
      <c r="U865" t="n">
        <v>127</v>
      </c>
      <c r="V865">
        <f>IF(J865="","",MONTH(J865))</f>
        <v/>
      </c>
      <c r="W865">
        <f>IF(J865="","",YEAR(J865))</f>
        <v/>
      </c>
      <c r="X865" t="inlineStr">
        <is>
          <t>CargoMax</t>
        </is>
      </c>
      <c r="Y865">
        <f>IFERROR(INDEX(Rastreio!$H$2:$H$200,MATCH(X865&amp;"|"&amp;U865,Rastreio!$A$2:$A$200,0)),"")</f>
        <v/>
      </c>
    </row>
    <row r="866">
      <c r="A866">
        <f>IFERROR(INDEX(STAs!$G$2:$G$61,MATCH(P866,STAs!$F$2:$F$61,0))&amp;"","")</f>
        <v/>
      </c>
      <c r="B866" t="n">
        <v>20030233</v>
      </c>
      <c r="C866" t="inlineStr">
        <is>
          <t>Não</t>
        </is>
      </c>
      <c r="D866" t="inlineStr">
        <is>
          <t>MG</t>
        </is>
      </c>
      <c r="E866" t="inlineStr">
        <is>
          <t>SUDESTE MG</t>
        </is>
      </c>
      <c r="F866" t="inlineStr">
        <is>
          <t>Cliente C - Misturador</t>
        </is>
      </c>
      <c r="G866" t="inlineStr">
        <is>
          <t>Refrigeradores</t>
        </is>
      </c>
      <c r="H866" s="10" t="n">
        <v>40</v>
      </c>
      <c r="I866" s="10">
        <f>IFERROR(T866*H866,0)</f>
        <v/>
      </c>
      <c r="J866" s="11" t="n">
        <v>46060</v>
      </c>
      <c r="K866" s="11" t="n"/>
      <c r="L866" t="inlineStr">
        <is>
          <t>Aguardando Transporte</t>
        </is>
      </c>
      <c r="M866">
        <f>IF(L866="","",IFERROR(VLOOKUP(L866,mapGrupoStatus,2,0),"Outros"))</f>
        <v/>
      </c>
      <c r="N866">
        <f>IF(O866="","",IF(O866&lt;=30,"0-30 dias",IF(O866&lt;=60,"31-60 dias",IF(O866&lt;=90,"61-90 dias","Mais de 90 dias"))))</f>
        <v/>
      </c>
      <c r="O866">
        <f>IF(OR(M866="Pendente",M866="Em andamento"),IF(J866="","",TODAY()-J866),"")</f>
        <v/>
      </c>
      <c r="P866" t="n">
        <v>11494</v>
      </c>
      <c r="Q866" t="inlineStr">
        <is>
          <t>Clima Técnica (11494)</t>
        </is>
      </c>
      <c r="R866" t="inlineStr">
        <is>
          <t>PC-0005</t>
        </is>
      </c>
      <c r="S866" t="inlineStr">
        <is>
          <t>Termostato modelo 02</t>
        </is>
      </c>
      <c r="T866" t="n">
        <v>1</v>
      </c>
      <c r="U866" t="n">
        <v>152</v>
      </c>
      <c r="V866">
        <f>IF(J866="","",MONTH(J866))</f>
        <v/>
      </c>
      <c r="W866">
        <f>IF(J866="","",YEAR(J866))</f>
        <v/>
      </c>
      <c r="X866" t="inlineStr">
        <is>
          <t>TransNorte</t>
        </is>
      </c>
      <c r="Y866">
        <f>IFERROR(INDEX(Rastreio!$H$2:$H$200,MATCH(X866&amp;"|"&amp;U866,Rastreio!$A$2:$A$200,0)),"")</f>
        <v/>
      </c>
    </row>
    <row r="867">
      <c r="A867">
        <f>IFERROR(INDEX(STAs!$G$2:$G$61,MATCH(P867,STAs!$F$2:$F$61,0))&amp;"","")</f>
        <v/>
      </c>
      <c r="B867" t="n">
        <v>20033461</v>
      </c>
      <c r="C867" t="inlineStr">
        <is>
          <t>Não</t>
        </is>
      </c>
      <c r="D867" t="inlineStr">
        <is>
          <t>RS</t>
        </is>
      </c>
      <c r="E867" t="inlineStr">
        <is>
          <t>SUL</t>
        </is>
      </c>
      <c r="F867" t="inlineStr">
        <is>
          <t>Cliente C - Misturador</t>
        </is>
      </c>
      <c r="G867" t="inlineStr">
        <is>
          <t>Misturadores</t>
        </is>
      </c>
      <c r="H867" s="10" t="n">
        <v>255</v>
      </c>
      <c r="I867" s="10">
        <f>IFERROR(T867*H867,0)</f>
        <v/>
      </c>
      <c r="J867" s="11" t="n">
        <v>46060</v>
      </c>
      <c r="K867" s="11" t="n">
        <v>46081</v>
      </c>
      <c r="L867" t="inlineStr">
        <is>
          <t>Ok. Devolvida</t>
        </is>
      </c>
      <c r="M867">
        <f>IF(L867="","",IFERROR(VLOOKUP(L867,mapGrupoStatus,2,0),"Outros"))</f>
        <v/>
      </c>
      <c r="N867">
        <f>IF(O867="","",IF(O867&lt;=30,"0-30 dias",IF(O867&lt;=60,"31-60 dias",IF(O867&lt;=90,"61-90 dias","Mais de 90 dias"))))</f>
        <v/>
      </c>
      <c r="O867">
        <f>IF(OR(M867="Pendente",M867="Em andamento"),IF(J867="","",TODAY()-J867),"")</f>
        <v/>
      </c>
      <c r="P867" t="n">
        <v>12617</v>
      </c>
      <c r="Q867" t="inlineStr">
        <is>
          <t>Gelo Manutenção (12617)</t>
        </is>
      </c>
      <c r="R867" t="inlineStr">
        <is>
          <t>PC-0039</t>
        </is>
      </c>
      <c r="S867" t="inlineStr">
        <is>
          <t>Bomba de recirculação modelo 03</t>
        </is>
      </c>
      <c r="T867" t="n">
        <v>1</v>
      </c>
      <c r="U867" t="n">
        <v>160</v>
      </c>
      <c r="V867">
        <f>IF(J867="","",MONTH(J867))</f>
        <v/>
      </c>
      <c r="W867">
        <f>IF(J867="","",YEAR(J867))</f>
        <v/>
      </c>
      <c r="X867" t="inlineStr">
        <is>
          <t>TransNorte</t>
        </is>
      </c>
      <c r="Y867">
        <f>IFERROR(INDEX(Rastreio!$H$2:$H$200,MATCH(X867&amp;"|"&amp;U867,Rastreio!$A$2:$A$200,0)),"")</f>
        <v/>
      </c>
    </row>
    <row r="868">
      <c r="A868">
        <f>IFERROR(INDEX(STAs!$G$2:$G$61,MATCH(P868,STAs!$F$2:$F$61,0))&amp;"","")</f>
        <v/>
      </c>
      <c r="B868" t="n">
        <v>20040722</v>
      </c>
      <c r="C868" t="inlineStr">
        <is>
          <t>Não</t>
        </is>
      </c>
      <c r="D868" t="inlineStr">
        <is>
          <t>RJ</t>
        </is>
      </c>
      <c r="E868" t="inlineStr">
        <is>
          <t>SUDESTE RJ e ES</t>
        </is>
      </c>
      <c r="F868" t="inlineStr">
        <is>
          <t>Cliente B - Chopeira</t>
        </is>
      </c>
      <c r="G868" t="inlineStr">
        <is>
          <t>Chopeiras</t>
        </is>
      </c>
      <c r="H868" s="10" t="n">
        <v>85</v>
      </c>
      <c r="I868" s="10">
        <f>IFERROR(T868*H868,0)</f>
        <v/>
      </c>
      <c r="J868" s="11" t="n">
        <v>46060</v>
      </c>
      <c r="K868" s="11" t="n"/>
      <c r="L868" t="inlineStr">
        <is>
          <t>Debitar do STA</t>
        </is>
      </c>
      <c r="M868">
        <f>IF(L868="","",IFERROR(VLOOKUP(L868,mapGrupoStatus,2,0),"Outros"))</f>
        <v/>
      </c>
      <c r="N868">
        <f>IF(O868="","",IF(O868&lt;=30,"0-30 dias",IF(O868&lt;=60,"31-60 dias",IF(O868&lt;=90,"61-90 dias","Mais de 90 dias"))))</f>
        <v/>
      </c>
      <c r="O868">
        <f>IF(OR(M868="Pendente",M868="Em andamento"),IF(J868="","",TODAY()-J868),"")</f>
        <v/>
      </c>
      <c r="P868" t="n">
        <v>12811</v>
      </c>
      <c r="Q868" t="inlineStr">
        <is>
          <t>Norte Frio Técnica (12811)</t>
        </is>
      </c>
      <c r="R868" t="inlineStr">
        <is>
          <t>PC-0026</t>
        </is>
      </c>
      <c r="S868" t="inlineStr">
        <is>
          <t>Torneira de chopp modelo 01</t>
        </is>
      </c>
      <c r="T868" t="n">
        <v>1</v>
      </c>
      <c r="U868" t="inlineStr"/>
      <c r="V868">
        <f>IF(J868="","",MONTH(J868))</f>
        <v/>
      </c>
      <c r="W868">
        <f>IF(J868="","",YEAR(J868))</f>
        <v/>
      </c>
      <c r="X868" t="inlineStr"/>
      <c r="Y868">
        <f>IFERROR(INDEX(Rastreio!$H$2:$H$200,MATCH(X868&amp;"|"&amp;U868,Rastreio!$A$2:$A$200,0)),"")</f>
        <v/>
      </c>
    </row>
    <row r="869">
      <c r="A869">
        <f>IFERROR(INDEX(STAs!$G$2:$G$61,MATCH(P869,STAs!$F$2:$F$61,0))&amp;"","")</f>
        <v/>
      </c>
      <c r="B869" t="n">
        <v>20003833</v>
      </c>
      <c r="C869" t="inlineStr">
        <is>
          <t>Não</t>
        </is>
      </c>
      <c r="D869" t="inlineStr">
        <is>
          <t>MG</t>
        </is>
      </c>
      <c r="E869" t="inlineStr">
        <is>
          <t>SUDESTE MG</t>
        </is>
      </c>
      <c r="F869" t="inlineStr">
        <is>
          <t>Cliente B - Chopeira</t>
        </is>
      </c>
      <c r="G869" t="inlineStr">
        <is>
          <t>Chopeiras</t>
        </is>
      </c>
      <c r="H869" s="10" t="n">
        <v>115</v>
      </c>
      <c r="I869" s="10">
        <f>IFERROR(T869*H869,0)</f>
        <v/>
      </c>
      <c r="J869" s="11" t="n">
        <v>46061</v>
      </c>
      <c r="K869" s="11" t="n"/>
      <c r="L869" t="inlineStr">
        <is>
          <t>Debitar do STA</t>
        </is>
      </c>
      <c r="M869">
        <f>IF(L869="","",IFERROR(VLOOKUP(L869,mapGrupoStatus,2,0),"Outros"))</f>
        <v/>
      </c>
      <c r="N869">
        <f>IF(O869="","",IF(O869&lt;=30,"0-30 dias",IF(O869&lt;=60,"31-60 dias",IF(O869&lt;=90,"61-90 dias","Mais de 90 dias"))))</f>
        <v/>
      </c>
      <c r="O869">
        <f>IF(OR(M869="Pendente",M869="Em andamento"),IF(J869="","",TODAY()-J869),"")</f>
        <v/>
      </c>
      <c r="P869" t="n">
        <v>11494</v>
      </c>
      <c r="Q869" t="inlineStr">
        <is>
          <t>Clima Técnica (11494)</t>
        </is>
      </c>
      <c r="R869" t="inlineStr">
        <is>
          <t>PC-0034</t>
        </is>
      </c>
      <c r="S869" t="inlineStr">
        <is>
          <t>Regulador de pressão modelo 03</t>
        </is>
      </c>
      <c r="T869" t="n">
        <v>2</v>
      </c>
      <c r="U869" t="inlineStr"/>
      <c r="V869">
        <f>IF(J869="","",MONTH(J869))</f>
        <v/>
      </c>
      <c r="W869">
        <f>IF(J869="","",YEAR(J869))</f>
        <v/>
      </c>
      <c r="X869" t="inlineStr"/>
      <c r="Y869">
        <f>IFERROR(INDEX(Rastreio!$H$2:$H$200,MATCH(X869&amp;"|"&amp;U869,Rastreio!$A$2:$A$200,0)),"")</f>
        <v/>
      </c>
    </row>
    <row r="870">
      <c r="A870">
        <f>IFERROR(INDEX(STAs!$G$2:$G$61,MATCH(P870,STAs!$F$2:$F$61,0))&amp;"","")</f>
        <v/>
      </c>
      <c r="B870" t="n">
        <v>20010138</v>
      </c>
      <c r="C870" t="inlineStr">
        <is>
          <t>Não</t>
        </is>
      </c>
      <c r="D870" t="inlineStr">
        <is>
          <t>ES</t>
        </is>
      </c>
      <c r="E870" t="inlineStr">
        <is>
          <t>SUDESTE RJ e ES</t>
        </is>
      </c>
      <c r="F870" t="inlineStr">
        <is>
          <t>Cliente B - Chopeira</t>
        </is>
      </c>
      <c r="G870" t="inlineStr">
        <is>
          <t>Refrigeradores</t>
        </is>
      </c>
      <c r="H870" s="10" t="n">
        <v>190</v>
      </c>
      <c r="I870" s="10">
        <f>IFERROR(T870*H870,0)</f>
        <v/>
      </c>
      <c r="J870" s="11" t="n">
        <v>46061</v>
      </c>
      <c r="K870" s="11" t="n">
        <v>46080</v>
      </c>
      <c r="L870" t="inlineStr">
        <is>
          <t>Ok. Devolvida</t>
        </is>
      </c>
      <c r="M870">
        <f>IF(L870="","",IFERROR(VLOOKUP(L870,mapGrupoStatus,2,0),"Outros"))</f>
        <v/>
      </c>
      <c r="N870">
        <f>IF(O870="","",IF(O870&lt;=30,"0-30 dias",IF(O870&lt;=60,"31-60 dias",IF(O870&lt;=90,"61-90 dias","Mais de 90 dias"))))</f>
        <v/>
      </c>
      <c r="O870">
        <f>IF(OR(M870="Pendente",M870="Em andamento"),IF(J870="","",TODAY()-J870),"")</f>
        <v/>
      </c>
      <c r="P870" t="n">
        <v>11396</v>
      </c>
      <c r="Q870" t="inlineStr">
        <is>
          <t>Frio Manutenção (11396)</t>
        </is>
      </c>
      <c r="R870" t="inlineStr">
        <is>
          <t>PC-0011</t>
        </is>
      </c>
      <c r="S870" t="inlineStr">
        <is>
          <t>Placa eletrônica modelo 01</t>
        </is>
      </c>
      <c r="T870" t="n">
        <v>1</v>
      </c>
      <c r="U870" t="n">
        <v>120</v>
      </c>
      <c r="V870">
        <f>IF(J870="","",MONTH(J870))</f>
        <v/>
      </c>
      <c r="W870">
        <f>IF(J870="","",YEAR(J870))</f>
        <v/>
      </c>
      <c r="X870" t="inlineStr">
        <is>
          <t>EntregaJá</t>
        </is>
      </c>
      <c r="Y870">
        <f>IFERROR(INDEX(Rastreio!$H$2:$H$200,MATCH(X870&amp;"|"&amp;U870,Rastreio!$A$2:$A$200,0)),"")</f>
        <v/>
      </c>
    </row>
    <row r="871">
      <c r="A871">
        <f>IFERROR(INDEX(STAs!$G$2:$G$61,MATCH(P871,STAs!$F$2:$F$61,0))&amp;"","")</f>
        <v/>
      </c>
      <c r="B871" t="n">
        <v>20030607</v>
      </c>
      <c r="C871" t="inlineStr">
        <is>
          <t>Não</t>
        </is>
      </c>
      <c r="D871" t="inlineStr">
        <is>
          <t>PA</t>
        </is>
      </c>
      <c r="E871" t="inlineStr">
        <is>
          <t>NORTE</t>
        </is>
      </c>
      <c r="F871" t="inlineStr">
        <is>
          <t>Cliente C - Misturador</t>
        </is>
      </c>
      <c r="G871" t="inlineStr">
        <is>
          <t>Misturadores</t>
        </is>
      </c>
      <c r="H871" s="10" t="n">
        <v>60</v>
      </c>
      <c r="I871" s="10">
        <f>IFERROR(T871*H871,0)</f>
        <v/>
      </c>
      <c r="J871" s="11" t="n">
        <v>46061</v>
      </c>
      <c r="K871" s="11" t="n">
        <v>46120</v>
      </c>
      <c r="L871" t="inlineStr">
        <is>
          <t>Ok. Devolvida</t>
        </is>
      </c>
      <c r="M871">
        <f>IF(L871="","",IFERROR(VLOOKUP(L871,mapGrupoStatus,2,0),"Outros"))</f>
        <v/>
      </c>
      <c r="N871">
        <f>IF(O871="","",IF(O871&lt;=30,"0-30 dias",IF(O871&lt;=60,"31-60 dias",IF(O871&lt;=90,"61-90 dias","Mais de 90 dias"))))</f>
        <v/>
      </c>
      <c r="O871">
        <f>IF(OR(M871="Pendente",M871="Em andamento"),IF(J871="","",TODAY()-J871),"")</f>
        <v/>
      </c>
      <c r="P871" t="n">
        <v>11986</v>
      </c>
      <c r="Q871" t="inlineStr">
        <is>
          <t>Polar Serviços (11986)</t>
        </is>
      </c>
      <c r="R871" t="inlineStr">
        <is>
          <t>PC-0046</t>
        </is>
      </c>
      <c r="S871" t="inlineStr">
        <is>
          <t>Sensor de nível modelo 02</t>
        </is>
      </c>
      <c r="T871" t="n">
        <v>1</v>
      </c>
      <c r="U871" t="n">
        <v>154</v>
      </c>
      <c r="V871">
        <f>IF(J871="","",MONTH(J871))</f>
        <v/>
      </c>
      <c r="W871">
        <f>IF(J871="","",YEAR(J871))</f>
        <v/>
      </c>
      <c r="X871" t="inlineStr">
        <is>
          <t>TransNorte</t>
        </is>
      </c>
      <c r="Y871">
        <f>IFERROR(INDEX(Rastreio!$H$2:$H$200,MATCH(X871&amp;"|"&amp;U871,Rastreio!$A$2:$A$200,0)),"")</f>
        <v/>
      </c>
    </row>
    <row r="872">
      <c r="A872">
        <f>IFERROR(INDEX(STAs!$G$2:$G$61,MATCH(P872,STAs!$F$2:$F$61,0))&amp;"","")</f>
        <v/>
      </c>
      <c r="B872" t="n">
        <v>20039673</v>
      </c>
      <c r="C872" t="inlineStr">
        <is>
          <t>Não</t>
        </is>
      </c>
      <c r="D872" t="inlineStr">
        <is>
          <t>PI</t>
        </is>
      </c>
      <c r="E872" t="inlineStr">
        <is>
          <t>NORDESTE</t>
        </is>
      </c>
      <c r="F872" t="inlineStr">
        <is>
          <t>Cliente A - Refrigerador</t>
        </is>
      </c>
      <c r="G872" t="inlineStr">
        <is>
          <t>Misturadores</t>
        </is>
      </c>
      <c r="H872" s="10" t="n">
        <v>35</v>
      </c>
      <c r="I872" s="10">
        <f>IFERROR(T872*H872,0)</f>
        <v/>
      </c>
      <c r="J872" s="11" t="n">
        <v>46061</v>
      </c>
      <c r="K872" s="11" t="n"/>
      <c r="L872" t="inlineStr">
        <is>
          <t>Debitar do STA</t>
        </is>
      </c>
      <c r="M872">
        <f>IF(L872="","",IFERROR(VLOOKUP(L872,mapGrupoStatus,2,0),"Outros"))</f>
        <v/>
      </c>
      <c r="N872">
        <f>IF(O872="","",IF(O872&lt;=30,"0-30 dias",IF(O872&lt;=60,"31-60 dias",IF(O872&lt;=90,"61-90 dias","Mais de 90 dias"))))</f>
        <v/>
      </c>
      <c r="O872">
        <f>IF(OR(M872="Pendente",M872="Em andamento"),IF(J872="","",TODAY()-J872),"")</f>
        <v/>
      </c>
      <c r="P872" t="n">
        <v>12936</v>
      </c>
      <c r="Q872" t="inlineStr">
        <is>
          <t>Frigo Técnica (12936)</t>
        </is>
      </c>
      <c r="R872" t="inlineStr">
        <is>
          <t>PC-0043</t>
        </is>
      </c>
      <c r="S872" t="inlineStr">
        <is>
          <t>Bico dosador modelo 02</t>
        </is>
      </c>
      <c r="T872" t="n">
        <v>1</v>
      </c>
      <c r="U872" t="inlineStr"/>
      <c r="V872">
        <f>IF(J872="","",MONTH(J872))</f>
        <v/>
      </c>
      <c r="W872">
        <f>IF(J872="","",YEAR(J872))</f>
        <v/>
      </c>
      <c r="X872" t="inlineStr"/>
      <c r="Y872">
        <f>IFERROR(INDEX(Rastreio!$H$2:$H$200,MATCH(X872&amp;"|"&amp;U872,Rastreio!$A$2:$A$200,0)),"")</f>
        <v/>
      </c>
    </row>
    <row r="873">
      <c r="A873">
        <f>IFERROR(INDEX(STAs!$G$2:$G$61,MATCH(P873,STAs!$F$2:$F$61,0))&amp;"","")</f>
        <v/>
      </c>
      <c r="B873" t="n">
        <v>20009894</v>
      </c>
      <c r="C873" t="inlineStr">
        <is>
          <t>Não</t>
        </is>
      </c>
      <c r="D873" t="inlineStr">
        <is>
          <t>PA</t>
        </is>
      </c>
      <c r="E873" t="inlineStr">
        <is>
          <t>NORTE</t>
        </is>
      </c>
      <c r="F873" t="inlineStr">
        <is>
          <t>Cliente C - Misturador</t>
        </is>
      </c>
      <c r="G873" t="inlineStr">
        <is>
          <t>Chopeiras</t>
        </is>
      </c>
      <c r="H873" s="10" t="n">
        <v>85</v>
      </c>
      <c r="I873" s="10">
        <f>IFERROR(T873*H873,0)</f>
        <v/>
      </c>
      <c r="J873" s="11" t="n">
        <v>46062</v>
      </c>
      <c r="K873" s="11" t="n">
        <v>46101</v>
      </c>
      <c r="L873" t="inlineStr">
        <is>
          <t>Ok. Devolvida</t>
        </is>
      </c>
      <c r="M873">
        <f>IF(L873="","",IFERROR(VLOOKUP(L873,mapGrupoStatus,2,0),"Outros"))</f>
        <v/>
      </c>
      <c r="N873">
        <f>IF(O873="","",IF(O873&lt;=30,"0-30 dias",IF(O873&lt;=60,"31-60 dias",IF(O873&lt;=90,"61-90 dias","Mais de 90 dias"))))</f>
        <v/>
      </c>
      <c r="O873">
        <f>IF(OR(M873="Pendente",M873="Em andamento"),IF(J873="","",TODAY()-J873),"")</f>
        <v/>
      </c>
      <c r="P873" t="n">
        <v>11986</v>
      </c>
      <c r="Q873" t="inlineStr">
        <is>
          <t>Polar Serviços (11986)</t>
        </is>
      </c>
      <c r="R873" t="inlineStr">
        <is>
          <t>PC-0026</t>
        </is>
      </c>
      <c r="S873" t="inlineStr">
        <is>
          <t>Torneira de chopp modelo 01</t>
        </is>
      </c>
      <c r="T873" t="n">
        <v>1</v>
      </c>
      <c r="U873" t="n">
        <v>120</v>
      </c>
      <c r="V873">
        <f>IF(J873="","",MONTH(J873))</f>
        <v/>
      </c>
      <c r="W873">
        <f>IF(J873="","",YEAR(J873))</f>
        <v/>
      </c>
      <c r="X873" t="inlineStr">
        <is>
          <t>LogExpress</t>
        </is>
      </c>
      <c r="Y873">
        <f>IFERROR(INDEX(Rastreio!$H$2:$H$200,MATCH(X873&amp;"|"&amp;U873,Rastreio!$A$2:$A$200,0)),"")</f>
        <v/>
      </c>
    </row>
    <row r="874">
      <c r="A874">
        <f>IFERROR(INDEX(STAs!$G$2:$G$61,MATCH(P874,STAs!$F$2:$F$61,0))&amp;"","")</f>
        <v/>
      </c>
      <c r="B874" t="n">
        <v>20011246</v>
      </c>
      <c r="C874" t="inlineStr">
        <is>
          <t>Não</t>
        </is>
      </c>
      <c r="D874" t="inlineStr">
        <is>
          <t>PR</t>
        </is>
      </c>
      <c r="E874" t="inlineStr">
        <is>
          <t>SUL</t>
        </is>
      </c>
      <c r="F874" t="inlineStr">
        <is>
          <t>Cliente B - Chopeira</t>
        </is>
      </c>
      <c r="G874" t="inlineStr">
        <is>
          <t>Chopeiras</t>
        </is>
      </c>
      <c r="H874" s="10" t="n">
        <v>115</v>
      </c>
      <c r="I874" s="10">
        <f>IFERROR(T874*H874,0)</f>
        <v/>
      </c>
      <c r="J874" s="11" t="n">
        <v>46062</v>
      </c>
      <c r="K874" s="11" t="n"/>
      <c r="L874" t="inlineStr">
        <is>
          <t>Em andamento</t>
        </is>
      </c>
      <c r="M874">
        <f>IF(L874="","",IFERROR(VLOOKUP(L874,mapGrupoStatus,2,0),"Outros"))</f>
        <v/>
      </c>
      <c r="N874">
        <f>IF(O874="","",IF(O874&lt;=30,"0-30 dias",IF(O874&lt;=60,"31-60 dias",IF(O874&lt;=90,"61-90 dias","Mais de 90 dias"))))</f>
        <v/>
      </c>
      <c r="O874">
        <f>IF(OR(M874="Pendente",M874="Em andamento"),IF(J874="","",TODAY()-J874),"")</f>
        <v/>
      </c>
      <c r="P874" t="n">
        <v>12089</v>
      </c>
      <c r="Q874" t="inlineStr">
        <is>
          <t>Termotec Serviços (12089)</t>
        </is>
      </c>
      <c r="R874" t="inlineStr">
        <is>
          <t>PC-0034</t>
        </is>
      </c>
      <c r="S874" t="inlineStr">
        <is>
          <t>Regulador de pressão modelo 03</t>
        </is>
      </c>
      <c r="T874" t="n">
        <v>1</v>
      </c>
      <c r="U874" t="n">
        <v>121</v>
      </c>
      <c r="V874">
        <f>IF(J874="","",MONTH(J874))</f>
        <v/>
      </c>
      <c r="W874">
        <f>IF(J874="","",YEAR(J874))</f>
        <v/>
      </c>
      <c r="X874" t="inlineStr">
        <is>
          <t>LogExpress</t>
        </is>
      </c>
      <c r="Y874">
        <f>IFERROR(INDEX(Rastreio!$H$2:$H$200,MATCH(X874&amp;"|"&amp;U874,Rastreio!$A$2:$A$200,0)),"")</f>
        <v/>
      </c>
    </row>
    <row r="875">
      <c r="A875">
        <f>IFERROR(INDEX(STAs!$G$2:$G$61,MATCH(P875,STAs!$F$2:$F$61,0))&amp;"","")</f>
        <v/>
      </c>
      <c r="B875" t="n">
        <v>20034690</v>
      </c>
      <c r="C875" t="inlineStr">
        <is>
          <t>Não</t>
        </is>
      </c>
      <c r="D875" t="inlineStr">
        <is>
          <t>RR</t>
        </is>
      </c>
      <c r="E875" t="inlineStr">
        <is>
          <t>NORTE</t>
        </is>
      </c>
      <c r="F875" t="inlineStr">
        <is>
          <t>Cliente A - Refrigerador</t>
        </is>
      </c>
      <c r="G875" t="inlineStr">
        <is>
          <t>Chopeiras</t>
        </is>
      </c>
      <c r="H875" s="10" t="n">
        <v>85</v>
      </c>
      <c r="I875" s="10">
        <f>IFERROR(T875*H875,0)</f>
        <v/>
      </c>
      <c r="J875" s="11" t="n">
        <v>46062</v>
      </c>
      <c r="K875" s="11" t="n"/>
      <c r="L875" t="inlineStr">
        <is>
          <t>Aguardando devolução</t>
        </is>
      </c>
      <c r="M875">
        <f>IF(L875="","",IFERROR(VLOOKUP(L875,mapGrupoStatus,2,0),"Outros"))</f>
        <v/>
      </c>
      <c r="N875">
        <f>IF(O875="","",IF(O875&lt;=30,"0-30 dias",IF(O875&lt;=60,"31-60 dias",IF(O875&lt;=90,"61-90 dias","Mais de 90 dias"))))</f>
        <v/>
      </c>
      <c r="O875">
        <f>IF(OR(M875="Pendente",M875="Em andamento"),IF(J875="","",TODAY()-J875),"")</f>
        <v/>
      </c>
      <c r="P875" t="n">
        <v>10468</v>
      </c>
      <c r="Q875" t="inlineStr">
        <is>
          <t>Clima Express (10468)</t>
        </is>
      </c>
      <c r="R875" t="inlineStr">
        <is>
          <t>PC-0035</t>
        </is>
      </c>
      <c r="S875" t="inlineStr">
        <is>
          <t>Válvula extratora modelo 01</t>
        </is>
      </c>
      <c r="T875" t="n">
        <v>1</v>
      </c>
      <c r="U875" t="inlineStr"/>
      <c r="V875">
        <f>IF(J875="","",MONTH(J875))</f>
        <v/>
      </c>
      <c r="W875">
        <f>IF(J875="","",YEAR(J875))</f>
        <v/>
      </c>
      <c r="X875" t="inlineStr"/>
      <c r="Y875">
        <f>IFERROR(INDEX(Rastreio!$H$2:$H$200,MATCH(X875&amp;"|"&amp;U875,Rastreio!$A$2:$A$200,0)),"")</f>
        <v/>
      </c>
    </row>
    <row r="876">
      <c r="A876">
        <f>IFERROR(INDEX(STAs!$G$2:$G$61,MATCH(P876,STAs!$F$2:$F$61,0))&amp;"","")</f>
        <v/>
      </c>
      <c r="B876" t="n">
        <v>20040167</v>
      </c>
      <c r="C876" t="inlineStr">
        <is>
          <t>Não</t>
        </is>
      </c>
      <c r="D876" t="inlineStr">
        <is>
          <t>AP</t>
        </is>
      </c>
      <c r="E876" t="inlineStr">
        <is>
          <t>NORTE</t>
        </is>
      </c>
      <c r="F876" t="inlineStr">
        <is>
          <t>Cliente B - Chopeira</t>
        </is>
      </c>
      <c r="G876" t="inlineStr">
        <is>
          <t>Misturadores</t>
        </is>
      </c>
      <c r="H876" s="10" t="n">
        <v>255</v>
      </c>
      <c r="I876" s="10">
        <f>IFERROR(T876*H876,0)</f>
        <v/>
      </c>
      <c r="J876" s="11" t="n">
        <v>46062</v>
      </c>
      <c r="K876" s="11" t="n"/>
      <c r="L876" t="inlineStr">
        <is>
          <t>Não Devolve-Norte</t>
        </is>
      </c>
      <c r="M876">
        <f>IF(L876="","",IFERROR(VLOOKUP(L876,mapGrupoStatus,2,0),"Outros"))</f>
        <v/>
      </c>
      <c r="N876">
        <f>IF(O876="","",IF(O876&lt;=30,"0-30 dias",IF(O876&lt;=60,"31-60 dias",IF(O876&lt;=90,"61-90 dias","Mais de 90 dias"))))</f>
        <v/>
      </c>
      <c r="O876">
        <f>IF(OR(M876="Pendente",M876="Em andamento"),IF(J876="","",TODAY()-J876),"")</f>
        <v/>
      </c>
      <c r="P876" t="n">
        <v>11859</v>
      </c>
      <c r="Q876" t="inlineStr">
        <is>
          <t>Ice Tech Serviços (11859)</t>
        </is>
      </c>
      <c r="R876" t="inlineStr">
        <is>
          <t>PC-0037</t>
        </is>
      </c>
      <c r="S876" t="inlineStr">
        <is>
          <t>Bomba de recirculação modelo 01</t>
        </is>
      </c>
      <c r="T876" t="n">
        <v>1</v>
      </c>
      <c r="U876" t="inlineStr"/>
      <c r="V876">
        <f>IF(J876="","",MONTH(J876))</f>
        <v/>
      </c>
      <c r="W876">
        <f>IF(J876="","",YEAR(J876))</f>
        <v/>
      </c>
      <c r="X876" t="inlineStr"/>
      <c r="Y876">
        <f>IFERROR(INDEX(Rastreio!$H$2:$H$200,MATCH(X876&amp;"|"&amp;U876,Rastreio!$A$2:$A$200,0)),"")</f>
        <v/>
      </c>
    </row>
    <row r="877">
      <c r="A877">
        <f>IFERROR(INDEX(STAs!$G$2:$G$61,MATCH(P877,STAs!$F$2:$F$61,0))&amp;"","")</f>
        <v/>
      </c>
      <c r="B877" t="n">
        <v>20003905</v>
      </c>
      <c r="C877" t="inlineStr">
        <is>
          <t>Não</t>
        </is>
      </c>
      <c r="D877" t="inlineStr">
        <is>
          <t>SC</t>
        </is>
      </c>
      <c r="E877" t="inlineStr">
        <is>
          <t>SUL</t>
        </is>
      </c>
      <c r="F877" t="inlineStr">
        <is>
          <t>Cliente A - Refrigerador</t>
        </is>
      </c>
      <c r="G877" t="inlineStr">
        <is>
          <t>Refrigeradores</t>
        </is>
      </c>
      <c r="H877" s="10" t="n">
        <v>190</v>
      </c>
      <c r="I877" s="10">
        <f>IFERROR(T877*H877,0)</f>
        <v/>
      </c>
      <c r="J877" s="11" t="n">
        <v>46063</v>
      </c>
      <c r="K877" s="11" t="n">
        <v>46103</v>
      </c>
      <c r="L877" t="inlineStr">
        <is>
          <t>Ok. Devolvida</t>
        </is>
      </c>
      <c r="M877">
        <f>IF(L877="","",IFERROR(VLOOKUP(L877,mapGrupoStatus,2,0),"Outros"))</f>
        <v/>
      </c>
      <c r="N877">
        <f>IF(O877="","",IF(O877&lt;=30,"0-30 dias",IF(O877&lt;=60,"31-60 dias",IF(O877&lt;=90,"61-90 dias","Mais de 90 dias"))))</f>
        <v/>
      </c>
      <c r="O877">
        <f>IF(OR(M877="Pendente",M877="Em andamento"),IF(J877="","",TODAY()-J877),"")</f>
        <v/>
      </c>
      <c r="P877" t="n">
        <v>12138</v>
      </c>
      <c r="Q877" t="inlineStr">
        <is>
          <t>Refrigeração Serviços (12138)</t>
        </is>
      </c>
      <c r="R877" t="inlineStr">
        <is>
          <t>PC-0014</t>
        </is>
      </c>
      <c r="S877" t="inlineStr">
        <is>
          <t>Placa eletrônica modelo 04</t>
        </is>
      </c>
      <c r="T877" t="n">
        <v>1</v>
      </c>
      <c r="U877" t="n">
        <v>108</v>
      </c>
      <c r="V877">
        <f>IF(J877="","",MONTH(J877))</f>
        <v/>
      </c>
      <c r="W877">
        <f>IF(J877="","",YEAR(J877))</f>
        <v/>
      </c>
      <c r="X877" t="inlineStr">
        <is>
          <t>EntregaJá</t>
        </is>
      </c>
      <c r="Y877">
        <f>IFERROR(INDEX(Rastreio!$H$2:$H$200,MATCH(X877&amp;"|"&amp;U877,Rastreio!$A$2:$A$200,0)),"")</f>
        <v/>
      </c>
    </row>
    <row r="878">
      <c r="A878">
        <f>IFERROR(INDEX(STAs!$G$2:$G$61,MATCH(P878,STAs!$F$2:$F$61,0))&amp;"","")</f>
        <v/>
      </c>
      <c r="B878" t="n">
        <v>20029042</v>
      </c>
      <c r="C878" t="inlineStr">
        <is>
          <t>Sim</t>
        </is>
      </c>
      <c r="D878" t="inlineStr">
        <is>
          <t>GO</t>
        </is>
      </c>
      <c r="E878" t="inlineStr">
        <is>
          <t>CENTRO OESTE</t>
        </is>
      </c>
      <c r="F878" t="inlineStr">
        <is>
          <t>Cliente A - Refrigerador</t>
        </is>
      </c>
      <c r="G878" t="inlineStr">
        <is>
          <t>Chopeiras</t>
        </is>
      </c>
      <c r="H878" s="10" t="n">
        <v>115</v>
      </c>
      <c r="I878" s="10">
        <f>IFERROR(T878*H878,0)</f>
        <v/>
      </c>
      <c r="J878" s="11" t="n">
        <v>46063</v>
      </c>
      <c r="K878" s="11" t="n">
        <v>46121</v>
      </c>
      <c r="L878" t="inlineStr">
        <is>
          <t>Ok. Devolvida</t>
        </is>
      </c>
      <c r="M878">
        <f>IF(L878="","",IFERROR(VLOOKUP(L878,mapGrupoStatus,2,0),"Outros"))</f>
        <v/>
      </c>
      <c r="N878">
        <f>IF(O878="","",IF(O878&lt;=30,"0-30 dias",IF(O878&lt;=60,"31-60 dias",IF(O878&lt;=90,"61-90 dias","Mais de 90 dias"))))</f>
        <v/>
      </c>
      <c r="O878">
        <f>IF(OR(M878="Pendente",M878="Em andamento"),IF(J878="","",TODAY()-J878),"")</f>
        <v/>
      </c>
      <c r="P878" t="n">
        <v>11677</v>
      </c>
      <c r="Q878" t="inlineStr">
        <is>
          <t>Cool Service Manutenção (11677)</t>
        </is>
      </c>
      <c r="R878" t="inlineStr">
        <is>
          <t>PC-0034</t>
        </is>
      </c>
      <c r="S878" t="inlineStr">
        <is>
          <t>Regulador de pressão modelo 03</t>
        </is>
      </c>
      <c r="T878" t="n">
        <v>1</v>
      </c>
      <c r="U878" t="n">
        <v>151</v>
      </c>
      <c r="V878">
        <f>IF(J878="","",MONTH(J878))</f>
        <v/>
      </c>
      <c r="W878">
        <f>IF(J878="","",YEAR(J878))</f>
        <v/>
      </c>
      <c r="X878" t="inlineStr">
        <is>
          <t>CargoMax</t>
        </is>
      </c>
      <c r="Y878">
        <f>IFERROR(INDEX(Rastreio!$H$2:$H$200,MATCH(X878&amp;"|"&amp;U878,Rastreio!$A$2:$A$200,0)),"")</f>
        <v/>
      </c>
    </row>
    <row r="879">
      <c r="A879">
        <f>IFERROR(INDEX(STAs!$G$2:$G$61,MATCH(P879,STAs!$F$2:$F$61,0))&amp;"","")</f>
        <v/>
      </c>
      <c r="B879" t="n">
        <v>20035450</v>
      </c>
      <c r="C879" t="inlineStr">
        <is>
          <t>Não</t>
        </is>
      </c>
      <c r="D879" t="inlineStr">
        <is>
          <t>MG</t>
        </is>
      </c>
      <c r="E879" t="inlineStr">
        <is>
          <t>SUDESTE MG</t>
        </is>
      </c>
      <c r="F879" t="inlineStr">
        <is>
          <t>Cliente B - Chopeira</t>
        </is>
      </c>
      <c r="G879" t="inlineStr">
        <is>
          <t>Refrigeradores</t>
        </is>
      </c>
      <c r="H879" s="10" t="n">
        <v>185</v>
      </c>
      <c r="I879" s="10">
        <f>IFERROR(T879*H879,0)</f>
        <v/>
      </c>
      <c r="J879" s="11" t="n">
        <v>46063</v>
      </c>
      <c r="K879" s="11" t="n">
        <v>46068</v>
      </c>
      <c r="L879" t="inlineStr">
        <is>
          <t>Ok. Devolvida</t>
        </is>
      </c>
      <c r="M879">
        <f>IF(L879="","",IFERROR(VLOOKUP(L879,mapGrupoStatus,2,0),"Outros"))</f>
        <v/>
      </c>
      <c r="N879">
        <f>IF(O879="","",IF(O879&lt;=30,"0-30 dias",IF(O879&lt;=60,"31-60 dias",IF(O879&lt;=90,"61-90 dias","Mais de 90 dias"))))</f>
        <v/>
      </c>
      <c r="O879">
        <f>IF(OR(M879="Pendente",M879="Em andamento"),IF(J879="","",TODAY()-J879),"")</f>
        <v/>
      </c>
      <c r="P879" t="n">
        <v>11619</v>
      </c>
      <c r="Q879" t="inlineStr">
        <is>
          <t>Refrigeração Ltda (11619)</t>
        </is>
      </c>
      <c r="R879" t="inlineStr">
        <is>
          <t>PC-0013</t>
        </is>
      </c>
      <c r="S879" t="inlineStr">
        <is>
          <t>Placa eletrônica modelo 03</t>
        </is>
      </c>
      <c r="T879" t="n">
        <v>2</v>
      </c>
      <c r="U879" t="n">
        <v>163</v>
      </c>
      <c r="V879">
        <f>IF(J879="","",MONTH(J879))</f>
        <v/>
      </c>
      <c r="W879">
        <f>IF(J879="","",YEAR(J879))</f>
        <v/>
      </c>
      <c r="X879" t="inlineStr">
        <is>
          <t>TransNorte</t>
        </is>
      </c>
      <c r="Y879">
        <f>IFERROR(INDEX(Rastreio!$H$2:$H$200,MATCH(X879&amp;"|"&amp;U879,Rastreio!$A$2:$A$200,0)),"")</f>
        <v/>
      </c>
    </row>
    <row r="880">
      <c r="A880">
        <f>IFERROR(INDEX(STAs!$G$2:$G$61,MATCH(P880,STAs!$F$2:$F$61,0))&amp;"","")</f>
        <v/>
      </c>
      <c r="B880" t="n">
        <v>20004617</v>
      </c>
      <c r="C880" t="inlineStr">
        <is>
          <t>Não</t>
        </is>
      </c>
      <c r="D880" t="inlineStr">
        <is>
          <t>SP</t>
        </is>
      </c>
      <c r="E880" t="inlineStr">
        <is>
          <t>SUDESTE SP</t>
        </is>
      </c>
      <c r="F880" t="inlineStr">
        <is>
          <t>Cliente A - Refrigerador</t>
        </is>
      </c>
      <c r="G880" t="inlineStr">
        <is>
          <t>Misturadores</t>
        </is>
      </c>
      <c r="H880" s="10" t="n">
        <v>50</v>
      </c>
      <c r="I880" s="10">
        <f>IFERROR(T880*H880,0)</f>
        <v/>
      </c>
      <c r="J880" s="11" t="n">
        <v>46064</v>
      </c>
      <c r="K880" s="11" t="n"/>
      <c r="L880" t="inlineStr">
        <is>
          <t>Em transporte</t>
        </is>
      </c>
      <c r="M880">
        <f>IF(L880="","",IFERROR(VLOOKUP(L880,mapGrupoStatus,2,0),"Outros"))</f>
        <v/>
      </c>
      <c r="N880">
        <f>IF(O880="","",IF(O880&lt;=30,"0-30 dias",IF(O880&lt;=60,"31-60 dias",IF(O880&lt;=90,"61-90 dias","Mais de 90 dias"))))</f>
        <v/>
      </c>
      <c r="O880">
        <f>IF(OR(M880="Pendente",M880="Em andamento"),IF(J880="","",TODAY()-J880),"")</f>
        <v/>
      </c>
      <c r="P880" t="n">
        <v>12901</v>
      </c>
      <c r="Q880" t="inlineStr">
        <is>
          <t>Frio Serviços (12901)</t>
        </is>
      </c>
      <c r="R880" t="inlineStr">
        <is>
          <t>PC-0047</t>
        </is>
      </c>
      <c r="S880" t="inlineStr">
        <is>
          <t>Sensor de nível modelo 03</t>
        </is>
      </c>
      <c r="T880" t="n">
        <v>1</v>
      </c>
      <c r="U880" t="n">
        <v>108</v>
      </c>
      <c r="V880">
        <f>IF(J880="","",MONTH(J880))</f>
        <v/>
      </c>
      <c r="W880">
        <f>IF(J880="","",YEAR(J880))</f>
        <v/>
      </c>
      <c r="X880" t="inlineStr">
        <is>
          <t>EntregaJá</t>
        </is>
      </c>
      <c r="Y880">
        <f>IFERROR(INDEX(Rastreio!$H$2:$H$200,MATCH(X880&amp;"|"&amp;U880,Rastreio!$A$2:$A$200,0)),"")</f>
        <v/>
      </c>
    </row>
    <row r="881">
      <c r="A881">
        <f>IFERROR(INDEX(STAs!$G$2:$G$61,MATCH(P881,STAs!$F$2:$F$61,0))&amp;"","")</f>
        <v/>
      </c>
      <c r="B881" t="n">
        <v>20004697</v>
      </c>
      <c r="C881" t="inlineStr">
        <is>
          <t>Não</t>
        </is>
      </c>
      <c r="D881" t="inlineStr">
        <is>
          <t>RO</t>
        </is>
      </c>
      <c r="E881" t="inlineStr">
        <is>
          <t>NORTE</t>
        </is>
      </c>
      <c r="F881" t="inlineStr">
        <is>
          <t>Cliente B - Chopeira</t>
        </is>
      </c>
      <c r="G881" t="inlineStr">
        <is>
          <t>Refrigeradores</t>
        </is>
      </c>
      <c r="H881" s="10" t="n">
        <v>30</v>
      </c>
      <c r="I881" s="10">
        <f>IFERROR(T881*H881,0)</f>
        <v/>
      </c>
      <c r="J881" s="11" t="n">
        <v>46064</v>
      </c>
      <c r="K881" s="11" t="n"/>
      <c r="L881" t="inlineStr">
        <is>
          <t>Não Devolve-Norte</t>
        </is>
      </c>
      <c r="M881">
        <f>IF(L881="","",IFERROR(VLOOKUP(L881,mapGrupoStatus,2,0),"Outros"))</f>
        <v/>
      </c>
      <c r="N881">
        <f>IF(O881="","",IF(O881&lt;=30,"0-30 dias",IF(O881&lt;=60,"31-60 dias",IF(O881&lt;=90,"61-90 dias","Mais de 90 dias"))))</f>
        <v/>
      </c>
      <c r="O881">
        <f>IF(OR(M881="Pendente",M881="Em andamento"),IF(J881="","",TODAY()-J881),"")</f>
        <v/>
      </c>
      <c r="P881" t="n">
        <v>12019</v>
      </c>
      <c r="Q881" t="inlineStr">
        <is>
          <t>Ártico Serviços (12019)</t>
        </is>
      </c>
      <c r="R881" t="inlineStr">
        <is>
          <t>PC-0025</t>
        </is>
      </c>
      <c r="S881" t="inlineStr">
        <is>
          <t>Relé de partida modelo 03</t>
        </is>
      </c>
      <c r="T881" t="n">
        <v>1</v>
      </c>
      <c r="U881" t="inlineStr"/>
      <c r="V881">
        <f>IF(J881="","",MONTH(J881))</f>
        <v/>
      </c>
      <c r="W881">
        <f>IF(J881="","",YEAR(J881))</f>
        <v/>
      </c>
      <c r="X881" t="inlineStr"/>
      <c r="Y881">
        <f>IFERROR(INDEX(Rastreio!$H$2:$H$200,MATCH(X881&amp;"|"&amp;U881,Rastreio!$A$2:$A$200,0)),"")</f>
        <v/>
      </c>
    </row>
    <row r="882">
      <c r="A882">
        <f>IFERROR(INDEX(STAs!$G$2:$G$61,MATCH(P882,STAs!$F$2:$F$61,0))&amp;"","")</f>
        <v/>
      </c>
      <c r="B882" t="n">
        <v>20013157</v>
      </c>
      <c r="C882" t="inlineStr">
        <is>
          <t>Não</t>
        </is>
      </c>
      <c r="D882" t="inlineStr">
        <is>
          <t>ES</t>
        </is>
      </c>
      <c r="E882" t="inlineStr">
        <is>
          <t>SUDESTE RJ e ES</t>
        </is>
      </c>
      <c r="F882" t="inlineStr">
        <is>
          <t>Cliente B - Chopeira</t>
        </is>
      </c>
      <c r="G882" t="inlineStr">
        <is>
          <t>Refrigeradores</t>
        </is>
      </c>
      <c r="H882" s="10" t="n">
        <v>65</v>
      </c>
      <c r="I882" s="10">
        <f>IFERROR(T882*H882,0)</f>
        <v/>
      </c>
      <c r="J882" s="11" t="n">
        <v>46064</v>
      </c>
      <c r="K882" s="11" t="n"/>
      <c r="L882" t="inlineStr">
        <is>
          <t>NF Vencida</t>
        </is>
      </c>
      <c r="M882">
        <f>IF(L882="","",IFERROR(VLOOKUP(L882,mapGrupoStatus,2,0),"Outros"))</f>
        <v/>
      </c>
      <c r="N882">
        <f>IF(O882="","",IF(O882&lt;=30,"0-30 dias",IF(O882&lt;=60,"31-60 dias",IF(O882&lt;=90,"61-90 dias","Mais de 90 dias"))))</f>
        <v/>
      </c>
      <c r="O882">
        <f>IF(OR(M882="Pendente",M882="Em andamento"),IF(J882="","",TODAY()-J882),"")</f>
        <v/>
      </c>
      <c r="P882" t="n">
        <v>12555</v>
      </c>
      <c r="Q882" t="inlineStr">
        <is>
          <t>Cool Service Serviços (12555)</t>
        </is>
      </c>
      <c r="R882" t="inlineStr">
        <is>
          <t>PC-0010</t>
        </is>
      </c>
      <c r="S882" t="inlineStr">
        <is>
          <t>Ventilador modelo 04</t>
        </is>
      </c>
      <c r="T882" t="n">
        <v>3</v>
      </c>
      <c r="U882" t="inlineStr"/>
      <c r="V882">
        <f>IF(J882="","",MONTH(J882))</f>
        <v/>
      </c>
      <c r="W882">
        <f>IF(J882="","",YEAR(J882))</f>
        <v/>
      </c>
      <c r="X882" t="inlineStr"/>
      <c r="Y882">
        <f>IFERROR(INDEX(Rastreio!$H$2:$H$200,MATCH(X882&amp;"|"&amp;U882,Rastreio!$A$2:$A$200,0)),"")</f>
        <v/>
      </c>
    </row>
    <row r="883">
      <c r="A883">
        <f>IFERROR(INDEX(STAs!$G$2:$G$61,MATCH(P883,STAs!$F$2:$F$61,0))&amp;"","")</f>
        <v/>
      </c>
      <c r="B883" t="n">
        <v>20014004</v>
      </c>
      <c r="C883" t="inlineStr">
        <is>
          <t>Não</t>
        </is>
      </c>
      <c r="D883" t="inlineStr">
        <is>
          <t>TO</t>
        </is>
      </c>
      <c r="E883" t="inlineStr">
        <is>
          <t>NORTE</t>
        </is>
      </c>
      <c r="F883" t="inlineStr">
        <is>
          <t>Cliente B - Chopeira</t>
        </is>
      </c>
      <c r="G883" t="inlineStr">
        <is>
          <t>Refrigeradores</t>
        </is>
      </c>
      <c r="H883" s="10" t="n">
        <v>45</v>
      </c>
      <c r="I883" s="10">
        <f>IFERROR(T883*H883,0)</f>
        <v/>
      </c>
      <c r="J883" s="11" t="n">
        <v>46064</v>
      </c>
      <c r="K883" s="11" t="n"/>
      <c r="L883" t="inlineStr">
        <is>
          <t>Aguardando devolução</t>
        </is>
      </c>
      <c r="M883">
        <f>IF(L883="","",IFERROR(VLOOKUP(L883,mapGrupoStatus,2,0),"Outros"))</f>
        <v/>
      </c>
      <c r="N883">
        <f>IF(O883="","",IF(O883&lt;=30,"0-30 dias",IF(O883&lt;=60,"31-60 dias",IF(O883&lt;=90,"61-90 dias","Mais de 90 dias"))))</f>
        <v/>
      </c>
      <c r="O883">
        <f>IF(OR(M883="Pendente",M883="Em andamento"),IF(J883="","",TODAY()-J883),"")</f>
        <v/>
      </c>
      <c r="P883" t="n">
        <v>10939</v>
      </c>
      <c r="Q883" t="inlineStr">
        <is>
          <t>Zero Grau Manutenção (10939)</t>
        </is>
      </c>
      <c r="R883" t="inlineStr">
        <is>
          <t>PC-0018</t>
        </is>
      </c>
      <c r="S883" t="inlineStr">
        <is>
          <t>Gaxeta da porta modelo 01</t>
        </is>
      </c>
      <c r="T883" t="n">
        <v>1</v>
      </c>
      <c r="U883" t="inlineStr"/>
      <c r="V883">
        <f>IF(J883="","",MONTH(J883))</f>
        <v/>
      </c>
      <c r="W883">
        <f>IF(J883="","",YEAR(J883))</f>
        <v/>
      </c>
      <c r="X883" t="inlineStr"/>
      <c r="Y883">
        <f>IFERROR(INDEX(Rastreio!$H$2:$H$200,MATCH(X883&amp;"|"&amp;U883,Rastreio!$A$2:$A$200,0)),"")</f>
        <v/>
      </c>
    </row>
    <row r="884">
      <c r="A884">
        <f>IFERROR(INDEX(STAs!$G$2:$G$61,MATCH(P884,STAs!$F$2:$F$61,0))&amp;"","")</f>
        <v/>
      </c>
      <c r="B884" t="n">
        <v>20017677</v>
      </c>
      <c r="C884" t="inlineStr">
        <is>
          <t>Não</t>
        </is>
      </c>
      <c r="D884" t="inlineStr">
        <is>
          <t>AC</t>
        </is>
      </c>
      <c r="E884" t="inlineStr">
        <is>
          <t>NORTE</t>
        </is>
      </c>
      <c r="F884" t="inlineStr">
        <is>
          <t>Cliente C - Misturador</t>
        </is>
      </c>
      <c r="G884" t="inlineStr">
        <is>
          <t>Chopeiras</t>
        </is>
      </c>
      <c r="H884" s="10" t="n">
        <v>85</v>
      </c>
      <c r="I884" s="10">
        <f>IFERROR(T884*H884,0)</f>
        <v/>
      </c>
      <c r="J884" s="11" t="n">
        <v>46064</v>
      </c>
      <c r="K884" s="11" t="n"/>
      <c r="L884" t="inlineStr">
        <is>
          <t>Aguardando devolução</t>
        </is>
      </c>
      <c r="M884">
        <f>IF(L884="","",IFERROR(VLOOKUP(L884,mapGrupoStatus,2,0),"Outros"))</f>
        <v/>
      </c>
      <c r="N884">
        <f>IF(O884="","",IF(O884&lt;=30,"0-30 dias",IF(O884&lt;=60,"31-60 dias",IF(O884&lt;=90,"61-90 dias","Mais de 90 dias"))))</f>
        <v/>
      </c>
      <c r="O884">
        <f>IF(OR(M884="Pendente",M884="Em andamento"),IF(J884="","",TODAY()-J884),"")</f>
        <v/>
      </c>
      <c r="P884" t="n">
        <v>11022</v>
      </c>
      <c r="Q884" t="inlineStr">
        <is>
          <t>Brisa Ltda (11022)</t>
        </is>
      </c>
      <c r="R884" t="inlineStr">
        <is>
          <t>PC-0028</t>
        </is>
      </c>
      <c r="S884" t="inlineStr">
        <is>
          <t>Torneira de chopp modelo 03</t>
        </is>
      </c>
      <c r="T884" t="n">
        <v>1</v>
      </c>
      <c r="U884" t="inlineStr"/>
      <c r="V884">
        <f>IF(J884="","",MONTH(J884))</f>
        <v/>
      </c>
      <c r="W884">
        <f>IF(J884="","",YEAR(J884))</f>
        <v/>
      </c>
      <c r="X884" t="inlineStr"/>
      <c r="Y884">
        <f>IFERROR(INDEX(Rastreio!$H$2:$H$200,MATCH(X884&amp;"|"&amp;U884,Rastreio!$A$2:$A$200,0)),"")</f>
        <v/>
      </c>
    </row>
    <row r="885">
      <c r="A885">
        <f>IFERROR(INDEX(STAs!$G$2:$G$61,MATCH(P885,STAs!$F$2:$F$61,0))&amp;"","")</f>
        <v/>
      </c>
      <c r="B885" t="n">
        <v>20002281</v>
      </c>
      <c r="C885" t="inlineStr">
        <is>
          <t>Não</t>
        </is>
      </c>
      <c r="D885" t="inlineStr">
        <is>
          <t>PB</t>
        </is>
      </c>
      <c r="E885" t="inlineStr">
        <is>
          <t>NORDESTE</t>
        </is>
      </c>
      <c r="F885" t="inlineStr">
        <is>
          <t>Cliente A - Refrigerador</t>
        </is>
      </c>
      <c r="G885" t="inlineStr">
        <is>
          <t>Misturadores</t>
        </is>
      </c>
      <c r="H885" s="10" t="n">
        <v>40</v>
      </c>
      <c r="I885" s="10">
        <f>IFERROR(T885*H885,0)</f>
        <v/>
      </c>
      <c r="J885" s="11" t="n">
        <v>46065</v>
      </c>
      <c r="K885" s="11" t="n"/>
      <c r="L885" t="inlineStr">
        <is>
          <t>Em transporte</t>
        </is>
      </c>
      <c r="M885">
        <f>IF(L885="","",IFERROR(VLOOKUP(L885,mapGrupoStatus,2,0),"Outros"))</f>
        <v/>
      </c>
      <c r="N885">
        <f>IF(O885="","",IF(O885&lt;=30,"0-30 dias",IF(O885&lt;=60,"31-60 dias",IF(O885&lt;=90,"61-90 dias","Mais de 90 dias"))))</f>
        <v/>
      </c>
      <c r="O885">
        <f>IF(OR(M885="Pendente",M885="Em andamento"),IF(J885="","",TODAY()-J885),"")</f>
        <v/>
      </c>
      <c r="P885" t="n">
        <v>11741</v>
      </c>
      <c r="Q885" t="inlineStr">
        <is>
          <t>Clima Refrigeração (11741)</t>
        </is>
      </c>
      <c r="R885" t="inlineStr">
        <is>
          <t>PC-0042</t>
        </is>
      </c>
      <c r="S885" t="inlineStr">
        <is>
          <t>Bico dosador modelo 01</t>
        </is>
      </c>
      <c r="T885" t="n">
        <v>1</v>
      </c>
      <c r="U885" t="n">
        <v>102</v>
      </c>
      <c r="V885">
        <f>IF(J885="","",MONTH(J885))</f>
        <v/>
      </c>
      <c r="W885">
        <f>IF(J885="","",YEAR(J885))</f>
        <v/>
      </c>
      <c r="X885" t="inlineStr">
        <is>
          <t>CargoMax</t>
        </is>
      </c>
      <c r="Y885">
        <f>IFERROR(INDEX(Rastreio!$H$2:$H$200,MATCH(X885&amp;"|"&amp;U885,Rastreio!$A$2:$A$200,0)),"")</f>
        <v/>
      </c>
    </row>
    <row r="886">
      <c r="A886">
        <f>IFERROR(INDEX(STAs!$G$2:$G$61,MATCH(P886,STAs!$F$2:$F$61,0))&amp;"","")</f>
        <v/>
      </c>
      <c r="B886" t="n">
        <v>20016092</v>
      </c>
      <c r="C886" t="inlineStr">
        <is>
          <t>Não</t>
        </is>
      </c>
      <c r="D886" t="inlineStr">
        <is>
          <t>PR</t>
        </is>
      </c>
      <c r="E886" t="inlineStr">
        <is>
          <t>SUL</t>
        </is>
      </c>
      <c r="F886" t="inlineStr">
        <is>
          <t>Cliente B - Chopeira</t>
        </is>
      </c>
      <c r="G886" t="inlineStr">
        <is>
          <t>Refrigeradores</t>
        </is>
      </c>
      <c r="H886" s="10" t="n">
        <v>190</v>
      </c>
      <c r="I886" s="10">
        <f>IFERROR(T886*H886,0)</f>
        <v/>
      </c>
      <c r="J886" s="11" t="n">
        <v>46065</v>
      </c>
      <c r="K886" s="11" t="n">
        <v>46087</v>
      </c>
      <c r="L886" t="inlineStr">
        <is>
          <t>Ok. Devolvida</t>
        </is>
      </c>
      <c r="M886">
        <f>IF(L886="","",IFERROR(VLOOKUP(L886,mapGrupoStatus,2,0),"Outros"))</f>
        <v/>
      </c>
      <c r="N886">
        <f>IF(O886="","",IF(O886&lt;=30,"0-30 dias",IF(O886&lt;=60,"31-60 dias",IF(O886&lt;=90,"61-90 dias","Mais de 90 dias"))))</f>
        <v/>
      </c>
      <c r="O886">
        <f>IF(OR(M886="Pendente",M886="Em andamento"),IF(J886="","",TODAY()-J886),"")</f>
        <v/>
      </c>
      <c r="P886" t="n">
        <v>12089</v>
      </c>
      <c r="Q886" t="inlineStr">
        <is>
          <t>Termotec Serviços (12089)</t>
        </is>
      </c>
      <c r="R886" t="inlineStr">
        <is>
          <t>PC-0014</t>
        </is>
      </c>
      <c r="S886" t="inlineStr">
        <is>
          <t>Placa eletrônica modelo 04</t>
        </is>
      </c>
      <c r="T886" t="n">
        <v>1</v>
      </c>
      <c r="U886" t="n">
        <v>128</v>
      </c>
      <c r="V886">
        <f>IF(J886="","",MONTH(J886))</f>
        <v/>
      </c>
      <c r="W886">
        <f>IF(J886="","",YEAR(J886))</f>
        <v/>
      </c>
      <c r="X886" t="inlineStr">
        <is>
          <t>CargoMax</t>
        </is>
      </c>
      <c r="Y886">
        <f>IFERROR(INDEX(Rastreio!$H$2:$H$200,MATCH(X886&amp;"|"&amp;U886,Rastreio!$A$2:$A$200,0)),"")</f>
        <v/>
      </c>
    </row>
    <row r="887">
      <c r="A887">
        <f>IFERROR(INDEX(STAs!$G$2:$G$61,MATCH(P887,STAs!$F$2:$F$61,0))&amp;"","")</f>
        <v/>
      </c>
      <c r="B887" t="n">
        <v>20033831</v>
      </c>
      <c r="C887" t="inlineStr">
        <is>
          <t>Não</t>
        </is>
      </c>
      <c r="D887" t="inlineStr">
        <is>
          <t>RJ</t>
        </is>
      </c>
      <c r="E887" t="inlineStr">
        <is>
          <t>SUDESTE RJ e ES</t>
        </is>
      </c>
      <c r="F887" t="inlineStr">
        <is>
          <t>Cliente C - Misturador</t>
        </is>
      </c>
      <c r="G887" t="inlineStr">
        <is>
          <t>Chopeiras</t>
        </is>
      </c>
      <c r="H887" s="10" t="n">
        <v>205</v>
      </c>
      <c r="I887" s="10">
        <f>IFERROR(T887*H887,0)</f>
        <v/>
      </c>
      <c r="J887" s="11" t="n">
        <v>46065</v>
      </c>
      <c r="K887" s="11" t="n">
        <v>46089</v>
      </c>
      <c r="L887" t="inlineStr">
        <is>
          <t>Ok. Devolvida</t>
        </is>
      </c>
      <c r="M887">
        <f>IF(L887="","",IFERROR(VLOOKUP(L887,mapGrupoStatus,2,0),"Outros"))</f>
        <v/>
      </c>
      <c r="N887">
        <f>IF(O887="","",IF(O887&lt;=30,"0-30 dias",IF(O887&lt;=60,"31-60 dias",IF(O887&lt;=90,"61-90 dias","Mais de 90 dias"))))</f>
        <v/>
      </c>
      <c r="O887">
        <f>IF(OR(M887="Pendente",M887="Em andamento"),IF(J887="","",TODAY()-J887),"")</f>
        <v/>
      </c>
      <c r="P887" t="n">
        <v>12811</v>
      </c>
      <c r="Q887" t="inlineStr">
        <is>
          <t>Norte Frio Técnica (12811)</t>
        </is>
      </c>
      <c r="R887" t="inlineStr">
        <is>
          <t>PC-0031</t>
        </is>
      </c>
      <c r="S887" t="inlineStr">
        <is>
          <t>Serpentina modelo 03</t>
        </is>
      </c>
      <c r="T887" t="n">
        <v>1</v>
      </c>
      <c r="U887" t="n">
        <v>160</v>
      </c>
      <c r="V887">
        <f>IF(J887="","",MONTH(J887))</f>
        <v/>
      </c>
      <c r="W887">
        <f>IF(J887="","",YEAR(J887))</f>
        <v/>
      </c>
      <c r="X887" t="inlineStr">
        <is>
          <t>LogExpress</t>
        </is>
      </c>
      <c r="Y887">
        <f>IFERROR(INDEX(Rastreio!$H$2:$H$200,MATCH(X887&amp;"|"&amp;U887,Rastreio!$A$2:$A$200,0)),"")</f>
        <v/>
      </c>
    </row>
    <row r="888">
      <c r="A888">
        <f>IFERROR(INDEX(STAs!$G$2:$G$61,MATCH(P888,STAs!$F$2:$F$61,0))&amp;"","")</f>
        <v/>
      </c>
      <c r="B888" t="n">
        <v>20002178</v>
      </c>
      <c r="C888" t="inlineStr">
        <is>
          <t>Sim</t>
        </is>
      </c>
      <c r="D888" t="inlineStr">
        <is>
          <t>PR</t>
        </is>
      </c>
      <c r="E888" t="inlineStr">
        <is>
          <t>SUL</t>
        </is>
      </c>
      <c r="F888" t="inlineStr">
        <is>
          <t>Cliente C - Misturador</t>
        </is>
      </c>
      <c r="G888" t="inlineStr">
        <is>
          <t>Misturadores</t>
        </is>
      </c>
      <c r="H888" s="10" t="n">
        <v>255</v>
      </c>
      <c r="I888" s="10">
        <f>IFERROR(T888*H888,0)</f>
        <v/>
      </c>
      <c r="J888" s="11" t="n">
        <v>46066</v>
      </c>
      <c r="K888" s="11" t="n"/>
      <c r="L888" t="inlineStr">
        <is>
          <t>Aguardando devolução</t>
        </is>
      </c>
      <c r="M888">
        <f>IF(L888="","",IFERROR(VLOOKUP(L888,mapGrupoStatus,2,0),"Outros"))</f>
        <v/>
      </c>
      <c r="N888">
        <f>IF(O888="","",IF(O888&lt;=30,"0-30 dias",IF(O888&lt;=60,"31-60 dias",IF(O888&lt;=90,"61-90 dias","Mais de 90 dias"))))</f>
        <v/>
      </c>
      <c r="O888">
        <f>IF(OR(M888="Pendente",M888="Em andamento"),IF(J888="","",TODAY()-J888),"")</f>
        <v/>
      </c>
      <c r="P888" t="n">
        <v>12724</v>
      </c>
      <c r="Q888" t="inlineStr">
        <is>
          <t>Cool Service &amp; Cia (12724)</t>
        </is>
      </c>
      <c r="R888" t="inlineStr">
        <is>
          <t>PC-0037</t>
        </is>
      </c>
      <c r="S888" t="inlineStr">
        <is>
          <t>Bomba de recirculação modelo 01</t>
        </is>
      </c>
      <c r="T888" t="n">
        <v>1</v>
      </c>
      <c r="U888" t="inlineStr"/>
      <c r="V888">
        <f>IF(J888="","",MONTH(J888))</f>
        <v/>
      </c>
      <c r="W888">
        <f>IF(J888="","",YEAR(J888))</f>
        <v/>
      </c>
      <c r="X888" t="inlineStr"/>
      <c r="Y888">
        <f>IFERROR(INDEX(Rastreio!$H$2:$H$200,MATCH(X888&amp;"|"&amp;U888,Rastreio!$A$2:$A$200,0)),"")</f>
        <v/>
      </c>
    </row>
    <row r="889">
      <c r="A889">
        <f>IFERROR(INDEX(STAs!$G$2:$G$61,MATCH(P889,STAs!$F$2:$F$61,0))&amp;"","")</f>
        <v/>
      </c>
      <c r="B889" t="n">
        <v>20018695</v>
      </c>
      <c r="C889" t="inlineStr">
        <is>
          <t>Não</t>
        </is>
      </c>
      <c r="D889" t="inlineStr">
        <is>
          <t>MG</t>
        </is>
      </c>
      <c r="E889" t="inlineStr">
        <is>
          <t>SUDESTE MG</t>
        </is>
      </c>
      <c r="F889" t="inlineStr">
        <is>
          <t>Cliente C - Misturador</t>
        </is>
      </c>
      <c r="G889" t="inlineStr">
        <is>
          <t>Refrigeradores</t>
        </is>
      </c>
      <c r="H889" s="10" t="n">
        <v>40</v>
      </c>
      <c r="I889" s="10">
        <f>IFERROR(T889*H889,0)</f>
        <v/>
      </c>
      <c r="J889" s="11" t="n">
        <v>46066</v>
      </c>
      <c r="K889" s="11" t="n"/>
      <c r="L889" t="inlineStr">
        <is>
          <t>Aguardando devolução</t>
        </is>
      </c>
      <c r="M889">
        <f>IF(L889="","",IFERROR(VLOOKUP(L889,mapGrupoStatus,2,0),"Outros"))</f>
        <v/>
      </c>
      <c r="N889">
        <f>IF(O889="","",IF(O889&lt;=30,"0-30 dias",IF(O889&lt;=60,"31-60 dias",IF(O889&lt;=90,"61-90 dias","Mais de 90 dias"))))</f>
        <v/>
      </c>
      <c r="O889">
        <f>IF(OR(M889="Pendente",M889="Em andamento"),IF(J889="","",TODAY()-J889),"")</f>
        <v/>
      </c>
      <c r="P889" t="n">
        <v>12689</v>
      </c>
      <c r="Q889" t="inlineStr">
        <is>
          <t>Norte Frio Manutenção (12689)</t>
        </is>
      </c>
      <c r="R889" t="inlineStr">
        <is>
          <t>PC-0004</t>
        </is>
      </c>
      <c r="S889" t="inlineStr">
        <is>
          <t>Termostato modelo 01</t>
        </is>
      </c>
      <c r="T889" t="n">
        <v>1</v>
      </c>
      <c r="U889" t="inlineStr"/>
      <c r="V889">
        <f>IF(J889="","",MONTH(J889))</f>
        <v/>
      </c>
      <c r="W889">
        <f>IF(J889="","",YEAR(J889))</f>
        <v/>
      </c>
      <c r="X889" t="inlineStr"/>
      <c r="Y889">
        <f>IFERROR(INDEX(Rastreio!$H$2:$H$200,MATCH(X889&amp;"|"&amp;U889,Rastreio!$A$2:$A$200,0)),"")</f>
        <v/>
      </c>
    </row>
    <row r="890">
      <c r="A890">
        <f>IFERROR(INDEX(STAs!$G$2:$G$61,MATCH(P890,STAs!$F$2:$F$61,0))&amp;"","")</f>
        <v/>
      </c>
      <c r="B890" t="n">
        <v>20028035</v>
      </c>
      <c r="C890" t="inlineStr">
        <is>
          <t>Não</t>
        </is>
      </c>
      <c r="D890" t="inlineStr">
        <is>
          <t>PI</t>
        </is>
      </c>
      <c r="E890" t="inlineStr">
        <is>
          <t>NORDESTE</t>
        </is>
      </c>
      <c r="F890" t="inlineStr">
        <is>
          <t>Cliente C - Misturador</t>
        </is>
      </c>
      <c r="G890" t="inlineStr">
        <is>
          <t>Misturadores</t>
        </is>
      </c>
      <c r="H890" s="10" t="n">
        <v>50</v>
      </c>
      <c r="I890" s="10">
        <f>IFERROR(T890*H890,0)</f>
        <v/>
      </c>
      <c r="J890" s="11" t="n">
        <v>46066</v>
      </c>
      <c r="K890" s="11" t="n"/>
      <c r="L890" t="inlineStr">
        <is>
          <t>Aguardando devolução</t>
        </is>
      </c>
      <c r="M890">
        <f>IF(L890="","",IFERROR(VLOOKUP(L890,mapGrupoStatus,2,0),"Outros"))</f>
        <v/>
      </c>
      <c r="N890">
        <f>IF(O890="","",IF(O890&lt;=30,"0-30 dias",IF(O890&lt;=60,"31-60 dias",IF(O890&lt;=90,"61-90 dias","Mais de 90 dias"))))</f>
        <v/>
      </c>
      <c r="O890">
        <f>IF(OR(M890="Pendente",M890="Em andamento"),IF(J890="","",TODAY()-J890),"")</f>
        <v/>
      </c>
      <c r="P890" t="n">
        <v>12936</v>
      </c>
      <c r="Q890" t="inlineStr">
        <is>
          <t>Frigo Técnica (12936)</t>
        </is>
      </c>
      <c r="R890" t="inlineStr">
        <is>
          <t>PC-0044</t>
        </is>
      </c>
      <c r="S890" t="inlineStr">
        <is>
          <t>Bico dosador modelo 03</t>
        </is>
      </c>
      <c r="T890" t="n">
        <v>1</v>
      </c>
      <c r="U890" t="inlineStr"/>
      <c r="V890">
        <f>IF(J890="","",MONTH(J890))</f>
        <v/>
      </c>
      <c r="W890">
        <f>IF(J890="","",YEAR(J890))</f>
        <v/>
      </c>
      <c r="X890" t="inlineStr"/>
      <c r="Y890">
        <f>IFERROR(INDEX(Rastreio!$H$2:$H$200,MATCH(X890&amp;"|"&amp;U890,Rastreio!$A$2:$A$200,0)),"")</f>
        <v/>
      </c>
    </row>
    <row r="891">
      <c r="A891">
        <f>IFERROR(INDEX(STAs!$G$2:$G$61,MATCH(P891,STAs!$F$2:$F$61,0))&amp;"","")</f>
        <v/>
      </c>
      <c r="B891" t="n">
        <v>20031376</v>
      </c>
      <c r="C891" t="inlineStr">
        <is>
          <t>Não</t>
        </is>
      </c>
      <c r="D891" t="inlineStr">
        <is>
          <t>SP</t>
        </is>
      </c>
      <c r="E891" t="inlineStr">
        <is>
          <t>SUDESTE SP</t>
        </is>
      </c>
      <c r="F891" t="inlineStr">
        <is>
          <t>Cliente C - Misturador</t>
        </is>
      </c>
      <c r="G891" t="inlineStr">
        <is>
          <t>Refrigeradores</t>
        </is>
      </c>
      <c r="H891" s="10" t="n">
        <v>315</v>
      </c>
      <c r="I891" s="10">
        <f>IFERROR(T891*H891,0)</f>
        <v/>
      </c>
      <c r="J891" s="11" t="n">
        <v>46067</v>
      </c>
      <c r="K891" s="11" t="n">
        <v>46074</v>
      </c>
      <c r="L891" t="inlineStr">
        <is>
          <t>Ok. Devolvida</t>
        </is>
      </c>
      <c r="M891">
        <f>IF(L891="","",IFERROR(VLOOKUP(L891,mapGrupoStatus,2,0),"Outros"))</f>
        <v/>
      </c>
      <c r="N891">
        <f>IF(O891="","",IF(O891&lt;=30,"0-30 dias",IF(O891&lt;=60,"31-60 dias",IF(O891&lt;=90,"61-90 dias","Mais de 90 dias"))))</f>
        <v/>
      </c>
      <c r="O891">
        <f>IF(OR(M891="Pendente",M891="Em andamento"),IF(J891="","",TODAY()-J891),"")</f>
        <v/>
      </c>
      <c r="P891" t="n">
        <v>11365</v>
      </c>
      <c r="Q891" t="inlineStr">
        <is>
          <t>Ártico Express (11365)</t>
        </is>
      </c>
      <c r="R891" t="inlineStr">
        <is>
          <t>PC-0002</t>
        </is>
      </c>
      <c r="S891" t="inlineStr">
        <is>
          <t>Compressor modelo 02</t>
        </is>
      </c>
      <c r="T891" t="n">
        <v>1</v>
      </c>
      <c r="U891" t="n">
        <v>155</v>
      </c>
      <c r="V891">
        <f>IF(J891="","",MONTH(J891))</f>
        <v/>
      </c>
      <c r="W891">
        <f>IF(J891="","",YEAR(J891))</f>
        <v/>
      </c>
      <c r="X891" t="inlineStr">
        <is>
          <t>CargoMax</t>
        </is>
      </c>
      <c r="Y891">
        <f>IFERROR(INDEX(Rastreio!$H$2:$H$200,MATCH(X891&amp;"|"&amp;U891,Rastreio!$A$2:$A$200,0)),"")</f>
        <v/>
      </c>
    </row>
    <row r="892">
      <c r="A892">
        <f>IFERROR(INDEX(STAs!$G$2:$G$61,MATCH(P892,STAs!$F$2:$F$61,0))&amp;"","")</f>
        <v/>
      </c>
      <c r="B892" t="n">
        <v>20003634</v>
      </c>
      <c r="C892" t="inlineStr">
        <is>
          <t>Não</t>
        </is>
      </c>
      <c r="D892" t="inlineStr">
        <is>
          <t>AP</t>
        </is>
      </c>
      <c r="E892" t="inlineStr">
        <is>
          <t>NORTE</t>
        </is>
      </c>
      <c r="F892" t="inlineStr">
        <is>
          <t>Cliente B - Chopeira</t>
        </is>
      </c>
      <c r="G892" t="inlineStr">
        <is>
          <t>Chopeiras</t>
        </is>
      </c>
      <c r="H892" s="10" t="n">
        <v>115</v>
      </c>
      <c r="I892" s="10">
        <f>IFERROR(T892*H892,0)</f>
        <v/>
      </c>
      <c r="J892" s="11" t="n">
        <v>46068</v>
      </c>
      <c r="K892" s="11" t="n"/>
      <c r="L892" t="inlineStr">
        <is>
          <t>Não Devolve-Norte</t>
        </is>
      </c>
      <c r="M892">
        <f>IF(L892="","",IFERROR(VLOOKUP(L892,mapGrupoStatus,2,0),"Outros"))</f>
        <v/>
      </c>
      <c r="N892">
        <f>IF(O892="","",IF(O892&lt;=30,"0-30 dias",IF(O892&lt;=60,"31-60 dias",IF(O892&lt;=90,"61-90 dias","Mais de 90 dias"))))</f>
        <v/>
      </c>
      <c r="O892">
        <f>IF(OR(M892="Pendente",M892="Em andamento"),IF(J892="","",TODAY()-J892),"")</f>
        <v/>
      </c>
      <c r="P892" t="n">
        <v>11859</v>
      </c>
      <c r="Q892" t="inlineStr">
        <is>
          <t>Ice Tech Serviços (11859)</t>
        </is>
      </c>
      <c r="R892" t="inlineStr">
        <is>
          <t>PC-0033</t>
        </is>
      </c>
      <c r="S892" t="inlineStr">
        <is>
          <t>Regulador de pressão modelo 02</t>
        </is>
      </c>
      <c r="T892" t="n">
        <v>3</v>
      </c>
      <c r="U892" t="inlineStr"/>
      <c r="V892">
        <f>IF(J892="","",MONTH(J892))</f>
        <v/>
      </c>
      <c r="W892">
        <f>IF(J892="","",YEAR(J892))</f>
        <v/>
      </c>
      <c r="X892" t="inlineStr"/>
      <c r="Y892">
        <f>IFERROR(INDEX(Rastreio!$H$2:$H$200,MATCH(X892&amp;"|"&amp;U892,Rastreio!$A$2:$A$200,0)),"")</f>
        <v/>
      </c>
    </row>
    <row r="893">
      <c r="A893">
        <f>IFERROR(INDEX(STAs!$G$2:$G$61,MATCH(P893,STAs!$F$2:$F$61,0))&amp;"","")</f>
        <v/>
      </c>
      <c r="B893" t="n">
        <v>20004171</v>
      </c>
      <c r="C893" t="inlineStr">
        <is>
          <t>Não</t>
        </is>
      </c>
      <c r="D893" t="inlineStr">
        <is>
          <t>MG</t>
        </is>
      </c>
      <c r="E893" t="inlineStr">
        <is>
          <t>SUDESTE MG</t>
        </is>
      </c>
      <c r="F893" t="inlineStr">
        <is>
          <t>Cliente A - Refrigerador</t>
        </is>
      </c>
      <c r="G893" t="inlineStr">
        <is>
          <t>Chopeiras</t>
        </is>
      </c>
      <c r="H893" s="10" t="n">
        <v>85</v>
      </c>
      <c r="I893" s="10">
        <f>IFERROR(T893*H893,0)</f>
        <v/>
      </c>
      <c r="J893" s="11" t="n">
        <v>46068</v>
      </c>
      <c r="K893" s="11" t="n">
        <v>46115</v>
      </c>
      <c r="L893" t="inlineStr">
        <is>
          <t>Ok. Devolvida</t>
        </is>
      </c>
      <c r="M893">
        <f>IF(L893="","",IFERROR(VLOOKUP(L893,mapGrupoStatus,2,0),"Outros"))</f>
        <v/>
      </c>
      <c r="N893">
        <f>IF(O893="","",IF(O893&lt;=30,"0-30 dias",IF(O893&lt;=60,"31-60 dias",IF(O893&lt;=90,"61-90 dias","Mais de 90 dias"))))</f>
        <v/>
      </c>
      <c r="O893">
        <f>IF(OR(M893="Pendente",M893="Em andamento"),IF(J893="","",TODAY()-J893),"")</f>
        <v/>
      </c>
      <c r="P893" t="n">
        <v>12470</v>
      </c>
      <c r="Q893" t="inlineStr">
        <is>
          <t>Cool Service Técnica (12470)</t>
        </is>
      </c>
      <c r="R893" t="inlineStr">
        <is>
          <t>PC-0028</t>
        </is>
      </c>
      <c r="S893" t="inlineStr">
        <is>
          <t>Torneira de chopp modelo 03</t>
        </is>
      </c>
      <c r="T893" t="n">
        <v>1</v>
      </c>
      <c r="U893" t="n">
        <v>106</v>
      </c>
      <c r="V893">
        <f>IF(J893="","",MONTH(J893))</f>
        <v/>
      </c>
      <c r="W893">
        <f>IF(J893="","",YEAR(J893))</f>
        <v/>
      </c>
      <c r="X893" t="inlineStr">
        <is>
          <t>LogExpress</t>
        </is>
      </c>
      <c r="Y893">
        <f>IFERROR(INDEX(Rastreio!$H$2:$H$200,MATCH(X893&amp;"|"&amp;U893,Rastreio!$A$2:$A$200,0)),"")</f>
        <v/>
      </c>
    </row>
    <row r="894">
      <c r="A894">
        <f>IFERROR(INDEX(STAs!$G$2:$G$61,MATCH(P894,STAs!$F$2:$F$61,0))&amp;"","")</f>
        <v/>
      </c>
      <c r="B894" t="n">
        <v>20013940</v>
      </c>
      <c r="C894" t="inlineStr">
        <is>
          <t>Não</t>
        </is>
      </c>
      <c r="D894" t="inlineStr">
        <is>
          <t>MG</t>
        </is>
      </c>
      <c r="E894" t="inlineStr">
        <is>
          <t>SUDESTE MG</t>
        </is>
      </c>
      <c r="F894" t="inlineStr">
        <is>
          <t>Cliente C - Misturador</t>
        </is>
      </c>
      <c r="G894" t="inlineStr">
        <is>
          <t>Chopeiras</t>
        </is>
      </c>
      <c r="H894" s="10" t="n">
        <v>115</v>
      </c>
      <c r="I894" s="10">
        <f>IFERROR(T894*H894,0)</f>
        <v/>
      </c>
      <c r="J894" s="11" t="n">
        <v>46068</v>
      </c>
      <c r="K894" s="11" t="n">
        <v>46128</v>
      </c>
      <c r="L894" t="inlineStr">
        <is>
          <t>Ok. Devolvida</t>
        </is>
      </c>
      <c r="M894">
        <f>IF(L894="","",IFERROR(VLOOKUP(L894,mapGrupoStatus,2,0),"Outros"))</f>
        <v/>
      </c>
      <c r="N894">
        <f>IF(O894="","",IF(O894&lt;=30,"0-30 dias",IF(O894&lt;=60,"31-60 dias",IF(O894&lt;=90,"61-90 dias","Mais de 90 dias"))))</f>
        <v/>
      </c>
      <c r="O894">
        <f>IF(OR(M894="Pendente",M894="Em andamento"),IF(J894="","",TODAY()-J894),"")</f>
        <v/>
      </c>
      <c r="P894" t="n">
        <v>12158</v>
      </c>
      <c r="Q894" t="inlineStr">
        <is>
          <t>Gelo Serviços (12158)</t>
        </is>
      </c>
      <c r="R894" t="inlineStr">
        <is>
          <t>PC-0034</t>
        </is>
      </c>
      <c r="S894" t="inlineStr">
        <is>
          <t>Regulador de pressão modelo 03</t>
        </is>
      </c>
      <c r="T894" t="n">
        <v>1</v>
      </c>
      <c r="U894" t="n">
        <v>125</v>
      </c>
      <c r="V894">
        <f>IF(J894="","",MONTH(J894))</f>
        <v/>
      </c>
      <c r="W894">
        <f>IF(J894="","",YEAR(J894))</f>
        <v/>
      </c>
      <c r="X894" t="inlineStr">
        <is>
          <t>LogExpress</t>
        </is>
      </c>
      <c r="Y894">
        <f>IFERROR(INDEX(Rastreio!$H$2:$H$200,MATCH(X894&amp;"|"&amp;U894,Rastreio!$A$2:$A$200,0)),"")</f>
        <v/>
      </c>
    </row>
    <row r="895">
      <c r="A895">
        <f>IFERROR(INDEX(STAs!$G$2:$G$61,MATCH(P895,STAs!$F$2:$F$61,0))&amp;"","")</f>
        <v/>
      </c>
      <c r="B895" t="n">
        <v>20018073</v>
      </c>
      <c r="C895" t="inlineStr">
        <is>
          <t>Não</t>
        </is>
      </c>
      <c r="D895" t="inlineStr">
        <is>
          <t>SP</t>
        </is>
      </c>
      <c r="E895" t="inlineStr">
        <is>
          <t>SUDESTE SP</t>
        </is>
      </c>
      <c r="F895" t="inlineStr">
        <is>
          <t>Cliente A - Refrigerador</t>
        </is>
      </c>
      <c r="G895" t="inlineStr">
        <is>
          <t>Misturadores</t>
        </is>
      </c>
      <c r="H895" s="10" t="n">
        <v>50</v>
      </c>
      <c r="I895" s="10">
        <f>IFERROR(T895*H895,0)</f>
        <v/>
      </c>
      <c r="J895" s="11" t="n">
        <v>46068</v>
      </c>
      <c r="K895" s="11" t="n"/>
      <c r="L895" t="inlineStr">
        <is>
          <t>Aguardando devolução</t>
        </is>
      </c>
      <c r="M895">
        <f>IF(L895="","",IFERROR(VLOOKUP(L895,mapGrupoStatus,2,0),"Outros"))</f>
        <v/>
      </c>
      <c r="N895">
        <f>IF(O895="","",IF(O895&lt;=30,"0-30 dias",IF(O895&lt;=60,"31-60 dias",IF(O895&lt;=90,"61-90 dias","Mais de 90 dias"))))</f>
        <v/>
      </c>
      <c r="O895">
        <f>IF(OR(M895="Pendente",M895="Em andamento"),IF(J895="","",TODAY()-J895),"")</f>
        <v/>
      </c>
      <c r="P895" t="n">
        <v>10538</v>
      </c>
      <c r="Q895" t="inlineStr">
        <is>
          <t>Frio Refrigeração (10538)</t>
        </is>
      </c>
      <c r="R895" t="inlineStr">
        <is>
          <t>PC-0044</t>
        </is>
      </c>
      <c r="S895" t="inlineStr">
        <is>
          <t>Bico dosador modelo 03</t>
        </is>
      </c>
      <c r="T895" t="n">
        <v>1</v>
      </c>
      <c r="U895" t="inlineStr"/>
      <c r="V895">
        <f>IF(J895="","",MONTH(J895))</f>
        <v/>
      </c>
      <c r="W895">
        <f>IF(J895="","",YEAR(J895))</f>
        <v/>
      </c>
      <c r="X895" t="inlineStr"/>
      <c r="Y895">
        <f>IFERROR(INDEX(Rastreio!$H$2:$H$200,MATCH(X895&amp;"|"&amp;U895,Rastreio!$A$2:$A$200,0)),"")</f>
        <v/>
      </c>
    </row>
    <row r="896">
      <c r="A896">
        <f>IFERROR(INDEX(STAs!$G$2:$G$61,MATCH(P896,STAs!$F$2:$F$61,0))&amp;"","")</f>
        <v/>
      </c>
      <c r="B896" t="n">
        <v>20036777</v>
      </c>
      <c r="C896" t="inlineStr">
        <is>
          <t>Não</t>
        </is>
      </c>
      <c r="D896" t="inlineStr">
        <is>
          <t>RJ</t>
        </is>
      </c>
      <c r="E896" t="inlineStr">
        <is>
          <t>SUDESTE RJ e ES</t>
        </is>
      </c>
      <c r="F896" t="inlineStr">
        <is>
          <t>Cliente B - Chopeira</t>
        </is>
      </c>
      <c r="G896" t="inlineStr">
        <is>
          <t>Misturadores</t>
        </is>
      </c>
      <c r="H896" s="10" t="n">
        <v>185</v>
      </c>
      <c r="I896" s="10">
        <f>IFERROR(T896*H896,0)</f>
        <v/>
      </c>
      <c r="J896" s="11" t="n">
        <v>46068</v>
      </c>
      <c r="K896" s="11" t="n">
        <v>46112</v>
      </c>
      <c r="L896" t="inlineStr">
        <is>
          <t>Ok. Devolvida</t>
        </is>
      </c>
      <c r="M896">
        <f>IF(L896="","",IFERROR(VLOOKUP(L896,mapGrupoStatus,2,0),"Outros"))</f>
        <v/>
      </c>
      <c r="N896">
        <f>IF(O896="","",IF(O896&lt;=30,"0-30 dias",IF(O896&lt;=60,"31-60 dias",IF(O896&lt;=90,"61-90 dias","Mais de 90 dias"))))</f>
        <v/>
      </c>
      <c r="O896">
        <f>IF(OR(M896="Pendente",M896="Em andamento"),IF(J896="","",TODAY()-J896),"")</f>
        <v/>
      </c>
      <c r="P896" t="n">
        <v>10676</v>
      </c>
      <c r="Q896" t="inlineStr">
        <is>
          <t>Clima Serviços (10676)</t>
        </is>
      </c>
      <c r="R896" t="inlineStr">
        <is>
          <t>PC-0041</t>
        </is>
      </c>
      <c r="S896" t="inlineStr">
        <is>
          <t>Motor agitador modelo 02</t>
        </is>
      </c>
      <c r="T896" t="n">
        <v>3</v>
      </c>
      <c r="U896" t="n">
        <v>167</v>
      </c>
      <c r="V896">
        <f>IF(J896="","",MONTH(J896))</f>
        <v/>
      </c>
      <c r="W896">
        <f>IF(J896="","",YEAR(J896))</f>
        <v/>
      </c>
      <c r="X896" t="inlineStr">
        <is>
          <t>RotaSul</t>
        </is>
      </c>
      <c r="Y896">
        <f>IFERROR(INDEX(Rastreio!$H$2:$H$200,MATCH(X896&amp;"|"&amp;U896,Rastreio!$A$2:$A$200,0)),"")</f>
        <v/>
      </c>
    </row>
    <row r="897">
      <c r="A897">
        <f>IFERROR(INDEX(STAs!$G$2:$G$61,MATCH(P897,STAs!$F$2:$F$61,0))&amp;"","")</f>
        <v/>
      </c>
      <c r="B897" t="n">
        <v>20036886</v>
      </c>
      <c r="C897" t="inlineStr">
        <is>
          <t>Não</t>
        </is>
      </c>
      <c r="D897" t="inlineStr">
        <is>
          <t>DF</t>
        </is>
      </c>
      <c r="E897" t="inlineStr">
        <is>
          <t>CENTRO OESTE</t>
        </is>
      </c>
      <c r="F897" t="inlineStr">
        <is>
          <t>Cliente C - Misturador</t>
        </is>
      </c>
      <c r="G897" t="inlineStr">
        <is>
          <t>Refrigeradores</t>
        </is>
      </c>
      <c r="H897" s="10" t="n">
        <v>55</v>
      </c>
      <c r="I897" s="10">
        <f>IFERROR(T897*H897,0)</f>
        <v/>
      </c>
      <c r="J897" s="11" t="n">
        <v>46068</v>
      </c>
      <c r="K897" s="11" t="n"/>
      <c r="L897" t="inlineStr">
        <is>
          <t>Em transporte</t>
        </is>
      </c>
      <c r="M897">
        <f>IF(L897="","",IFERROR(VLOOKUP(L897,mapGrupoStatus,2,0),"Outros"))</f>
        <v/>
      </c>
      <c r="N897">
        <f>IF(O897="","",IF(O897&lt;=30,"0-30 dias",IF(O897&lt;=60,"31-60 dias",IF(O897&lt;=90,"61-90 dias","Mais de 90 dias"))))</f>
        <v/>
      </c>
      <c r="O897">
        <f>IF(OR(M897="Pendente",M897="Em andamento"),IF(J897="","",TODAY()-J897),"")</f>
        <v/>
      </c>
      <c r="P897" t="n">
        <v>10021</v>
      </c>
      <c r="Q897" t="inlineStr">
        <is>
          <t>Termotec Técnica (10021)</t>
        </is>
      </c>
      <c r="R897" t="inlineStr">
        <is>
          <t>PC-0008</t>
        </is>
      </c>
      <c r="S897" t="inlineStr">
        <is>
          <t>Ventilador modelo 02</t>
        </is>
      </c>
      <c r="T897" t="n">
        <v>1</v>
      </c>
      <c r="U897" t="n">
        <v>157</v>
      </c>
      <c r="V897">
        <f>IF(J897="","",MONTH(J897))</f>
        <v/>
      </c>
      <c r="W897">
        <f>IF(J897="","",YEAR(J897))</f>
        <v/>
      </c>
      <c r="X897" t="inlineStr">
        <is>
          <t>ViaCargo</t>
        </is>
      </c>
      <c r="Y897">
        <f>IFERROR(INDEX(Rastreio!$H$2:$H$200,MATCH(X897&amp;"|"&amp;U897,Rastreio!$A$2:$A$200,0)),"")</f>
        <v/>
      </c>
    </row>
    <row r="898">
      <c r="A898">
        <f>IFERROR(INDEX(STAs!$G$2:$G$61,MATCH(P898,STAs!$F$2:$F$61,0))&amp;"","")</f>
        <v/>
      </c>
      <c r="B898" t="n">
        <v>20037157</v>
      </c>
      <c r="C898" t="inlineStr">
        <is>
          <t>Não</t>
        </is>
      </c>
      <c r="D898" t="inlineStr">
        <is>
          <t>AM</t>
        </is>
      </c>
      <c r="E898" t="inlineStr">
        <is>
          <t>NORTE</t>
        </is>
      </c>
      <c r="F898" t="inlineStr">
        <is>
          <t>Cliente C - Misturador</t>
        </is>
      </c>
      <c r="G898" t="inlineStr">
        <is>
          <t>Refrigeradores</t>
        </is>
      </c>
      <c r="H898" s="10" t="n">
        <v>155</v>
      </c>
      <c r="I898" s="10">
        <f>IFERROR(T898*H898,0)</f>
        <v/>
      </c>
      <c r="J898" s="11" t="n">
        <v>46068</v>
      </c>
      <c r="K898" s="11" t="n"/>
      <c r="L898" t="inlineStr">
        <is>
          <t>Não Devolve-Norte</t>
        </is>
      </c>
      <c r="M898">
        <f>IF(L898="","",IFERROR(VLOOKUP(L898,mapGrupoStatus,2,0),"Outros"))</f>
        <v/>
      </c>
      <c r="N898">
        <f>IF(O898="","",IF(O898&lt;=30,"0-30 dias",IF(O898&lt;=60,"31-60 dias",IF(O898&lt;=90,"61-90 dias","Mais de 90 dias"))))</f>
        <v/>
      </c>
      <c r="O898">
        <f>IF(OR(M898="Pendente",M898="Em andamento"),IF(J898="","",TODAY()-J898),"")</f>
        <v/>
      </c>
      <c r="P898" t="n">
        <v>10842</v>
      </c>
      <c r="Q898" t="inlineStr">
        <is>
          <t>Frigo &amp; Cia (10842)</t>
        </is>
      </c>
      <c r="R898" t="inlineStr">
        <is>
          <t>PC-0022</t>
        </is>
      </c>
      <c r="S898" t="inlineStr">
        <is>
          <t>Controlador digital modelo 02</t>
        </is>
      </c>
      <c r="T898" t="n">
        <v>1</v>
      </c>
      <c r="U898" t="inlineStr"/>
      <c r="V898">
        <f>IF(J898="","",MONTH(J898))</f>
        <v/>
      </c>
      <c r="W898">
        <f>IF(J898="","",YEAR(J898))</f>
        <v/>
      </c>
      <c r="X898" t="inlineStr"/>
      <c r="Y898">
        <f>IFERROR(INDEX(Rastreio!$H$2:$H$200,MATCH(X898&amp;"|"&amp;U898,Rastreio!$A$2:$A$200,0)),"")</f>
        <v/>
      </c>
    </row>
    <row r="899">
      <c r="A899">
        <f>IFERROR(INDEX(STAs!$G$2:$G$61,MATCH(P899,STAs!$F$2:$F$61,0))&amp;"","")</f>
        <v/>
      </c>
      <c r="B899" t="n">
        <v>20039748</v>
      </c>
      <c r="C899" t="inlineStr">
        <is>
          <t>Não</t>
        </is>
      </c>
      <c r="D899" t="inlineStr">
        <is>
          <t>ES</t>
        </is>
      </c>
      <c r="E899" t="inlineStr">
        <is>
          <t>SUDESTE RJ e ES</t>
        </is>
      </c>
      <c r="F899" t="inlineStr">
        <is>
          <t>Cliente A - Refrigerador</t>
        </is>
      </c>
      <c r="G899" t="inlineStr">
        <is>
          <t>Refrigeradores</t>
        </is>
      </c>
      <c r="H899" s="10" t="n">
        <v>190</v>
      </c>
      <c r="I899" s="10">
        <f>IFERROR(T899*H899,0)</f>
        <v/>
      </c>
      <c r="J899" s="11" t="n">
        <v>46068</v>
      </c>
      <c r="K899" s="11" t="n"/>
      <c r="L899" t="inlineStr">
        <is>
          <t>Em transporte</t>
        </is>
      </c>
      <c r="M899">
        <f>IF(L899="","",IFERROR(VLOOKUP(L899,mapGrupoStatus,2,0),"Outros"))</f>
        <v/>
      </c>
      <c r="N899">
        <f>IF(O899="","",IF(O899&lt;=30,"0-30 dias",IF(O899&lt;=60,"31-60 dias",IF(O899&lt;=90,"61-90 dias","Mais de 90 dias"))))</f>
        <v/>
      </c>
      <c r="O899">
        <f>IF(OR(M899="Pendente",M899="Em andamento"),IF(J899="","",TODAY()-J899),"")</f>
        <v/>
      </c>
      <c r="P899" t="n">
        <v>11099</v>
      </c>
      <c r="Q899" t="inlineStr">
        <is>
          <t>Refrigel Serviços (11099)</t>
        </is>
      </c>
      <c r="R899" t="inlineStr">
        <is>
          <t>PC-0011</t>
        </is>
      </c>
      <c r="S899" t="inlineStr">
        <is>
          <t>Placa eletrônica modelo 01</t>
        </is>
      </c>
      <c r="T899" t="n">
        <v>1</v>
      </c>
      <c r="U899" t="n">
        <v>173</v>
      </c>
      <c r="V899">
        <f>IF(J899="","",MONTH(J899))</f>
        <v/>
      </c>
      <c r="W899">
        <f>IF(J899="","",YEAR(J899))</f>
        <v/>
      </c>
      <c r="X899" t="inlineStr">
        <is>
          <t>LogExpress</t>
        </is>
      </c>
      <c r="Y899">
        <f>IFERROR(INDEX(Rastreio!$H$2:$H$200,MATCH(X899&amp;"|"&amp;U899,Rastreio!$A$2:$A$200,0)),"")</f>
        <v/>
      </c>
    </row>
    <row r="900">
      <c r="A900">
        <f>IFERROR(INDEX(STAs!$G$2:$G$61,MATCH(P900,STAs!$F$2:$F$61,0))&amp;"","")</f>
        <v/>
      </c>
      <c r="B900" t="n">
        <v>20001802</v>
      </c>
      <c r="C900" t="inlineStr">
        <is>
          <t>Não</t>
        </is>
      </c>
      <c r="D900" t="inlineStr">
        <is>
          <t>RR</t>
        </is>
      </c>
      <c r="E900" t="inlineStr">
        <is>
          <t>NORTE</t>
        </is>
      </c>
      <c r="F900" t="inlineStr">
        <is>
          <t>Cliente C - Misturador</t>
        </is>
      </c>
      <c r="G900" t="inlineStr">
        <is>
          <t>Chopeiras</t>
        </is>
      </c>
      <c r="H900" s="10" t="n">
        <v>85</v>
      </c>
      <c r="I900" s="10">
        <f>IFERROR(T900*H900,0)</f>
        <v/>
      </c>
      <c r="J900" s="11" t="n">
        <v>46069</v>
      </c>
      <c r="K900" s="11" t="n"/>
      <c r="L900" t="inlineStr">
        <is>
          <t>Não Devolve-Norte</t>
        </is>
      </c>
      <c r="M900">
        <f>IF(L900="","",IFERROR(VLOOKUP(L900,mapGrupoStatus,2,0),"Outros"))</f>
        <v/>
      </c>
      <c r="N900">
        <f>IF(O900="","",IF(O900&lt;=30,"0-30 dias",IF(O900&lt;=60,"31-60 dias",IF(O900&lt;=90,"61-90 dias","Mais de 90 dias"))))</f>
        <v/>
      </c>
      <c r="O900">
        <f>IF(OR(M900="Pendente",M900="Em andamento"),IF(J900="","",TODAY()-J900),"")</f>
        <v/>
      </c>
      <c r="P900" t="n">
        <v>11818</v>
      </c>
      <c r="Q900" t="inlineStr">
        <is>
          <t>Termotec Ltda (11818)</t>
        </is>
      </c>
      <c r="R900" t="inlineStr">
        <is>
          <t>PC-0036</t>
        </is>
      </c>
      <c r="S900" t="inlineStr">
        <is>
          <t>Válvula extratora modelo 02</t>
        </is>
      </c>
      <c r="T900" t="n">
        <v>2</v>
      </c>
      <c r="U900" t="inlineStr"/>
      <c r="V900">
        <f>IF(J900="","",MONTH(J900))</f>
        <v/>
      </c>
      <c r="W900">
        <f>IF(J900="","",YEAR(J900))</f>
        <v/>
      </c>
      <c r="X900" t="inlineStr"/>
      <c r="Y900">
        <f>IFERROR(INDEX(Rastreio!$H$2:$H$200,MATCH(X900&amp;"|"&amp;U900,Rastreio!$A$2:$A$200,0)),"")</f>
        <v/>
      </c>
    </row>
    <row r="901">
      <c r="A901">
        <f>IFERROR(INDEX(STAs!$G$2:$G$61,MATCH(P901,STAs!$F$2:$F$61,0))&amp;"","")</f>
        <v/>
      </c>
      <c r="B901" t="n">
        <v>20008841</v>
      </c>
      <c r="C901" t="inlineStr">
        <is>
          <t>Não</t>
        </is>
      </c>
      <c r="D901" t="inlineStr">
        <is>
          <t>SP</t>
        </is>
      </c>
      <c r="E901" t="inlineStr">
        <is>
          <t>SUDESTE SP</t>
        </is>
      </c>
      <c r="F901" t="inlineStr">
        <is>
          <t>Cliente C - Misturador</t>
        </is>
      </c>
      <c r="G901" t="inlineStr">
        <is>
          <t>Misturadores</t>
        </is>
      </c>
      <c r="H901" s="10" t="n">
        <v>35</v>
      </c>
      <c r="I901" s="10">
        <f>IFERROR(T901*H901,0)</f>
        <v/>
      </c>
      <c r="J901" s="11" t="n">
        <v>46069</v>
      </c>
      <c r="K901" s="11" t="n">
        <v>46102</v>
      </c>
      <c r="L901" t="inlineStr">
        <is>
          <t>Ok. Devolvida</t>
        </is>
      </c>
      <c r="M901">
        <f>IF(L901="","",IFERROR(VLOOKUP(L901,mapGrupoStatus,2,0),"Outros"))</f>
        <v/>
      </c>
      <c r="N901">
        <f>IF(O901="","",IF(O901&lt;=30,"0-30 dias",IF(O901&lt;=60,"31-60 dias",IF(O901&lt;=90,"61-90 dias","Mais de 90 dias"))))</f>
        <v/>
      </c>
      <c r="O901">
        <f>IF(OR(M901="Pendente",M901="Em andamento"),IF(J901="","",TODAY()-J901),"")</f>
        <v/>
      </c>
      <c r="P901" t="n">
        <v>10413</v>
      </c>
      <c r="Q901" t="inlineStr">
        <is>
          <t>Polar Manutenção (10413)</t>
        </is>
      </c>
      <c r="R901" t="inlineStr">
        <is>
          <t>PC-0043</t>
        </is>
      </c>
      <c r="S901" t="inlineStr">
        <is>
          <t>Bico dosador modelo 02</t>
        </is>
      </c>
      <c r="T901" t="n">
        <v>1</v>
      </c>
      <c r="U901" t="n">
        <v>116</v>
      </c>
      <c r="V901">
        <f>IF(J901="","",MONTH(J901))</f>
        <v/>
      </c>
      <c r="W901">
        <f>IF(J901="","",YEAR(J901))</f>
        <v/>
      </c>
      <c r="X901" t="inlineStr">
        <is>
          <t>CargoMax</t>
        </is>
      </c>
      <c r="Y901">
        <f>IFERROR(INDEX(Rastreio!$H$2:$H$200,MATCH(X901&amp;"|"&amp;U901,Rastreio!$A$2:$A$200,0)),"")</f>
        <v/>
      </c>
    </row>
    <row r="902">
      <c r="A902">
        <f>IFERROR(INDEX(STAs!$G$2:$G$61,MATCH(P902,STAs!$F$2:$F$61,0))&amp;"","")</f>
        <v/>
      </c>
      <c r="B902" t="n">
        <v>20024040</v>
      </c>
      <c r="C902" t="inlineStr">
        <is>
          <t>Sim</t>
        </is>
      </c>
      <c r="D902" t="inlineStr">
        <is>
          <t>SP</t>
        </is>
      </c>
      <c r="E902" t="inlineStr">
        <is>
          <t>SUDESTE SP</t>
        </is>
      </c>
      <c r="F902" t="inlineStr">
        <is>
          <t>Cliente C - Misturador</t>
        </is>
      </c>
      <c r="G902" t="inlineStr">
        <is>
          <t>Misturadores</t>
        </is>
      </c>
      <c r="H902" s="10" t="n">
        <v>200</v>
      </c>
      <c r="I902" s="10">
        <f>IFERROR(T902*H902,0)</f>
        <v/>
      </c>
      <c r="J902" s="11" t="n">
        <v>46069</v>
      </c>
      <c r="K902" s="11" t="n">
        <v>46080</v>
      </c>
      <c r="L902" t="inlineStr">
        <is>
          <t>Ok. Devolvida</t>
        </is>
      </c>
      <c r="M902">
        <f>IF(L902="","",IFERROR(VLOOKUP(L902,mapGrupoStatus,2,0),"Outros"))</f>
        <v/>
      </c>
      <c r="N902">
        <f>IF(O902="","",IF(O902&lt;=30,"0-30 dias",IF(O902&lt;=60,"31-60 dias",IF(O902&lt;=90,"61-90 dias","Mais de 90 dias"))))</f>
        <v/>
      </c>
      <c r="O902">
        <f>IF(OR(M902="Pendente",M902="Em andamento"),IF(J902="","",TODAY()-J902),"")</f>
        <v/>
      </c>
      <c r="P902" t="n">
        <v>10010</v>
      </c>
      <c r="Q902" t="inlineStr">
        <is>
          <t>Cool Service ME (10010)</t>
        </is>
      </c>
      <c r="R902" t="inlineStr">
        <is>
          <t>PC-0040</t>
        </is>
      </c>
      <c r="S902" t="inlineStr">
        <is>
          <t>Motor agitador modelo 01</t>
        </is>
      </c>
      <c r="T902" t="n">
        <v>1</v>
      </c>
      <c r="U902" t="n">
        <v>141</v>
      </c>
      <c r="V902">
        <f>IF(J902="","",MONTH(J902))</f>
        <v/>
      </c>
      <c r="W902">
        <f>IF(J902="","",YEAR(J902))</f>
        <v/>
      </c>
      <c r="X902" t="inlineStr">
        <is>
          <t>LogExpress</t>
        </is>
      </c>
      <c r="Y902">
        <f>IFERROR(INDEX(Rastreio!$H$2:$H$200,MATCH(X902&amp;"|"&amp;U902,Rastreio!$A$2:$A$200,0)),"")</f>
        <v/>
      </c>
    </row>
    <row r="903">
      <c r="A903">
        <f>IFERROR(INDEX(STAs!$G$2:$G$61,MATCH(P903,STAs!$F$2:$F$61,0))&amp;"","")</f>
        <v/>
      </c>
      <c r="B903" t="n">
        <v>20026689</v>
      </c>
      <c r="C903" t="inlineStr">
        <is>
          <t>Não</t>
        </is>
      </c>
      <c r="D903" t="inlineStr">
        <is>
          <t>AC</t>
        </is>
      </c>
      <c r="E903" t="inlineStr">
        <is>
          <t>NORTE</t>
        </is>
      </c>
      <c r="F903" t="inlineStr">
        <is>
          <t>Cliente A - Refrigerador</t>
        </is>
      </c>
      <c r="G903" t="inlineStr">
        <is>
          <t>Refrigeradores</t>
        </is>
      </c>
      <c r="H903" s="10" t="n">
        <v>40</v>
      </c>
      <c r="I903" s="10">
        <f>IFERROR(T903*H903,0)</f>
        <v/>
      </c>
      <c r="J903" s="11" t="n">
        <v>46069</v>
      </c>
      <c r="K903" s="11" t="n"/>
      <c r="L903" t="inlineStr">
        <is>
          <t>Em andamento</t>
        </is>
      </c>
      <c r="M903">
        <f>IF(L903="","",IFERROR(VLOOKUP(L903,mapGrupoStatus,2,0),"Outros"))</f>
        <v/>
      </c>
      <c r="N903">
        <f>IF(O903="","",IF(O903&lt;=30,"0-30 dias",IF(O903&lt;=60,"31-60 dias",IF(O903&lt;=90,"61-90 dias","Mais de 90 dias"))))</f>
        <v/>
      </c>
      <c r="O903">
        <f>IF(OR(M903="Pendente",M903="Em andamento"),IF(J903="","",TODAY()-J903),"")</f>
        <v/>
      </c>
      <c r="P903" t="n">
        <v>11022</v>
      </c>
      <c r="Q903" t="inlineStr">
        <is>
          <t>Brisa Ltda (11022)</t>
        </is>
      </c>
      <c r="R903" t="inlineStr">
        <is>
          <t>PC-0005</t>
        </is>
      </c>
      <c r="S903" t="inlineStr">
        <is>
          <t>Termostato modelo 02</t>
        </is>
      </c>
      <c r="T903" t="n">
        <v>2</v>
      </c>
      <c r="U903" t="n">
        <v>147</v>
      </c>
      <c r="V903">
        <f>IF(J903="","",MONTH(J903))</f>
        <v/>
      </c>
      <c r="W903">
        <f>IF(J903="","",YEAR(J903))</f>
        <v/>
      </c>
      <c r="X903" t="inlineStr">
        <is>
          <t>RotaSul</t>
        </is>
      </c>
      <c r="Y903">
        <f>IFERROR(INDEX(Rastreio!$H$2:$H$200,MATCH(X903&amp;"|"&amp;U903,Rastreio!$A$2:$A$200,0)),"")</f>
        <v/>
      </c>
    </row>
    <row r="904">
      <c r="A904">
        <f>IFERROR(INDEX(STAs!$G$2:$G$61,MATCH(P904,STAs!$F$2:$F$61,0))&amp;"","")</f>
        <v/>
      </c>
      <c r="B904" t="n">
        <v>20003696</v>
      </c>
      <c r="C904" t="inlineStr">
        <is>
          <t>Não</t>
        </is>
      </c>
      <c r="D904" t="inlineStr">
        <is>
          <t>MG</t>
        </is>
      </c>
      <c r="E904" t="inlineStr">
        <is>
          <t>SUDESTE MG</t>
        </is>
      </c>
      <c r="F904" t="inlineStr">
        <is>
          <t>Cliente C - Misturador</t>
        </is>
      </c>
      <c r="G904" t="inlineStr">
        <is>
          <t>Refrigeradores</t>
        </is>
      </c>
      <c r="H904" s="10" t="n">
        <v>315</v>
      </c>
      <c r="I904" s="10">
        <f>IFERROR(T904*H904,0)</f>
        <v/>
      </c>
      <c r="J904" s="11" t="n">
        <v>46070</v>
      </c>
      <c r="K904" s="11" t="n"/>
      <c r="L904" t="inlineStr">
        <is>
          <t>Em andamento</t>
        </is>
      </c>
      <c r="M904">
        <f>IF(L904="","",IFERROR(VLOOKUP(L904,mapGrupoStatus,2,0),"Outros"))</f>
        <v/>
      </c>
      <c r="N904">
        <f>IF(O904="","",IF(O904&lt;=30,"0-30 dias",IF(O904&lt;=60,"31-60 dias",IF(O904&lt;=90,"61-90 dias","Mais de 90 dias"))))</f>
        <v/>
      </c>
      <c r="O904">
        <f>IF(OR(M904="Pendente",M904="Em andamento"),IF(J904="","",TODAY()-J904),"")</f>
        <v/>
      </c>
      <c r="P904" t="n">
        <v>12470</v>
      </c>
      <c r="Q904" t="inlineStr">
        <is>
          <t>Cool Service Técnica (12470)</t>
        </is>
      </c>
      <c r="R904" t="inlineStr">
        <is>
          <t>PC-0002</t>
        </is>
      </c>
      <c r="S904" t="inlineStr">
        <is>
          <t>Compressor modelo 02</t>
        </is>
      </c>
      <c r="T904" t="n">
        <v>2</v>
      </c>
      <c r="U904" t="n">
        <v>107</v>
      </c>
      <c r="V904">
        <f>IF(J904="","",MONTH(J904))</f>
        <v/>
      </c>
      <c r="W904">
        <f>IF(J904="","",YEAR(J904))</f>
        <v/>
      </c>
      <c r="X904" t="inlineStr">
        <is>
          <t>RotaSul</t>
        </is>
      </c>
      <c r="Y904">
        <f>IFERROR(INDEX(Rastreio!$H$2:$H$200,MATCH(X904&amp;"|"&amp;U904,Rastreio!$A$2:$A$200,0)),"")</f>
        <v/>
      </c>
    </row>
    <row r="905">
      <c r="A905">
        <f>IFERROR(INDEX(STAs!$G$2:$G$61,MATCH(P905,STAs!$F$2:$F$61,0))&amp;"","")</f>
        <v/>
      </c>
      <c r="B905" t="n">
        <v>20008484</v>
      </c>
      <c r="C905" t="inlineStr">
        <is>
          <t>Não</t>
        </is>
      </c>
      <c r="D905" t="inlineStr">
        <is>
          <t>BA</t>
        </is>
      </c>
      <c r="E905" t="inlineStr">
        <is>
          <t>NORDESTE</t>
        </is>
      </c>
      <c r="F905" t="inlineStr">
        <is>
          <t>Cliente A - Refrigerador</t>
        </is>
      </c>
      <c r="G905" t="inlineStr">
        <is>
          <t>Refrigeradores</t>
        </is>
      </c>
      <c r="H905" s="10" t="n">
        <v>35</v>
      </c>
      <c r="I905" s="10">
        <f>IFERROR(T905*H905,0)</f>
        <v/>
      </c>
      <c r="J905" s="11" t="n">
        <v>46070</v>
      </c>
      <c r="K905" s="11" t="n">
        <v>46112</v>
      </c>
      <c r="L905" t="inlineStr">
        <is>
          <t>Ok. Devolvida</t>
        </is>
      </c>
      <c r="M905">
        <f>IF(L905="","",IFERROR(VLOOKUP(L905,mapGrupoStatus,2,0),"Outros"))</f>
        <v/>
      </c>
      <c r="N905">
        <f>IF(O905="","",IF(O905&lt;=30,"0-30 dias",IF(O905&lt;=60,"31-60 dias",IF(O905&lt;=90,"61-90 dias","Mais de 90 dias"))))</f>
        <v/>
      </c>
      <c r="O905">
        <f>IF(OR(M905="Pendente",M905="Em andamento"),IF(J905="","",TODAY()-J905),"")</f>
        <v/>
      </c>
      <c r="P905" t="n">
        <v>12194</v>
      </c>
      <c r="Q905" t="inlineStr">
        <is>
          <t>Polar &amp; Cia (12194)</t>
        </is>
      </c>
      <c r="R905" t="inlineStr">
        <is>
          <t>PC-0020</t>
        </is>
      </c>
      <c r="S905" t="inlineStr">
        <is>
          <t>Gaxeta da porta modelo 03</t>
        </is>
      </c>
      <c r="T905" t="n">
        <v>1</v>
      </c>
      <c r="U905" t="n">
        <v>121</v>
      </c>
      <c r="V905">
        <f>IF(J905="","",MONTH(J905))</f>
        <v/>
      </c>
      <c r="W905">
        <f>IF(J905="","",YEAR(J905))</f>
        <v/>
      </c>
      <c r="X905" t="inlineStr">
        <is>
          <t>ViaCargo</t>
        </is>
      </c>
      <c r="Y905">
        <f>IFERROR(INDEX(Rastreio!$H$2:$H$200,MATCH(X905&amp;"|"&amp;U905,Rastreio!$A$2:$A$200,0)),"")</f>
        <v/>
      </c>
    </row>
    <row r="906">
      <c r="A906">
        <f>IFERROR(INDEX(STAs!$G$2:$G$61,MATCH(P906,STAs!$F$2:$F$61,0))&amp;"","")</f>
        <v/>
      </c>
      <c r="B906" t="n">
        <v>20011861</v>
      </c>
      <c r="C906" t="inlineStr">
        <is>
          <t>Não</t>
        </is>
      </c>
      <c r="D906" t="inlineStr">
        <is>
          <t>MG</t>
        </is>
      </c>
      <c r="E906" t="inlineStr">
        <is>
          <t>SUDESTE MG</t>
        </is>
      </c>
      <c r="F906" t="inlineStr">
        <is>
          <t>Cliente B - Chopeira</t>
        </is>
      </c>
      <c r="G906" t="inlineStr">
        <is>
          <t>Misturadores</t>
        </is>
      </c>
      <c r="H906" s="10" t="n">
        <v>50</v>
      </c>
      <c r="I906" s="10">
        <f>IFERROR(T906*H906,0)</f>
        <v/>
      </c>
      <c r="J906" s="11" t="n">
        <v>46070</v>
      </c>
      <c r="K906" s="11" t="n">
        <v>46123</v>
      </c>
      <c r="L906" t="inlineStr">
        <is>
          <t>Ok. Devolvida</t>
        </is>
      </c>
      <c r="M906">
        <f>IF(L906="","",IFERROR(VLOOKUP(L906,mapGrupoStatus,2,0),"Outros"))</f>
        <v/>
      </c>
      <c r="N906">
        <f>IF(O906="","",IF(O906&lt;=30,"0-30 dias",IF(O906&lt;=60,"31-60 dias",IF(O906&lt;=90,"61-90 dias","Mais de 90 dias"))))</f>
        <v/>
      </c>
      <c r="O906">
        <f>IF(OR(M906="Pendente",M906="Em andamento"),IF(J906="","",TODAY()-J906),"")</f>
        <v/>
      </c>
      <c r="P906" t="n">
        <v>11487</v>
      </c>
      <c r="Q906" t="inlineStr">
        <is>
          <t>Assistência Técnica Manutenção (11487)</t>
        </is>
      </c>
      <c r="R906" t="inlineStr">
        <is>
          <t>PC-0045</t>
        </is>
      </c>
      <c r="S906" t="inlineStr">
        <is>
          <t>Sensor de nível modelo 01</t>
        </is>
      </c>
      <c r="T906" t="n">
        <v>1</v>
      </c>
      <c r="U906" t="n">
        <v>121</v>
      </c>
      <c r="V906">
        <f>IF(J906="","",MONTH(J906))</f>
        <v/>
      </c>
      <c r="W906">
        <f>IF(J906="","",YEAR(J906))</f>
        <v/>
      </c>
      <c r="X906" t="inlineStr">
        <is>
          <t>TransNorte</t>
        </is>
      </c>
      <c r="Y906">
        <f>IFERROR(INDEX(Rastreio!$H$2:$H$200,MATCH(X906&amp;"|"&amp;U906,Rastreio!$A$2:$A$200,0)),"")</f>
        <v/>
      </c>
    </row>
    <row r="907">
      <c r="A907">
        <f>IFERROR(INDEX(STAs!$G$2:$G$61,MATCH(P907,STAs!$F$2:$F$61,0))&amp;"","")</f>
        <v/>
      </c>
      <c r="B907" t="n">
        <v>20013542</v>
      </c>
      <c r="C907" t="inlineStr">
        <is>
          <t>Não</t>
        </is>
      </c>
      <c r="D907" t="inlineStr">
        <is>
          <t>ES</t>
        </is>
      </c>
      <c r="E907" t="inlineStr">
        <is>
          <t>SUDESTE RJ e ES</t>
        </is>
      </c>
      <c r="F907" t="inlineStr">
        <is>
          <t>Cliente A - Refrigerador</t>
        </is>
      </c>
      <c r="G907" t="inlineStr">
        <is>
          <t>Misturadores</t>
        </is>
      </c>
      <c r="H907" s="10" t="n">
        <v>255</v>
      </c>
      <c r="I907" s="10">
        <f>IFERROR(T907*H907,0)</f>
        <v/>
      </c>
      <c r="J907" s="11" t="n">
        <v>46070</v>
      </c>
      <c r="K907" s="11" t="n"/>
      <c r="L907" t="inlineStr">
        <is>
          <t>Debitar do STA</t>
        </is>
      </c>
      <c r="M907">
        <f>IF(L907="","",IFERROR(VLOOKUP(L907,mapGrupoStatus,2,0),"Outros"))</f>
        <v/>
      </c>
      <c r="N907">
        <f>IF(O907="","",IF(O907&lt;=30,"0-30 dias",IF(O907&lt;=60,"31-60 dias",IF(O907&lt;=90,"61-90 dias","Mais de 90 dias"))))</f>
        <v/>
      </c>
      <c r="O907">
        <f>IF(OR(M907="Pendente",M907="Em andamento"),IF(J907="","",TODAY()-J907),"")</f>
        <v/>
      </c>
      <c r="P907" t="n">
        <v>12555</v>
      </c>
      <c r="Q907" t="inlineStr">
        <is>
          <t>Cool Service Serviços (12555)</t>
        </is>
      </c>
      <c r="R907" t="inlineStr">
        <is>
          <t>PC-0039</t>
        </is>
      </c>
      <c r="S907" t="inlineStr">
        <is>
          <t>Bomba de recirculação modelo 03</t>
        </is>
      </c>
      <c r="T907" t="n">
        <v>1</v>
      </c>
      <c r="U907" t="inlineStr"/>
      <c r="V907">
        <f>IF(J907="","",MONTH(J907))</f>
        <v/>
      </c>
      <c r="W907">
        <f>IF(J907="","",YEAR(J907))</f>
        <v/>
      </c>
      <c r="X907" t="inlineStr"/>
      <c r="Y907">
        <f>IFERROR(INDEX(Rastreio!$H$2:$H$200,MATCH(X907&amp;"|"&amp;U907,Rastreio!$A$2:$A$200,0)),"")</f>
        <v/>
      </c>
    </row>
    <row r="908">
      <c r="A908">
        <f>IFERROR(INDEX(STAs!$G$2:$G$61,MATCH(P908,STAs!$F$2:$F$61,0))&amp;"","")</f>
        <v/>
      </c>
      <c r="B908" t="n">
        <v>20013804</v>
      </c>
      <c r="C908" t="inlineStr">
        <is>
          <t>Não</t>
        </is>
      </c>
      <c r="D908" t="inlineStr">
        <is>
          <t>DF</t>
        </is>
      </c>
      <c r="E908" t="inlineStr">
        <is>
          <t>CENTRO OESTE</t>
        </is>
      </c>
      <c r="F908" t="inlineStr">
        <is>
          <t>Cliente C - Misturador</t>
        </is>
      </c>
      <c r="G908" t="inlineStr">
        <is>
          <t>Refrigeradores</t>
        </is>
      </c>
      <c r="H908" s="10" t="n">
        <v>175</v>
      </c>
      <c r="I908" s="10">
        <f>IFERROR(T908*H908,0)</f>
        <v/>
      </c>
      <c r="J908" s="11" t="n">
        <v>46070</v>
      </c>
      <c r="K908" s="11" t="n"/>
      <c r="L908" t="inlineStr">
        <is>
          <t>Aguardando devolução</t>
        </is>
      </c>
      <c r="M908">
        <f>IF(L908="","",IFERROR(VLOOKUP(L908,mapGrupoStatus,2,0),"Outros"))</f>
        <v/>
      </c>
      <c r="N908">
        <f>IF(O908="","",IF(O908&lt;=30,"0-30 dias",IF(O908&lt;=60,"31-60 dias",IF(O908&lt;=90,"61-90 dias","Mais de 90 dias"))))</f>
        <v/>
      </c>
      <c r="O908">
        <f>IF(OR(M908="Pendente",M908="Em andamento"),IF(J908="","",TODAY()-J908),"")</f>
        <v/>
      </c>
      <c r="P908" t="n">
        <v>10021</v>
      </c>
      <c r="Q908" t="inlineStr">
        <is>
          <t>Termotec Técnica (10021)</t>
        </is>
      </c>
      <c r="R908" t="inlineStr">
        <is>
          <t>PC-0012</t>
        </is>
      </c>
      <c r="S908" t="inlineStr">
        <is>
          <t>Placa eletrônica modelo 02</t>
        </is>
      </c>
      <c r="T908" t="n">
        <v>1</v>
      </c>
      <c r="U908" t="inlineStr"/>
      <c r="V908">
        <f>IF(J908="","",MONTH(J908))</f>
        <v/>
      </c>
      <c r="W908">
        <f>IF(J908="","",YEAR(J908))</f>
        <v/>
      </c>
      <c r="X908" t="inlineStr"/>
      <c r="Y908">
        <f>IFERROR(INDEX(Rastreio!$H$2:$H$200,MATCH(X908&amp;"|"&amp;U908,Rastreio!$A$2:$A$200,0)),"")</f>
        <v/>
      </c>
    </row>
    <row r="909">
      <c r="A909">
        <f>IFERROR(INDEX(STAs!$G$2:$G$61,MATCH(P909,STAs!$F$2:$F$61,0))&amp;"","")</f>
        <v/>
      </c>
      <c r="B909" t="n">
        <v>20014625</v>
      </c>
      <c r="C909" t="inlineStr">
        <is>
          <t>Não</t>
        </is>
      </c>
      <c r="D909" t="inlineStr">
        <is>
          <t>RJ</t>
        </is>
      </c>
      <c r="E909" t="inlineStr">
        <is>
          <t>SUDESTE RJ e ES</t>
        </is>
      </c>
      <c r="F909" t="inlineStr">
        <is>
          <t>Cliente A - Refrigerador</t>
        </is>
      </c>
      <c r="G909" t="inlineStr">
        <is>
          <t>Chopeiras</t>
        </is>
      </c>
      <c r="H909" s="10" t="n">
        <v>205</v>
      </c>
      <c r="I909" s="10">
        <f>IFERROR(T909*H909,0)</f>
        <v/>
      </c>
      <c r="J909" s="11" t="n">
        <v>46070</v>
      </c>
      <c r="K909" s="11" t="n">
        <v>46126</v>
      </c>
      <c r="L909" t="inlineStr">
        <is>
          <t>Ok. Devolvida</t>
        </is>
      </c>
      <c r="M909">
        <f>IF(L909="","",IFERROR(VLOOKUP(L909,mapGrupoStatus,2,0),"Outros"))</f>
        <v/>
      </c>
      <c r="N909">
        <f>IF(O909="","",IF(O909&lt;=30,"0-30 dias",IF(O909&lt;=60,"31-60 dias",IF(O909&lt;=90,"61-90 dias","Mais de 90 dias"))))</f>
        <v/>
      </c>
      <c r="O909">
        <f>IF(OR(M909="Pendente",M909="Em andamento"),IF(J909="","",TODAY()-J909),"")</f>
        <v/>
      </c>
      <c r="P909" t="n">
        <v>12811</v>
      </c>
      <c r="Q909" t="inlineStr">
        <is>
          <t>Norte Frio Técnica (12811)</t>
        </is>
      </c>
      <c r="R909" t="inlineStr">
        <is>
          <t>PC-0031</t>
        </is>
      </c>
      <c r="S909" t="inlineStr">
        <is>
          <t>Serpentina modelo 03</t>
        </is>
      </c>
      <c r="T909" t="n">
        <v>1</v>
      </c>
      <c r="U909" t="n">
        <v>130</v>
      </c>
      <c r="V909">
        <f>IF(J909="","",MONTH(J909))</f>
        <v/>
      </c>
      <c r="W909">
        <f>IF(J909="","",YEAR(J909))</f>
        <v/>
      </c>
      <c r="X909" t="inlineStr">
        <is>
          <t>ViaCargo</t>
        </is>
      </c>
      <c r="Y909">
        <f>IFERROR(INDEX(Rastreio!$H$2:$H$200,MATCH(X909&amp;"|"&amp;U909,Rastreio!$A$2:$A$200,0)),"")</f>
        <v/>
      </c>
    </row>
    <row r="910">
      <c r="A910">
        <f>IFERROR(INDEX(STAs!$G$2:$G$61,MATCH(P910,STAs!$F$2:$F$61,0))&amp;"","")</f>
        <v/>
      </c>
      <c r="B910" t="n">
        <v>20016326</v>
      </c>
      <c r="C910" t="inlineStr">
        <is>
          <t>Não</t>
        </is>
      </c>
      <c r="D910" t="inlineStr">
        <is>
          <t>BA</t>
        </is>
      </c>
      <c r="E910" t="inlineStr">
        <is>
          <t>NORDESTE</t>
        </is>
      </c>
      <c r="F910" t="inlineStr">
        <is>
          <t>Cliente B - Chopeira</t>
        </is>
      </c>
      <c r="G910" t="inlineStr">
        <is>
          <t>Chopeiras</t>
        </is>
      </c>
      <c r="H910" s="10" t="n">
        <v>85</v>
      </c>
      <c r="I910" s="10">
        <f>IFERROR(T910*H910,0)</f>
        <v/>
      </c>
      <c r="J910" s="11" t="n">
        <v>46070</v>
      </c>
      <c r="K910" s="11" t="n"/>
      <c r="L910" t="inlineStr">
        <is>
          <t>Em andamento</t>
        </is>
      </c>
      <c r="M910">
        <f>IF(L910="","",IFERROR(VLOOKUP(L910,mapGrupoStatus,2,0),"Outros"))</f>
        <v/>
      </c>
      <c r="N910">
        <f>IF(O910="","",IF(O910&lt;=30,"0-30 dias",IF(O910&lt;=60,"31-60 dias",IF(O910&lt;=90,"61-90 dias","Mais de 90 dias"))))</f>
        <v/>
      </c>
      <c r="O910">
        <f>IF(OR(M910="Pendente",M910="Em andamento"),IF(J910="","",TODAY()-J910),"")</f>
        <v/>
      </c>
      <c r="P910" t="n">
        <v>12194</v>
      </c>
      <c r="Q910" t="inlineStr">
        <is>
          <t>Polar &amp; Cia (12194)</t>
        </is>
      </c>
      <c r="R910" t="inlineStr">
        <is>
          <t>PC-0035</t>
        </is>
      </c>
      <c r="S910" t="inlineStr">
        <is>
          <t>Válvula extratora modelo 01</t>
        </is>
      </c>
      <c r="T910" t="n">
        <v>3</v>
      </c>
      <c r="U910" t="n">
        <v>131</v>
      </c>
      <c r="V910">
        <f>IF(J910="","",MONTH(J910))</f>
        <v/>
      </c>
      <c r="W910">
        <f>IF(J910="","",YEAR(J910))</f>
        <v/>
      </c>
      <c r="X910" t="inlineStr">
        <is>
          <t>ViaCargo</t>
        </is>
      </c>
      <c r="Y910">
        <f>IFERROR(INDEX(Rastreio!$H$2:$H$200,MATCH(X910&amp;"|"&amp;U910,Rastreio!$A$2:$A$200,0)),"")</f>
        <v/>
      </c>
    </row>
    <row r="911">
      <c r="A911">
        <f>IFERROR(INDEX(STAs!$G$2:$G$61,MATCH(P911,STAs!$F$2:$F$61,0))&amp;"","")</f>
        <v/>
      </c>
      <c r="B911" t="n">
        <v>20022280</v>
      </c>
      <c r="C911" t="inlineStr">
        <is>
          <t>Não</t>
        </is>
      </c>
      <c r="D911" t="inlineStr">
        <is>
          <t>TO</t>
        </is>
      </c>
      <c r="E911" t="inlineStr">
        <is>
          <t>NORTE</t>
        </is>
      </c>
      <c r="F911" t="inlineStr">
        <is>
          <t>Cliente A - Refrigerador</t>
        </is>
      </c>
      <c r="G911" t="inlineStr">
        <is>
          <t>Refrigeradores</t>
        </is>
      </c>
      <c r="H911" s="10" t="n">
        <v>315</v>
      </c>
      <c r="I911" s="10">
        <f>IFERROR(T911*H911,0)</f>
        <v/>
      </c>
      <c r="J911" s="11" t="n">
        <v>46070</v>
      </c>
      <c r="K911" s="11" t="n"/>
      <c r="L911" t="inlineStr">
        <is>
          <t>Não Devolve-Norte</t>
        </is>
      </c>
      <c r="M911">
        <f>IF(L911="","",IFERROR(VLOOKUP(L911,mapGrupoStatus,2,0),"Outros"))</f>
        <v/>
      </c>
      <c r="N911">
        <f>IF(O911="","",IF(O911&lt;=30,"0-30 dias",IF(O911&lt;=60,"31-60 dias",IF(O911&lt;=90,"61-90 dias","Mais de 90 dias"))))</f>
        <v/>
      </c>
      <c r="O911">
        <f>IF(OR(M911="Pendente",M911="Em andamento"),IF(J911="","",TODAY()-J911),"")</f>
        <v/>
      </c>
      <c r="P911" t="n">
        <v>10939</v>
      </c>
      <c r="Q911" t="inlineStr">
        <is>
          <t>Zero Grau Manutenção (10939)</t>
        </is>
      </c>
      <c r="R911" t="inlineStr">
        <is>
          <t>PC-0002</t>
        </is>
      </c>
      <c r="S911" t="inlineStr">
        <is>
          <t>Compressor modelo 02</t>
        </is>
      </c>
      <c r="T911" t="n">
        <v>2</v>
      </c>
      <c r="U911" t="inlineStr"/>
      <c r="V911">
        <f>IF(J911="","",MONTH(J911))</f>
        <v/>
      </c>
      <c r="W911">
        <f>IF(J911="","",YEAR(J911))</f>
        <v/>
      </c>
      <c r="X911" t="inlineStr"/>
      <c r="Y911">
        <f>IFERROR(INDEX(Rastreio!$H$2:$H$200,MATCH(X911&amp;"|"&amp;U911,Rastreio!$A$2:$A$200,0)),"")</f>
        <v/>
      </c>
    </row>
    <row r="912">
      <c r="A912">
        <f>IFERROR(INDEX(STAs!$G$2:$G$61,MATCH(P912,STAs!$F$2:$F$61,0))&amp;"","")</f>
        <v/>
      </c>
      <c r="B912" t="n">
        <v>20022843</v>
      </c>
      <c r="C912" t="inlineStr">
        <is>
          <t>Não</t>
        </is>
      </c>
      <c r="D912" t="inlineStr">
        <is>
          <t>PR</t>
        </is>
      </c>
      <c r="E912" t="inlineStr">
        <is>
          <t>SUL</t>
        </is>
      </c>
      <c r="F912" t="inlineStr">
        <is>
          <t>Cliente A - Refrigerador</t>
        </is>
      </c>
      <c r="G912" t="inlineStr">
        <is>
          <t>Refrigeradores</t>
        </is>
      </c>
      <c r="H912" s="10" t="n">
        <v>40</v>
      </c>
      <c r="I912" s="10">
        <f>IFERROR(T912*H912,0)</f>
        <v/>
      </c>
      <c r="J912" s="11" t="n">
        <v>46070</v>
      </c>
      <c r="K912" s="11" t="n"/>
      <c r="L912" t="inlineStr">
        <is>
          <t>Aguardando devolução</t>
        </is>
      </c>
      <c r="M912">
        <f>IF(L912="","",IFERROR(VLOOKUP(L912,mapGrupoStatus,2,0),"Outros"))</f>
        <v/>
      </c>
      <c r="N912">
        <f>IF(O912="","",IF(O912&lt;=30,"0-30 dias",IF(O912&lt;=60,"31-60 dias",IF(O912&lt;=90,"61-90 dias","Mais de 90 dias"))))</f>
        <v/>
      </c>
      <c r="O912">
        <f>IF(OR(M912="Pendente",M912="Em andamento"),IF(J912="","",TODAY()-J912),"")</f>
        <v/>
      </c>
      <c r="P912" t="n">
        <v>11898</v>
      </c>
      <c r="Q912" t="inlineStr">
        <is>
          <t>Refrigel Express (11898)</t>
        </is>
      </c>
      <c r="R912" t="inlineStr">
        <is>
          <t>PC-0004</t>
        </is>
      </c>
      <c r="S912" t="inlineStr">
        <is>
          <t>Termostato modelo 01</t>
        </is>
      </c>
      <c r="T912" t="n">
        <v>1</v>
      </c>
      <c r="U912" t="inlineStr"/>
      <c r="V912">
        <f>IF(J912="","",MONTH(J912))</f>
        <v/>
      </c>
      <c r="W912">
        <f>IF(J912="","",YEAR(J912))</f>
        <v/>
      </c>
      <c r="X912" t="inlineStr"/>
      <c r="Y912">
        <f>IFERROR(INDEX(Rastreio!$H$2:$H$200,MATCH(X912&amp;"|"&amp;U912,Rastreio!$A$2:$A$200,0)),"")</f>
        <v/>
      </c>
    </row>
    <row r="913">
      <c r="A913">
        <f>IFERROR(INDEX(STAs!$G$2:$G$61,MATCH(P913,STAs!$F$2:$F$61,0))&amp;"","")</f>
        <v/>
      </c>
      <c r="B913" t="n">
        <v>20029759</v>
      </c>
      <c r="C913" t="inlineStr">
        <is>
          <t>Não</t>
        </is>
      </c>
      <c r="D913" t="inlineStr">
        <is>
          <t>RR</t>
        </is>
      </c>
      <c r="E913" t="inlineStr">
        <is>
          <t>NORTE</t>
        </is>
      </c>
      <c r="F913" t="inlineStr">
        <is>
          <t>Cliente A - Refrigerador</t>
        </is>
      </c>
      <c r="G913" t="inlineStr">
        <is>
          <t>Refrigeradores</t>
        </is>
      </c>
      <c r="H913" s="10" t="n">
        <v>190</v>
      </c>
      <c r="I913" s="10">
        <f>IFERROR(T913*H913,0)</f>
        <v/>
      </c>
      <c r="J913" s="11" t="n">
        <v>46070</v>
      </c>
      <c r="K913" s="11" t="n">
        <v>46090</v>
      </c>
      <c r="L913" t="inlineStr">
        <is>
          <t>Ok. Devolvida</t>
        </is>
      </c>
      <c r="M913">
        <f>IF(L913="","",IFERROR(VLOOKUP(L913,mapGrupoStatus,2,0),"Outros"))</f>
        <v/>
      </c>
      <c r="N913">
        <f>IF(O913="","",IF(O913&lt;=30,"0-30 dias",IF(O913&lt;=60,"31-60 dias",IF(O913&lt;=90,"61-90 dias","Mais de 90 dias"))))</f>
        <v/>
      </c>
      <c r="O913">
        <f>IF(OR(M913="Pendente",M913="Em andamento"),IF(J913="","",TODAY()-J913),"")</f>
        <v/>
      </c>
      <c r="P913" t="n">
        <v>12422</v>
      </c>
      <c r="Q913" t="inlineStr">
        <is>
          <t>Assistência Técnica Refrigeração (12422)</t>
        </is>
      </c>
      <c r="R913" t="inlineStr">
        <is>
          <t>PC-0011</t>
        </is>
      </c>
      <c r="S913" t="inlineStr">
        <is>
          <t>Placa eletrônica modelo 01</t>
        </is>
      </c>
      <c r="T913" t="n">
        <v>1</v>
      </c>
      <c r="U913" t="n">
        <v>157</v>
      </c>
      <c r="V913">
        <f>IF(J913="","",MONTH(J913))</f>
        <v/>
      </c>
      <c r="W913">
        <f>IF(J913="","",YEAR(J913))</f>
        <v/>
      </c>
      <c r="X913" t="inlineStr">
        <is>
          <t>LogExpress</t>
        </is>
      </c>
      <c r="Y913">
        <f>IFERROR(INDEX(Rastreio!$H$2:$H$200,MATCH(X913&amp;"|"&amp;U913,Rastreio!$A$2:$A$200,0)),"")</f>
        <v/>
      </c>
    </row>
    <row r="914">
      <c r="A914">
        <f>IFERROR(INDEX(STAs!$G$2:$G$61,MATCH(P914,STAs!$F$2:$F$61,0))&amp;"","")</f>
        <v/>
      </c>
      <c r="B914" t="n">
        <v>20012995</v>
      </c>
      <c r="C914" t="inlineStr">
        <is>
          <t>Não</t>
        </is>
      </c>
      <c r="D914" t="inlineStr">
        <is>
          <t>PI</t>
        </is>
      </c>
      <c r="E914" t="inlineStr">
        <is>
          <t>NORDESTE</t>
        </is>
      </c>
      <c r="F914" t="inlineStr">
        <is>
          <t>Cliente C - Misturador</t>
        </is>
      </c>
      <c r="G914" t="inlineStr">
        <is>
          <t>Chopeiras</t>
        </is>
      </c>
      <c r="H914" s="10" t="n">
        <v>115</v>
      </c>
      <c r="I914" s="10">
        <f>IFERROR(T914*H914,0)</f>
        <v/>
      </c>
      <c r="J914" s="11" t="n">
        <v>46071</v>
      </c>
      <c r="K914" s="11" t="n">
        <v>46123</v>
      </c>
      <c r="L914" t="inlineStr">
        <is>
          <t>Ok. Devolvida</t>
        </is>
      </c>
      <c r="M914">
        <f>IF(L914="","",IFERROR(VLOOKUP(L914,mapGrupoStatus,2,0),"Outros"))</f>
        <v/>
      </c>
      <c r="N914">
        <f>IF(O914="","",IF(O914&lt;=30,"0-30 dias",IF(O914&lt;=60,"31-60 dias",IF(O914&lt;=90,"61-90 dias","Mais de 90 dias"))))</f>
        <v/>
      </c>
      <c r="O914">
        <f>IF(OR(M914="Pendente",M914="Em andamento"),IF(J914="","",TODAY()-J914),"")</f>
        <v/>
      </c>
      <c r="P914" t="n">
        <v>12936</v>
      </c>
      <c r="Q914" t="inlineStr">
        <is>
          <t>Frigo Técnica (12936)</t>
        </is>
      </c>
      <c r="R914" t="inlineStr">
        <is>
          <t>PC-0034</t>
        </is>
      </c>
      <c r="S914" t="inlineStr">
        <is>
          <t>Regulador de pressão modelo 03</t>
        </is>
      </c>
      <c r="T914" t="n">
        <v>1</v>
      </c>
      <c r="U914" t="n">
        <v>123</v>
      </c>
      <c r="V914">
        <f>IF(J914="","",MONTH(J914))</f>
        <v/>
      </c>
      <c r="W914">
        <f>IF(J914="","",YEAR(J914))</f>
        <v/>
      </c>
      <c r="X914" t="inlineStr">
        <is>
          <t>TransNorte</t>
        </is>
      </c>
      <c r="Y914">
        <f>IFERROR(INDEX(Rastreio!$H$2:$H$200,MATCH(X914&amp;"|"&amp;U914,Rastreio!$A$2:$A$200,0)),"")</f>
        <v/>
      </c>
    </row>
    <row r="915">
      <c r="A915">
        <f>IFERROR(INDEX(STAs!$G$2:$G$61,MATCH(P915,STAs!$F$2:$F$61,0))&amp;"","")</f>
        <v/>
      </c>
      <c r="B915" t="n">
        <v>20013949</v>
      </c>
      <c r="C915" t="inlineStr">
        <is>
          <t>Não</t>
        </is>
      </c>
      <c r="D915" t="inlineStr">
        <is>
          <t>SP</t>
        </is>
      </c>
      <c r="E915" t="inlineStr">
        <is>
          <t>SUDESTE SP</t>
        </is>
      </c>
      <c r="F915" t="inlineStr">
        <is>
          <t>Cliente C - Misturador</t>
        </is>
      </c>
      <c r="G915" t="inlineStr">
        <is>
          <t>Misturadores</t>
        </is>
      </c>
      <c r="H915" s="10" t="n">
        <v>255</v>
      </c>
      <c r="I915" s="10">
        <f>IFERROR(T915*H915,0)</f>
        <v/>
      </c>
      <c r="J915" s="11" t="n">
        <v>46071</v>
      </c>
      <c r="K915" s="11" t="n">
        <v>46078</v>
      </c>
      <c r="L915" t="inlineStr">
        <is>
          <t>Ok. Devolvida</t>
        </is>
      </c>
      <c r="M915">
        <f>IF(L915="","",IFERROR(VLOOKUP(L915,mapGrupoStatus,2,0),"Outros"))</f>
        <v/>
      </c>
      <c r="N915">
        <f>IF(O915="","",IF(O915&lt;=30,"0-30 dias",IF(O915&lt;=60,"31-60 dias",IF(O915&lt;=90,"61-90 dias","Mais de 90 dias"))))</f>
        <v/>
      </c>
      <c r="O915">
        <f>IF(OR(M915="Pendente",M915="Em andamento"),IF(J915="","",TODAY()-J915),"")</f>
        <v/>
      </c>
      <c r="P915" t="n">
        <v>12052</v>
      </c>
      <c r="Q915" t="inlineStr">
        <is>
          <t>Brisa Refrigeração (12052)</t>
        </is>
      </c>
      <c r="R915" t="inlineStr">
        <is>
          <t>PC-0039</t>
        </is>
      </c>
      <c r="S915" t="inlineStr">
        <is>
          <t>Bomba de recirculação modelo 03</t>
        </is>
      </c>
      <c r="T915" t="n">
        <v>1</v>
      </c>
      <c r="U915" t="n">
        <v>125</v>
      </c>
      <c r="V915">
        <f>IF(J915="","",MONTH(J915))</f>
        <v/>
      </c>
      <c r="W915">
        <f>IF(J915="","",YEAR(J915))</f>
        <v/>
      </c>
      <c r="X915" t="inlineStr">
        <is>
          <t>LogExpress</t>
        </is>
      </c>
      <c r="Y915">
        <f>IFERROR(INDEX(Rastreio!$H$2:$H$200,MATCH(X915&amp;"|"&amp;U915,Rastreio!$A$2:$A$200,0)),"")</f>
        <v/>
      </c>
    </row>
    <row r="916">
      <c r="A916">
        <f>IFERROR(INDEX(STAs!$G$2:$G$61,MATCH(P916,STAs!$F$2:$F$61,0))&amp;"","")</f>
        <v/>
      </c>
      <c r="B916" t="n">
        <v>20014058</v>
      </c>
      <c r="C916" t="inlineStr">
        <is>
          <t>Não</t>
        </is>
      </c>
      <c r="D916" t="inlineStr">
        <is>
          <t>PR</t>
        </is>
      </c>
      <c r="E916" t="inlineStr">
        <is>
          <t>SUL</t>
        </is>
      </c>
      <c r="F916" t="inlineStr">
        <is>
          <t>Cliente C - Misturador</t>
        </is>
      </c>
      <c r="G916" t="inlineStr">
        <is>
          <t>Refrigeradores</t>
        </is>
      </c>
      <c r="H916" s="10" t="n">
        <v>35</v>
      </c>
      <c r="I916" s="10">
        <f>IFERROR(T916*H916,0)</f>
        <v/>
      </c>
      <c r="J916" s="11" t="n">
        <v>46071</v>
      </c>
      <c r="K916" s="11" t="n"/>
      <c r="L916" t="inlineStr">
        <is>
          <t>Aguardando devolução</t>
        </is>
      </c>
      <c r="M916">
        <f>IF(L916="","",IFERROR(VLOOKUP(L916,mapGrupoStatus,2,0),"Outros"))</f>
        <v/>
      </c>
      <c r="N916">
        <f>IF(O916="","",IF(O916&lt;=30,"0-30 dias",IF(O916&lt;=60,"31-60 dias",IF(O916&lt;=90,"61-90 dias","Mais de 90 dias"))))</f>
        <v/>
      </c>
      <c r="O916">
        <f>IF(OR(M916="Pendente",M916="Em andamento"),IF(J916="","",TODAY()-J916),"")</f>
        <v/>
      </c>
      <c r="P916" t="n">
        <v>11898</v>
      </c>
      <c r="Q916" t="inlineStr">
        <is>
          <t>Refrigel Express (11898)</t>
        </is>
      </c>
      <c r="R916" t="inlineStr">
        <is>
          <t>PC-0023</t>
        </is>
      </c>
      <c r="S916" t="inlineStr">
        <is>
          <t>Relé de partida modelo 01</t>
        </is>
      </c>
      <c r="T916" t="n">
        <v>1</v>
      </c>
      <c r="U916" t="inlineStr"/>
      <c r="V916">
        <f>IF(J916="","",MONTH(J916))</f>
        <v/>
      </c>
      <c r="W916">
        <f>IF(J916="","",YEAR(J916))</f>
        <v/>
      </c>
      <c r="X916" t="inlineStr"/>
      <c r="Y916">
        <f>IFERROR(INDEX(Rastreio!$H$2:$H$200,MATCH(X916&amp;"|"&amp;U916,Rastreio!$A$2:$A$200,0)),"")</f>
        <v/>
      </c>
    </row>
    <row r="917">
      <c r="A917">
        <f>IFERROR(INDEX(STAs!$G$2:$G$61,MATCH(P917,STAs!$F$2:$F$61,0))&amp;"","")</f>
        <v/>
      </c>
      <c r="B917" t="n">
        <v>20022183</v>
      </c>
      <c r="C917" t="inlineStr">
        <is>
          <t>Não</t>
        </is>
      </c>
      <c r="D917" t="inlineStr">
        <is>
          <t>SP</t>
        </is>
      </c>
      <c r="E917" t="inlineStr">
        <is>
          <t>SUDESTE SP</t>
        </is>
      </c>
      <c r="F917" t="inlineStr">
        <is>
          <t>Cliente C - Misturador</t>
        </is>
      </c>
      <c r="G917" t="inlineStr">
        <is>
          <t>Misturadores</t>
        </is>
      </c>
      <c r="H917" s="10" t="n">
        <v>50</v>
      </c>
      <c r="I917" s="10">
        <f>IFERROR(T917*H917,0)</f>
        <v/>
      </c>
      <c r="J917" s="11" t="n">
        <v>46071</v>
      </c>
      <c r="K917" s="11" t="n">
        <v>46124</v>
      </c>
      <c r="L917" t="inlineStr">
        <is>
          <t>Ok. Devolvida</t>
        </is>
      </c>
      <c r="M917">
        <f>IF(L917="","",IFERROR(VLOOKUP(L917,mapGrupoStatus,2,0),"Outros"))</f>
        <v/>
      </c>
      <c r="N917">
        <f>IF(O917="","",IF(O917&lt;=30,"0-30 dias",IF(O917&lt;=60,"31-60 dias",IF(O917&lt;=90,"61-90 dias","Mais de 90 dias"))))</f>
        <v/>
      </c>
      <c r="O917">
        <f>IF(OR(M917="Pendente",M917="Em andamento"),IF(J917="","",TODAY()-J917),"")</f>
        <v/>
      </c>
      <c r="P917" t="n">
        <v>12052</v>
      </c>
      <c r="Q917" t="inlineStr">
        <is>
          <t>Brisa Refrigeração (12052)</t>
        </is>
      </c>
      <c r="R917" t="inlineStr">
        <is>
          <t>PC-0045</t>
        </is>
      </c>
      <c r="S917" t="inlineStr">
        <is>
          <t>Sensor de nível modelo 01</t>
        </is>
      </c>
      <c r="T917" t="n">
        <v>1</v>
      </c>
      <c r="U917" t="n">
        <v>133</v>
      </c>
      <c r="V917">
        <f>IF(J917="","",MONTH(J917))</f>
        <v/>
      </c>
      <c r="W917">
        <f>IF(J917="","",YEAR(J917))</f>
        <v/>
      </c>
      <c r="X917" t="inlineStr">
        <is>
          <t>EntregaJá</t>
        </is>
      </c>
      <c r="Y917">
        <f>IFERROR(INDEX(Rastreio!$H$2:$H$200,MATCH(X917&amp;"|"&amp;U917,Rastreio!$A$2:$A$200,0)),"")</f>
        <v/>
      </c>
    </row>
    <row r="918">
      <c r="A918">
        <f>IFERROR(INDEX(STAs!$G$2:$G$61,MATCH(P918,STAs!$F$2:$F$61,0))&amp;"","")</f>
        <v/>
      </c>
      <c r="B918" t="n">
        <v>20030026</v>
      </c>
      <c r="C918" t="inlineStr">
        <is>
          <t>Não</t>
        </is>
      </c>
      <c r="D918" t="inlineStr">
        <is>
          <t>PB</t>
        </is>
      </c>
      <c r="E918" t="inlineStr">
        <is>
          <t>NORDESTE</t>
        </is>
      </c>
      <c r="F918" t="inlineStr">
        <is>
          <t>Cliente A - Refrigerador</t>
        </is>
      </c>
      <c r="G918" t="inlineStr">
        <is>
          <t>Refrigeradores</t>
        </is>
      </c>
      <c r="H918" s="10" t="n">
        <v>55</v>
      </c>
      <c r="I918" s="10">
        <f>IFERROR(T918*H918,0)</f>
        <v/>
      </c>
      <c r="J918" s="11" t="n">
        <v>46071</v>
      </c>
      <c r="K918" s="11" t="n">
        <v>46116</v>
      </c>
      <c r="L918" t="inlineStr">
        <is>
          <t>Ok. Devolvida</t>
        </is>
      </c>
      <c r="M918">
        <f>IF(L918="","",IFERROR(VLOOKUP(L918,mapGrupoStatus,2,0),"Outros"))</f>
        <v/>
      </c>
      <c r="N918">
        <f>IF(O918="","",IF(O918&lt;=30,"0-30 dias",IF(O918&lt;=60,"31-60 dias",IF(O918&lt;=90,"61-90 dias","Mais de 90 dias"))))</f>
        <v/>
      </c>
      <c r="O918">
        <f>IF(OR(M918="Pendente",M918="Em andamento"),IF(J918="","",TODAY()-J918),"")</f>
        <v/>
      </c>
      <c r="P918" t="n">
        <v>11741</v>
      </c>
      <c r="Q918" t="inlineStr">
        <is>
          <t>Clima Refrigeração (11741)</t>
        </is>
      </c>
      <c r="R918" t="inlineStr">
        <is>
          <t>PC-0007</t>
        </is>
      </c>
      <c r="S918" t="inlineStr">
        <is>
          <t>Ventilador modelo 01</t>
        </is>
      </c>
      <c r="T918" t="n">
        <v>1</v>
      </c>
      <c r="U918" t="n">
        <v>158</v>
      </c>
      <c r="V918">
        <f>IF(J918="","",MONTH(J918))</f>
        <v/>
      </c>
      <c r="W918">
        <f>IF(J918="","",YEAR(J918))</f>
        <v/>
      </c>
      <c r="X918" t="inlineStr">
        <is>
          <t>LogExpress</t>
        </is>
      </c>
      <c r="Y918">
        <f>IFERROR(INDEX(Rastreio!$H$2:$H$200,MATCH(X918&amp;"|"&amp;U918,Rastreio!$A$2:$A$200,0)),"")</f>
        <v/>
      </c>
    </row>
    <row r="919">
      <c r="A919">
        <f>IFERROR(INDEX(STAs!$G$2:$G$61,MATCH(P919,STAs!$F$2:$F$61,0))&amp;"","")</f>
        <v/>
      </c>
      <c r="B919" t="n">
        <v>20019711</v>
      </c>
      <c r="C919" t="inlineStr">
        <is>
          <t>Não</t>
        </is>
      </c>
      <c r="D919" t="inlineStr">
        <is>
          <t>MS</t>
        </is>
      </c>
      <c r="E919" t="inlineStr">
        <is>
          <t>CENTRO OESTE</t>
        </is>
      </c>
      <c r="F919" t="inlineStr">
        <is>
          <t>Cliente C - Misturador</t>
        </is>
      </c>
      <c r="G919" t="inlineStr">
        <is>
          <t>Refrigeradores</t>
        </is>
      </c>
      <c r="H919" s="10" t="n">
        <v>330</v>
      </c>
      <c r="I919" s="10">
        <f>IFERROR(T919*H919,0)</f>
        <v/>
      </c>
      <c r="J919" s="11" t="n">
        <v>46072</v>
      </c>
      <c r="K919" s="11" t="n">
        <v>46123</v>
      </c>
      <c r="L919" t="inlineStr">
        <is>
          <t>Ok. Devolvida</t>
        </is>
      </c>
      <c r="M919">
        <f>IF(L919="","",IFERROR(VLOOKUP(L919,mapGrupoStatus,2,0),"Outros"))</f>
        <v/>
      </c>
      <c r="N919">
        <f>IF(O919="","",IF(O919&lt;=30,"0-30 dias",IF(O919&lt;=60,"31-60 dias",IF(O919&lt;=90,"61-90 dias","Mais de 90 dias"))))</f>
        <v/>
      </c>
      <c r="O919">
        <f>IF(OR(M919="Pendente",M919="Em andamento"),IF(J919="","",TODAY()-J919),"")</f>
        <v/>
      </c>
      <c r="P919" t="n">
        <v>10302</v>
      </c>
      <c r="Q919" t="inlineStr">
        <is>
          <t>Ice Tech Express (10302)</t>
        </is>
      </c>
      <c r="R919" t="inlineStr">
        <is>
          <t>PC-0003</t>
        </is>
      </c>
      <c r="S919" t="inlineStr">
        <is>
          <t>Compressor modelo 03</t>
        </is>
      </c>
      <c r="T919" t="n">
        <v>3</v>
      </c>
      <c r="U919" t="n">
        <v>128</v>
      </c>
      <c r="V919">
        <f>IF(J919="","",MONTH(J919))</f>
        <v/>
      </c>
      <c r="W919">
        <f>IF(J919="","",YEAR(J919))</f>
        <v/>
      </c>
      <c r="X919" t="inlineStr">
        <is>
          <t>EntregaJá</t>
        </is>
      </c>
      <c r="Y919">
        <f>IFERROR(INDEX(Rastreio!$H$2:$H$200,MATCH(X919&amp;"|"&amp;U919,Rastreio!$A$2:$A$200,0)),"")</f>
        <v/>
      </c>
    </row>
    <row r="920">
      <c r="A920">
        <f>IFERROR(INDEX(STAs!$G$2:$G$61,MATCH(P920,STAs!$F$2:$F$61,0))&amp;"","")</f>
        <v/>
      </c>
      <c r="B920" t="n">
        <v>20021033</v>
      </c>
      <c r="C920" t="inlineStr">
        <is>
          <t>Não</t>
        </is>
      </c>
      <c r="D920" t="inlineStr">
        <is>
          <t>ES</t>
        </is>
      </c>
      <c r="E920" t="inlineStr">
        <is>
          <t>SUDESTE RJ e ES</t>
        </is>
      </c>
      <c r="F920" t="inlineStr">
        <is>
          <t>Cliente A - Refrigerador</t>
        </is>
      </c>
      <c r="G920" t="inlineStr">
        <is>
          <t>Misturadores</t>
        </is>
      </c>
      <c r="H920" s="10" t="n">
        <v>265</v>
      </c>
      <c r="I920" s="10">
        <f>IFERROR(T920*H920,0)</f>
        <v/>
      </c>
      <c r="J920" s="11" t="n">
        <v>46072</v>
      </c>
      <c r="K920" s="11" t="n"/>
      <c r="L920" t="inlineStr">
        <is>
          <t>Em transporte</t>
        </is>
      </c>
      <c r="M920">
        <f>IF(L920="","",IFERROR(VLOOKUP(L920,mapGrupoStatus,2,0),"Outros"))</f>
        <v/>
      </c>
      <c r="N920">
        <f>IF(O920="","",IF(O920&lt;=30,"0-30 dias",IF(O920&lt;=60,"31-60 dias",IF(O920&lt;=90,"61-90 dias","Mais de 90 dias"))))</f>
        <v/>
      </c>
      <c r="O920">
        <f>IF(OR(M920="Pendente",M920="Em andamento"),IF(J920="","",TODAY()-J920),"")</f>
        <v/>
      </c>
      <c r="P920" t="n">
        <v>11099</v>
      </c>
      <c r="Q920" t="inlineStr">
        <is>
          <t>Refrigel Serviços (11099)</t>
        </is>
      </c>
      <c r="R920" t="inlineStr">
        <is>
          <t>PC-0038</t>
        </is>
      </c>
      <c r="S920" t="inlineStr">
        <is>
          <t>Bomba de recirculação modelo 02</t>
        </is>
      </c>
      <c r="T920" t="n">
        <v>1</v>
      </c>
      <c r="U920" t="n">
        <v>132</v>
      </c>
      <c r="V920">
        <f>IF(J920="","",MONTH(J920))</f>
        <v/>
      </c>
      <c r="W920">
        <f>IF(J920="","",YEAR(J920))</f>
        <v/>
      </c>
      <c r="X920" t="inlineStr">
        <is>
          <t>RotaSul</t>
        </is>
      </c>
      <c r="Y920">
        <f>IFERROR(INDEX(Rastreio!$H$2:$H$200,MATCH(X920&amp;"|"&amp;U920,Rastreio!$A$2:$A$200,0)),"")</f>
        <v/>
      </c>
    </row>
    <row r="921">
      <c r="A921">
        <f>IFERROR(INDEX(STAs!$G$2:$G$61,MATCH(P921,STAs!$F$2:$F$61,0))&amp;"","")</f>
        <v/>
      </c>
      <c r="B921" t="n">
        <v>20025870</v>
      </c>
      <c r="C921" t="inlineStr">
        <is>
          <t>Não</t>
        </is>
      </c>
      <c r="D921" t="inlineStr">
        <is>
          <t>SP</t>
        </is>
      </c>
      <c r="E921" t="inlineStr">
        <is>
          <t>SUDESTE SP</t>
        </is>
      </c>
      <c r="F921" t="inlineStr">
        <is>
          <t>Cliente A - Refrigerador</t>
        </is>
      </c>
      <c r="G921" t="inlineStr">
        <is>
          <t>Chopeiras</t>
        </is>
      </c>
      <c r="H921" s="10" t="n">
        <v>85</v>
      </c>
      <c r="I921" s="10">
        <f>IFERROR(T921*H921,0)</f>
        <v/>
      </c>
      <c r="J921" s="11" t="n">
        <v>46072</v>
      </c>
      <c r="K921" s="11" t="n">
        <v>46088</v>
      </c>
      <c r="L921" t="inlineStr">
        <is>
          <t>Ok. Devolvida</t>
        </is>
      </c>
      <c r="M921">
        <f>IF(L921="","",IFERROR(VLOOKUP(L921,mapGrupoStatus,2,0),"Outros"))</f>
        <v/>
      </c>
      <c r="N921">
        <f>IF(O921="","",IF(O921&lt;=30,"0-30 dias",IF(O921&lt;=60,"31-60 dias",IF(O921&lt;=90,"61-90 dias","Mais de 90 dias"))))</f>
        <v/>
      </c>
      <c r="O921">
        <f>IF(OR(M921="Pendente",M921="Em andamento"),IF(J921="","",TODAY()-J921),"")</f>
        <v/>
      </c>
      <c r="P921" t="n">
        <v>11710</v>
      </c>
      <c r="Q921" t="inlineStr">
        <is>
          <t>Brisa &amp; Cia (11710)</t>
        </is>
      </c>
      <c r="R921" t="inlineStr">
        <is>
          <t>PC-0028</t>
        </is>
      </c>
      <c r="S921" t="inlineStr">
        <is>
          <t>Torneira de chopp modelo 03</t>
        </is>
      </c>
      <c r="T921" t="n">
        <v>1</v>
      </c>
      <c r="U921" t="n">
        <v>145</v>
      </c>
      <c r="V921">
        <f>IF(J921="","",MONTH(J921))</f>
        <v/>
      </c>
      <c r="W921">
        <f>IF(J921="","",YEAR(J921))</f>
        <v/>
      </c>
      <c r="X921" t="inlineStr">
        <is>
          <t>RotaSul</t>
        </is>
      </c>
      <c r="Y921">
        <f>IFERROR(INDEX(Rastreio!$H$2:$H$200,MATCH(X921&amp;"|"&amp;U921,Rastreio!$A$2:$A$200,0)),"")</f>
        <v/>
      </c>
    </row>
    <row r="922">
      <c r="A922">
        <f>IFERROR(INDEX(STAs!$G$2:$G$61,MATCH(P922,STAs!$F$2:$F$61,0))&amp;"","")</f>
        <v/>
      </c>
      <c r="B922" t="n">
        <v>20035476</v>
      </c>
      <c r="C922" t="inlineStr">
        <is>
          <t>Não</t>
        </is>
      </c>
      <c r="D922" t="inlineStr">
        <is>
          <t>SP</t>
        </is>
      </c>
      <c r="E922" t="inlineStr">
        <is>
          <t>SUDESTE SP</t>
        </is>
      </c>
      <c r="F922" t="inlineStr">
        <is>
          <t>Cliente B - Chopeira</t>
        </is>
      </c>
      <c r="G922" t="inlineStr">
        <is>
          <t>Misturadores</t>
        </is>
      </c>
      <c r="H922" s="10" t="n">
        <v>185</v>
      </c>
      <c r="I922" s="10">
        <f>IFERROR(T922*H922,0)</f>
        <v/>
      </c>
      <c r="J922" s="11" t="n">
        <v>46072</v>
      </c>
      <c r="K922" s="11" t="n"/>
      <c r="L922" t="inlineStr">
        <is>
          <t>Em andamento</t>
        </is>
      </c>
      <c r="M922">
        <f>IF(L922="","",IFERROR(VLOOKUP(L922,mapGrupoStatus,2,0),"Outros"))</f>
        <v/>
      </c>
      <c r="N922">
        <f>IF(O922="","",IF(O922&lt;=30,"0-30 dias",IF(O922&lt;=60,"31-60 dias",IF(O922&lt;=90,"61-90 dias","Mais de 90 dias"))))</f>
        <v/>
      </c>
      <c r="O922">
        <f>IF(OR(M922="Pendente",M922="Em andamento"),IF(J922="","",TODAY()-J922),"")</f>
        <v/>
      </c>
      <c r="P922" t="n">
        <v>10538</v>
      </c>
      <c r="Q922" t="inlineStr">
        <is>
          <t>Frio Refrigeração (10538)</t>
        </is>
      </c>
      <c r="R922" t="inlineStr">
        <is>
          <t>PC-0041</t>
        </is>
      </c>
      <c r="S922" t="inlineStr">
        <is>
          <t>Motor agitador modelo 02</t>
        </is>
      </c>
      <c r="T922" t="n">
        <v>1</v>
      </c>
      <c r="U922" t="n">
        <v>165</v>
      </c>
      <c r="V922">
        <f>IF(J922="","",MONTH(J922))</f>
        <v/>
      </c>
      <c r="W922">
        <f>IF(J922="","",YEAR(J922))</f>
        <v/>
      </c>
      <c r="X922" t="inlineStr">
        <is>
          <t>RotaSul</t>
        </is>
      </c>
      <c r="Y922">
        <f>IFERROR(INDEX(Rastreio!$H$2:$H$200,MATCH(X922&amp;"|"&amp;U922,Rastreio!$A$2:$A$200,0)),"")</f>
        <v/>
      </c>
    </row>
    <row r="923">
      <c r="A923">
        <f>IFERROR(INDEX(STAs!$G$2:$G$61,MATCH(P923,STAs!$F$2:$F$61,0))&amp;"","")</f>
        <v/>
      </c>
      <c r="B923" t="n">
        <v>20040071</v>
      </c>
      <c r="C923" t="inlineStr">
        <is>
          <t>Não</t>
        </is>
      </c>
      <c r="D923" t="inlineStr">
        <is>
          <t>SP</t>
        </is>
      </c>
      <c r="E923" t="inlineStr">
        <is>
          <t>SUDESTE SP</t>
        </is>
      </c>
      <c r="F923" t="inlineStr">
        <is>
          <t>Cliente B - Chopeira</t>
        </is>
      </c>
      <c r="G923" t="inlineStr">
        <is>
          <t>Refrigeradores</t>
        </is>
      </c>
      <c r="H923" s="10" t="n">
        <v>50</v>
      </c>
      <c r="I923" s="10">
        <f>IFERROR(T923*H923,0)</f>
        <v/>
      </c>
      <c r="J923" s="11" t="n">
        <v>46072</v>
      </c>
      <c r="K923" s="11" t="n">
        <v>46085</v>
      </c>
      <c r="L923" t="inlineStr">
        <is>
          <t>Ok. Devolvida</t>
        </is>
      </c>
      <c r="M923">
        <f>IF(L923="","",IFERROR(VLOOKUP(L923,mapGrupoStatus,2,0),"Outros"))</f>
        <v/>
      </c>
      <c r="N923">
        <f>IF(O923="","",IF(O923&lt;=30,"0-30 dias",IF(O923&lt;=60,"31-60 dias",IF(O923&lt;=90,"61-90 dias","Mais de 90 dias"))))</f>
        <v/>
      </c>
      <c r="O923">
        <f>IF(OR(M923="Pendente",M923="Em andamento"),IF(J923="","",TODAY()-J923),"")</f>
        <v/>
      </c>
      <c r="P923" t="n">
        <v>11365</v>
      </c>
      <c r="Q923" t="inlineStr">
        <is>
          <t>Ártico Express (11365)</t>
        </is>
      </c>
      <c r="R923" t="inlineStr">
        <is>
          <t>PC-0006</t>
        </is>
      </c>
      <c r="S923" t="inlineStr">
        <is>
          <t>Termostato modelo 03</t>
        </is>
      </c>
      <c r="T923" t="n">
        <v>3</v>
      </c>
      <c r="U923" t="n">
        <v>170</v>
      </c>
      <c r="V923">
        <f>IF(J923="","",MONTH(J923))</f>
        <v/>
      </c>
      <c r="W923">
        <f>IF(J923="","",YEAR(J923))</f>
        <v/>
      </c>
      <c r="X923" t="inlineStr">
        <is>
          <t>TransNorte</t>
        </is>
      </c>
      <c r="Y923">
        <f>IFERROR(INDEX(Rastreio!$H$2:$H$200,MATCH(X923&amp;"|"&amp;U923,Rastreio!$A$2:$A$200,0)),"")</f>
        <v/>
      </c>
    </row>
    <row r="924">
      <c r="A924">
        <f>IFERROR(INDEX(STAs!$G$2:$G$61,MATCH(P924,STAs!$F$2:$F$61,0))&amp;"","")</f>
        <v/>
      </c>
      <c r="B924" t="n">
        <v>20003672</v>
      </c>
      <c r="C924" t="inlineStr">
        <is>
          <t>Não</t>
        </is>
      </c>
      <c r="D924" t="inlineStr">
        <is>
          <t>BA</t>
        </is>
      </c>
      <c r="E924" t="inlineStr">
        <is>
          <t>NORDESTE</t>
        </is>
      </c>
      <c r="F924" t="inlineStr">
        <is>
          <t>Cliente C - Misturador</t>
        </is>
      </c>
      <c r="G924" t="inlineStr">
        <is>
          <t>Refrigeradores</t>
        </is>
      </c>
      <c r="H924" s="10" t="n">
        <v>35</v>
      </c>
      <c r="I924" s="10">
        <f>IFERROR(T924*H924,0)</f>
        <v/>
      </c>
      <c r="J924" s="11" t="n">
        <v>46073</v>
      </c>
      <c r="K924" s="11" t="n">
        <v>46110</v>
      </c>
      <c r="L924" t="inlineStr">
        <is>
          <t>Ok. Devolvida</t>
        </is>
      </c>
      <c r="M924">
        <f>IF(L924="","",IFERROR(VLOOKUP(L924,mapGrupoStatus,2,0),"Outros"))</f>
        <v/>
      </c>
      <c r="N924">
        <f>IF(O924="","",IF(O924&lt;=30,"0-30 dias",IF(O924&lt;=60,"31-60 dias",IF(O924&lt;=90,"61-90 dias","Mais de 90 dias"))))</f>
        <v/>
      </c>
      <c r="O924">
        <f>IF(OR(M924="Pendente",M924="Em andamento"),IF(J924="","",TODAY()-J924),"")</f>
        <v/>
      </c>
      <c r="P924" t="n">
        <v>12194</v>
      </c>
      <c r="Q924" t="inlineStr">
        <is>
          <t>Polar &amp; Cia (12194)</t>
        </is>
      </c>
      <c r="R924" t="inlineStr">
        <is>
          <t>PC-0020</t>
        </is>
      </c>
      <c r="S924" t="inlineStr">
        <is>
          <t>Gaxeta da porta modelo 03</t>
        </is>
      </c>
      <c r="T924" t="n">
        <v>1</v>
      </c>
      <c r="U924" t="n">
        <v>104</v>
      </c>
      <c r="V924">
        <f>IF(J924="","",MONTH(J924))</f>
        <v/>
      </c>
      <c r="W924">
        <f>IF(J924="","",YEAR(J924))</f>
        <v/>
      </c>
      <c r="X924" t="inlineStr">
        <is>
          <t>CargoMax</t>
        </is>
      </c>
      <c r="Y924">
        <f>IFERROR(INDEX(Rastreio!$H$2:$H$200,MATCH(X924&amp;"|"&amp;U924,Rastreio!$A$2:$A$200,0)),"")</f>
        <v/>
      </c>
    </row>
    <row r="925">
      <c r="A925">
        <f>IFERROR(INDEX(STAs!$G$2:$G$61,MATCH(P925,STAs!$F$2:$F$61,0))&amp;"","")</f>
        <v/>
      </c>
      <c r="B925" t="n">
        <v>20008671</v>
      </c>
      <c r="C925" t="inlineStr">
        <is>
          <t>Sim</t>
        </is>
      </c>
      <c r="D925" t="inlineStr">
        <is>
          <t>GO</t>
        </is>
      </c>
      <c r="E925" t="inlineStr">
        <is>
          <t>CENTRO OESTE</t>
        </is>
      </c>
      <c r="F925" t="inlineStr">
        <is>
          <t>Cliente B - Chopeira</t>
        </is>
      </c>
      <c r="G925" t="inlineStr">
        <is>
          <t>Misturadores</t>
        </is>
      </c>
      <c r="H925" s="10" t="n">
        <v>255</v>
      </c>
      <c r="I925" s="10">
        <f>IFERROR(T925*H925,0)</f>
        <v/>
      </c>
      <c r="J925" s="11" t="n">
        <v>46073</v>
      </c>
      <c r="K925" s="11" t="n">
        <v>46121</v>
      </c>
      <c r="L925" t="inlineStr">
        <is>
          <t>Ok. Devolvida</t>
        </is>
      </c>
      <c r="M925">
        <f>IF(L925="","",IFERROR(VLOOKUP(L925,mapGrupoStatus,2,0),"Outros"))</f>
        <v/>
      </c>
      <c r="N925">
        <f>IF(O925="","",IF(O925&lt;=30,"0-30 dias",IF(O925&lt;=60,"31-60 dias",IF(O925&lt;=90,"61-90 dias","Mais de 90 dias"))))</f>
        <v/>
      </c>
      <c r="O925">
        <f>IF(OR(M925="Pendente",M925="Em andamento"),IF(J925="","",TODAY()-J925),"")</f>
        <v/>
      </c>
      <c r="P925" t="n">
        <v>11677</v>
      </c>
      <c r="Q925" t="inlineStr">
        <is>
          <t>Cool Service Manutenção (11677)</t>
        </is>
      </c>
      <c r="R925" t="inlineStr">
        <is>
          <t>PC-0039</t>
        </is>
      </c>
      <c r="S925" t="inlineStr">
        <is>
          <t>Bomba de recirculação modelo 03</t>
        </is>
      </c>
      <c r="T925" t="n">
        <v>1</v>
      </c>
      <c r="U925" t="n">
        <v>112</v>
      </c>
      <c r="V925">
        <f>IF(J925="","",MONTH(J925))</f>
        <v/>
      </c>
      <c r="W925">
        <f>IF(J925="","",YEAR(J925))</f>
        <v/>
      </c>
      <c r="X925" t="inlineStr">
        <is>
          <t>TransNorte</t>
        </is>
      </c>
      <c r="Y925">
        <f>IFERROR(INDEX(Rastreio!$H$2:$H$200,MATCH(X925&amp;"|"&amp;U925,Rastreio!$A$2:$A$200,0)),"")</f>
        <v/>
      </c>
    </row>
    <row r="926">
      <c r="A926">
        <f>IFERROR(INDEX(STAs!$G$2:$G$61,MATCH(P926,STAs!$F$2:$F$61,0))&amp;"","")</f>
        <v/>
      </c>
      <c r="B926" t="n">
        <v>20017383</v>
      </c>
      <c r="C926" t="inlineStr">
        <is>
          <t>Não</t>
        </is>
      </c>
      <c r="D926" t="inlineStr">
        <is>
          <t>MT</t>
        </is>
      </c>
      <c r="E926" t="inlineStr">
        <is>
          <t>CENTRO OESTE</t>
        </is>
      </c>
      <c r="F926" t="inlineStr">
        <is>
          <t>Cliente C - Misturador</t>
        </is>
      </c>
      <c r="G926" t="inlineStr">
        <is>
          <t>Refrigeradores</t>
        </is>
      </c>
      <c r="H926" s="10" t="n">
        <v>35</v>
      </c>
      <c r="I926" s="10">
        <f>IFERROR(T926*H926,0)</f>
        <v/>
      </c>
      <c r="J926" s="11" t="n">
        <v>46073</v>
      </c>
      <c r="K926" s="11" t="n">
        <v>46112</v>
      </c>
      <c r="L926" t="inlineStr">
        <is>
          <t>Ok. Devolvida</t>
        </is>
      </c>
      <c r="M926">
        <f>IF(L926="","",IFERROR(VLOOKUP(L926,mapGrupoStatus,2,0),"Outros"))</f>
        <v/>
      </c>
      <c r="N926">
        <f>IF(O926="","",IF(O926&lt;=30,"0-30 dias",IF(O926&lt;=60,"31-60 dias",IF(O926&lt;=90,"61-90 dias","Mais de 90 dias"))))</f>
        <v/>
      </c>
      <c r="O926">
        <f>IF(OR(M926="Pendente",M926="Em andamento"),IF(J926="","",TODAY()-J926),"")</f>
        <v/>
      </c>
      <c r="P926" t="n">
        <v>10227</v>
      </c>
      <c r="Q926" t="inlineStr">
        <is>
          <t>Assistência Técnica ME (10227)</t>
        </is>
      </c>
      <c r="R926" t="inlineStr">
        <is>
          <t>PC-0020</t>
        </is>
      </c>
      <c r="S926" t="inlineStr">
        <is>
          <t>Gaxeta da porta modelo 03</t>
        </is>
      </c>
      <c r="T926" t="n">
        <v>2</v>
      </c>
      <c r="U926" t="n">
        <v>133</v>
      </c>
      <c r="V926">
        <f>IF(J926="","",MONTH(J926))</f>
        <v/>
      </c>
      <c r="W926">
        <f>IF(J926="","",YEAR(J926))</f>
        <v/>
      </c>
      <c r="X926" t="inlineStr">
        <is>
          <t>ViaCargo</t>
        </is>
      </c>
      <c r="Y926">
        <f>IFERROR(INDEX(Rastreio!$H$2:$H$200,MATCH(X926&amp;"|"&amp;U926,Rastreio!$A$2:$A$200,0)),"")</f>
        <v/>
      </c>
    </row>
    <row r="927">
      <c r="A927">
        <f>IFERROR(INDEX(STAs!$G$2:$G$61,MATCH(P927,STAs!$F$2:$F$61,0))&amp;"","")</f>
        <v/>
      </c>
      <c r="B927" t="n">
        <v>20022048</v>
      </c>
      <c r="C927" t="inlineStr">
        <is>
          <t>Não</t>
        </is>
      </c>
      <c r="D927" t="inlineStr">
        <is>
          <t>SP</t>
        </is>
      </c>
      <c r="E927" t="inlineStr">
        <is>
          <t>SUDESTE SP</t>
        </is>
      </c>
      <c r="F927" t="inlineStr">
        <is>
          <t>Cliente C - Misturador</t>
        </is>
      </c>
      <c r="G927" t="inlineStr">
        <is>
          <t>Refrigeradores</t>
        </is>
      </c>
      <c r="H927" s="10" t="n">
        <v>315</v>
      </c>
      <c r="I927" s="10">
        <f>IFERROR(T927*H927,0)</f>
        <v/>
      </c>
      <c r="J927" s="11" t="n">
        <v>46073</v>
      </c>
      <c r="K927" s="11" t="n"/>
      <c r="L927" t="inlineStr">
        <is>
          <t>Aguardando devolução</t>
        </is>
      </c>
      <c r="M927">
        <f>IF(L927="","",IFERROR(VLOOKUP(L927,mapGrupoStatus,2,0),"Outros"))</f>
        <v/>
      </c>
      <c r="N927">
        <f>IF(O927="","",IF(O927&lt;=30,"0-30 dias",IF(O927&lt;=60,"31-60 dias",IF(O927&lt;=90,"61-90 dias","Mais de 90 dias"))))</f>
        <v/>
      </c>
      <c r="O927">
        <f>IF(OR(M927="Pendente",M927="Em andamento"),IF(J927="","",TODAY()-J927),"")</f>
        <v/>
      </c>
      <c r="P927" t="n">
        <v>11365</v>
      </c>
      <c r="Q927" t="inlineStr">
        <is>
          <t>Ártico Express (11365)</t>
        </is>
      </c>
      <c r="R927" t="inlineStr">
        <is>
          <t>PC-0002</t>
        </is>
      </c>
      <c r="S927" t="inlineStr">
        <is>
          <t>Compressor modelo 02</t>
        </is>
      </c>
      <c r="T927" t="n">
        <v>1</v>
      </c>
      <c r="U927" t="inlineStr"/>
      <c r="V927">
        <f>IF(J927="","",MONTH(J927))</f>
        <v/>
      </c>
      <c r="W927">
        <f>IF(J927="","",YEAR(J927))</f>
        <v/>
      </c>
      <c r="X927" t="inlineStr"/>
      <c r="Y927">
        <f>IFERROR(INDEX(Rastreio!$H$2:$H$200,MATCH(X927&amp;"|"&amp;U927,Rastreio!$A$2:$A$200,0)),"")</f>
        <v/>
      </c>
    </row>
    <row r="928">
      <c r="A928">
        <f>IFERROR(INDEX(STAs!$G$2:$G$61,MATCH(P928,STAs!$F$2:$F$61,0))&amp;"","")</f>
        <v/>
      </c>
      <c r="B928" t="n">
        <v>20026596</v>
      </c>
      <c r="C928" t="inlineStr">
        <is>
          <t>Não</t>
        </is>
      </c>
      <c r="D928" t="inlineStr">
        <is>
          <t>SP</t>
        </is>
      </c>
      <c r="E928" t="inlineStr">
        <is>
          <t>SUDESTE SP</t>
        </is>
      </c>
      <c r="F928" t="inlineStr">
        <is>
          <t>Cliente B - Chopeira</t>
        </is>
      </c>
      <c r="G928" t="inlineStr">
        <is>
          <t>Chopeiras</t>
        </is>
      </c>
      <c r="H928" s="10" t="n">
        <v>115</v>
      </c>
      <c r="I928" s="10">
        <f>IFERROR(T928*H928,0)</f>
        <v/>
      </c>
      <c r="J928" s="11" t="n">
        <v>46073</v>
      </c>
      <c r="K928" s="11" t="n"/>
      <c r="L928" t="inlineStr">
        <is>
          <t>Em andamento</t>
        </is>
      </c>
      <c r="M928">
        <f>IF(L928="","",IFERROR(VLOOKUP(L928,mapGrupoStatus,2,0),"Outros"))</f>
        <v/>
      </c>
      <c r="N928">
        <f>IF(O928="","",IF(O928&lt;=30,"0-30 dias",IF(O928&lt;=60,"31-60 dias",IF(O928&lt;=90,"61-90 dias","Mais de 90 dias"))))</f>
        <v/>
      </c>
      <c r="O928">
        <f>IF(OR(M928="Pendente",M928="Em andamento"),IF(J928="","",TODAY()-J928),"")</f>
        <v/>
      </c>
      <c r="P928" t="n">
        <v>11710</v>
      </c>
      <c r="Q928" t="inlineStr">
        <is>
          <t>Brisa &amp; Cia (11710)</t>
        </is>
      </c>
      <c r="R928" t="inlineStr">
        <is>
          <t>PC-0034</t>
        </is>
      </c>
      <c r="S928" t="inlineStr">
        <is>
          <t>Regulador de pressão modelo 03</t>
        </is>
      </c>
      <c r="T928" t="n">
        <v>1</v>
      </c>
      <c r="U928" t="n">
        <v>148</v>
      </c>
      <c r="V928">
        <f>IF(J928="","",MONTH(J928))</f>
        <v/>
      </c>
      <c r="W928">
        <f>IF(J928="","",YEAR(J928))</f>
        <v/>
      </c>
      <c r="X928" t="inlineStr">
        <is>
          <t>LogExpress</t>
        </is>
      </c>
      <c r="Y928">
        <f>IFERROR(INDEX(Rastreio!$H$2:$H$200,MATCH(X928&amp;"|"&amp;U928,Rastreio!$A$2:$A$200,0)),"")</f>
        <v/>
      </c>
    </row>
    <row r="929">
      <c r="A929">
        <f>IFERROR(INDEX(STAs!$G$2:$G$61,MATCH(P929,STAs!$F$2:$F$61,0))&amp;"","")</f>
        <v/>
      </c>
      <c r="B929" t="n">
        <v>20034287</v>
      </c>
      <c r="C929" t="inlineStr">
        <is>
          <t>Não</t>
        </is>
      </c>
      <c r="D929" t="inlineStr">
        <is>
          <t>SC</t>
        </is>
      </c>
      <c r="E929" t="inlineStr">
        <is>
          <t>SUL</t>
        </is>
      </c>
      <c r="F929" t="inlineStr">
        <is>
          <t>Cliente B - Chopeira</t>
        </is>
      </c>
      <c r="G929" t="inlineStr">
        <is>
          <t>Chopeiras</t>
        </is>
      </c>
      <c r="H929" s="10" t="n">
        <v>120</v>
      </c>
      <c r="I929" s="10">
        <f>IFERROR(T929*H929,0)</f>
        <v/>
      </c>
      <c r="J929" s="11" t="n">
        <v>46073</v>
      </c>
      <c r="K929" s="11" t="n"/>
      <c r="L929" t="inlineStr">
        <is>
          <t>Aguardando devolução</t>
        </is>
      </c>
      <c r="M929">
        <f>IF(L929="","",IFERROR(VLOOKUP(L929,mapGrupoStatus,2,0),"Outros"))</f>
        <v/>
      </c>
      <c r="N929">
        <f>IF(O929="","",IF(O929&lt;=30,"0-30 dias",IF(O929&lt;=60,"31-60 dias",IF(O929&lt;=90,"61-90 dias","Mais de 90 dias"))))</f>
        <v/>
      </c>
      <c r="O929">
        <f>IF(OR(M929="Pendente",M929="Em andamento"),IF(J929="","",TODAY()-J929),"")</f>
        <v/>
      </c>
      <c r="P929" t="n">
        <v>12138</v>
      </c>
      <c r="Q929" t="inlineStr">
        <is>
          <t>Refrigeração Serviços (12138)</t>
        </is>
      </c>
      <c r="R929" t="inlineStr">
        <is>
          <t>PC-0032</t>
        </is>
      </c>
      <c r="S929" t="inlineStr">
        <is>
          <t>Regulador de pressão modelo 01</t>
        </is>
      </c>
      <c r="T929" t="n">
        <v>1</v>
      </c>
      <c r="U929" t="inlineStr"/>
      <c r="V929">
        <f>IF(J929="","",MONTH(J929))</f>
        <v/>
      </c>
      <c r="W929">
        <f>IF(J929="","",YEAR(J929))</f>
        <v/>
      </c>
      <c r="X929" t="inlineStr"/>
      <c r="Y929">
        <f>IFERROR(INDEX(Rastreio!$H$2:$H$200,MATCH(X929&amp;"|"&amp;U929,Rastreio!$A$2:$A$200,0)),"")</f>
        <v/>
      </c>
    </row>
    <row r="930">
      <c r="A930">
        <f>IFERROR(INDEX(STAs!$G$2:$G$61,MATCH(P930,STAs!$F$2:$F$61,0))&amp;"","")</f>
        <v/>
      </c>
      <c r="B930" t="n">
        <v>20035657</v>
      </c>
      <c r="C930" t="inlineStr">
        <is>
          <t>Não</t>
        </is>
      </c>
      <c r="D930" t="inlineStr">
        <is>
          <t>GO</t>
        </is>
      </c>
      <c r="E930" t="inlineStr">
        <is>
          <t>CENTRO OESTE</t>
        </is>
      </c>
      <c r="F930" t="inlineStr">
        <is>
          <t>Cliente A - Refrigerador</t>
        </is>
      </c>
      <c r="G930" t="inlineStr">
        <is>
          <t>Chopeiras</t>
        </is>
      </c>
      <c r="H930" s="10" t="n">
        <v>215</v>
      </c>
      <c r="I930" s="10">
        <f>IFERROR(T930*H930,0)</f>
        <v/>
      </c>
      <c r="J930" s="11" t="n">
        <v>46073</v>
      </c>
      <c r="K930" s="11" t="n">
        <v>46103</v>
      </c>
      <c r="L930" t="inlineStr">
        <is>
          <t>Ok. Devolvida</t>
        </is>
      </c>
      <c r="M930">
        <f>IF(L930="","",IFERROR(VLOOKUP(L930,mapGrupoStatus,2,0),"Outros"))</f>
        <v/>
      </c>
      <c r="N930">
        <f>IF(O930="","",IF(O930&lt;=30,"0-30 dias",IF(O930&lt;=60,"31-60 dias",IF(O930&lt;=90,"61-90 dias","Mais de 90 dias"))))</f>
        <v/>
      </c>
      <c r="O930">
        <f>IF(OR(M930="Pendente",M930="Em andamento"),IF(J930="","",TODAY()-J930),"")</f>
        <v/>
      </c>
      <c r="P930" t="n">
        <v>11293</v>
      </c>
      <c r="Q930" t="inlineStr">
        <is>
          <t>Assistência Técnica Ltda (11293)</t>
        </is>
      </c>
      <c r="R930" t="inlineStr">
        <is>
          <t>PC-0030</t>
        </is>
      </c>
      <c r="S930" t="inlineStr">
        <is>
          <t>Serpentina modelo 02</t>
        </is>
      </c>
      <c r="T930" t="n">
        <v>1</v>
      </c>
      <c r="U930" t="n">
        <v>163</v>
      </c>
      <c r="V930">
        <f>IF(J930="","",MONTH(J930))</f>
        <v/>
      </c>
      <c r="W930">
        <f>IF(J930="","",YEAR(J930))</f>
        <v/>
      </c>
      <c r="X930" t="inlineStr">
        <is>
          <t>TransNorte</t>
        </is>
      </c>
      <c r="Y930">
        <f>IFERROR(INDEX(Rastreio!$H$2:$H$200,MATCH(X930&amp;"|"&amp;U930,Rastreio!$A$2:$A$200,0)),"")</f>
        <v/>
      </c>
    </row>
    <row r="931">
      <c r="A931">
        <f>IFERROR(INDEX(STAs!$G$2:$G$61,MATCH(P931,STAs!$F$2:$F$61,0))&amp;"","")</f>
        <v/>
      </c>
      <c r="B931" t="n">
        <v>20012016</v>
      </c>
      <c r="C931" t="inlineStr">
        <is>
          <t>Não</t>
        </is>
      </c>
      <c r="D931" t="inlineStr">
        <is>
          <t>BA</t>
        </is>
      </c>
      <c r="E931" t="inlineStr">
        <is>
          <t>NORDESTE</t>
        </is>
      </c>
      <c r="F931" t="inlineStr">
        <is>
          <t>Cliente C - Misturador</t>
        </is>
      </c>
      <c r="G931" t="inlineStr">
        <is>
          <t>Refrigeradores</t>
        </is>
      </c>
      <c r="H931" s="10" t="n">
        <v>50</v>
      </c>
      <c r="I931" s="10">
        <f>IFERROR(T931*H931,0)</f>
        <v/>
      </c>
      <c r="J931" s="11" t="n">
        <v>46074</v>
      </c>
      <c r="K931" s="11" t="n"/>
      <c r="L931" t="inlineStr">
        <is>
          <t>Debitar do STA</t>
        </is>
      </c>
      <c r="M931">
        <f>IF(L931="","",IFERROR(VLOOKUP(L931,mapGrupoStatus,2,0),"Outros"))</f>
        <v/>
      </c>
      <c r="N931">
        <f>IF(O931="","",IF(O931&lt;=30,"0-30 dias",IF(O931&lt;=60,"31-60 dias",IF(O931&lt;=90,"61-90 dias","Mais de 90 dias"))))</f>
        <v/>
      </c>
      <c r="O931">
        <f>IF(OR(M931="Pendente",M931="Em andamento"),IF(J931="","",TODAY()-J931),"")</f>
        <v/>
      </c>
      <c r="P931" t="n">
        <v>11538</v>
      </c>
      <c r="Q931" t="inlineStr">
        <is>
          <t>Clima Manutenção (11538)</t>
        </is>
      </c>
      <c r="R931" t="inlineStr">
        <is>
          <t>PC-0006</t>
        </is>
      </c>
      <c r="S931" t="inlineStr">
        <is>
          <t>Termostato modelo 03</t>
        </is>
      </c>
      <c r="T931" t="n">
        <v>1</v>
      </c>
      <c r="U931" t="inlineStr"/>
      <c r="V931">
        <f>IF(J931="","",MONTH(J931))</f>
        <v/>
      </c>
      <c r="W931">
        <f>IF(J931="","",YEAR(J931))</f>
        <v/>
      </c>
      <c r="X931" t="inlineStr"/>
      <c r="Y931">
        <f>IFERROR(INDEX(Rastreio!$H$2:$H$200,MATCH(X931&amp;"|"&amp;U931,Rastreio!$A$2:$A$200,0)),"")</f>
        <v/>
      </c>
    </row>
    <row r="932">
      <c r="A932">
        <f>IFERROR(INDEX(STAs!$G$2:$G$61,MATCH(P932,STAs!$F$2:$F$61,0))&amp;"","")</f>
        <v/>
      </c>
      <c r="B932" t="n">
        <v>20021165</v>
      </c>
      <c r="C932" t="inlineStr">
        <is>
          <t>Sim</t>
        </is>
      </c>
      <c r="D932" t="inlineStr">
        <is>
          <t>PR</t>
        </is>
      </c>
      <c r="E932" t="inlineStr">
        <is>
          <t>SUL</t>
        </is>
      </c>
      <c r="F932" t="inlineStr">
        <is>
          <t>Cliente A - Refrigerador</t>
        </is>
      </c>
      <c r="G932" t="inlineStr">
        <is>
          <t>Refrigeradores</t>
        </is>
      </c>
      <c r="H932" s="10" t="n">
        <v>30</v>
      </c>
      <c r="I932" s="10">
        <f>IFERROR(T932*H932,0)</f>
        <v/>
      </c>
      <c r="J932" s="11" t="n">
        <v>46074</v>
      </c>
      <c r="K932" s="11" t="n"/>
      <c r="L932" t="inlineStr">
        <is>
          <t>Aguardando devolução</t>
        </is>
      </c>
      <c r="M932">
        <f>IF(L932="","",IFERROR(VLOOKUP(L932,mapGrupoStatus,2,0),"Outros"))</f>
        <v/>
      </c>
      <c r="N932">
        <f>IF(O932="","",IF(O932&lt;=30,"0-30 dias",IF(O932&lt;=60,"31-60 dias",IF(O932&lt;=90,"61-90 dias","Mais de 90 dias"))))</f>
        <v/>
      </c>
      <c r="O932">
        <f>IF(OR(M932="Pendente",M932="Em andamento"),IF(J932="","",TODAY()-J932),"")</f>
        <v/>
      </c>
      <c r="P932" t="n">
        <v>12724</v>
      </c>
      <c r="Q932" t="inlineStr">
        <is>
          <t>Cool Service &amp; Cia (12724)</t>
        </is>
      </c>
      <c r="R932" t="inlineStr">
        <is>
          <t>PC-0017</t>
        </is>
      </c>
      <c r="S932" t="inlineStr">
        <is>
          <t>Filtro secador modelo 03</t>
        </is>
      </c>
      <c r="T932" t="n">
        <v>1</v>
      </c>
      <c r="U932" t="inlineStr"/>
      <c r="V932">
        <f>IF(J932="","",MONTH(J932))</f>
        <v/>
      </c>
      <c r="W932">
        <f>IF(J932="","",YEAR(J932))</f>
        <v/>
      </c>
      <c r="X932" t="inlineStr"/>
      <c r="Y932">
        <f>IFERROR(INDEX(Rastreio!$H$2:$H$200,MATCH(X932&amp;"|"&amp;U932,Rastreio!$A$2:$A$200,0)),"")</f>
        <v/>
      </c>
    </row>
    <row r="933">
      <c r="A933">
        <f>IFERROR(INDEX(STAs!$G$2:$G$61,MATCH(P933,STAs!$F$2:$F$61,0))&amp;"","")</f>
        <v/>
      </c>
      <c r="B933" t="n">
        <v>20021597</v>
      </c>
      <c r="C933" t="inlineStr">
        <is>
          <t>Sim</t>
        </is>
      </c>
      <c r="D933" t="inlineStr">
        <is>
          <t>SP</t>
        </is>
      </c>
      <c r="E933" t="inlineStr">
        <is>
          <t>SUDESTE SP</t>
        </is>
      </c>
      <c r="F933" t="inlineStr">
        <is>
          <t>Cliente C - Misturador</t>
        </is>
      </c>
      <c r="G933" t="inlineStr">
        <is>
          <t>Chopeiras</t>
        </is>
      </c>
      <c r="H933" s="10" t="n">
        <v>120</v>
      </c>
      <c r="I933" s="10">
        <f>IFERROR(T933*H933,0)</f>
        <v/>
      </c>
      <c r="J933" s="11" t="n">
        <v>46074</v>
      </c>
      <c r="K933" s="11" t="n">
        <v>46106</v>
      </c>
      <c r="L933" t="inlineStr">
        <is>
          <t>Ok. Devolvida</t>
        </is>
      </c>
      <c r="M933">
        <f>IF(L933="","",IFERROR(VLOOKUP(L933,mapGrupoStatus,2,0),"Outros"))</f>
        <v/>
      </c>
      <c r="N933">
        <f>IF(O933="","",IF(O933&lt;=30,"0-30 dias",IF(O933&lt;=60,"31-60 dias",IF(O933&lt;=90,"61-90 dias","Mais de 90 dias"))))</f>
        <v/>
      </c>
      <c r="O933">
        <f>IF(OR(M933="Pendente",M933="Em andamento"),IF(J933="","",TODAY()-J933),"")</f>
        <v/>
      </c>
      <c r="P933" t="n">
        <v>10010</v>
      </c>
      <c r="Q933" t="inlineStr">
        <is>
          <t>Cool Service ME (10010)</t>
        </is>
      </c>
      <c r="R933" t="inlineStr">
        <is>
          <t>PC-0032</t>
        </is>
      </c>
      <c r="S933" t="inlineStr">
        <is>
          <t>Regulador de pressão modelo 01</t>
        </is>
      </c>
      <c r="T933" t="n">
        <v>1</v>
      </c>
      <c r="U933" t="n">
        <v>133</v>
      </c>
      <c r="V933">
        <f>IF(J933="","",MONTH(J933))</f>
        <v/>
      </c>
      <c r="W933">
        <f>IF(J933="","",YEAR(J933))</f>
        <v/>
      </c>
      <c r="X933" t="inlineStr">
        <is>
          <t>EntregaJá</t>
        </is>
      </c>
      <c r="Y933">
        <f>IFERROR(INDEX(Rastreio!$H$2:$H$200,MATCH(X933&amp;"|"&amp;U933,Rastreio!$A$2:$A$200,0)),"")</f>
        <v/>
      </c>
    </row>
    <row r="934">
      <c r="A934">
        <f>IFERROR(INDEX(STAs!$G$2:$G$61,MATCH(P934,STAs!$F$2:$F$61,0))&amp;"","")</f>
        <v/>
      </c>
      <c r="B934" t="n">
        <v>20027935</v>
      </c>
      <c r="C934" t="inlineStr">
        <is>
          <t>Não</t>
        </is>
      </c>
      <c r="D934" t="inlineStr">
        <is>
          <t>RR</t>
        </is>
      </c>
      <c r="E934" t="inlineStr">
        <is>
          <t>NORTE</t>
        </is>
      </c>
      <c r="F934" t="inlineStr">
        <is>
          <t>Cliente C - Misturador</t>
        </is>
      </c>
      <c r="G934" t="inlineStr">
        <is>
          <t>Refrigeradores</t>
        </is>
      </c>
      <c r="H934" s="10" t="n">
        <v>35</v>
      </c>
      <c r="I934" s="10">
        <f>IFERROR(T934*H934,0)</f>
        <v/>
      </c>
      <c r="J934" s="11" t="n">
        <v>46074</v>
      </c>
      <c r="K934" s="11" t="n">
        <v>46087</v>
      </c>
      <c r="L934" t="inlineStr">
        <is>
          <t>Ok. Devolvida</t>
        </is>
      </c>
      <c r="M934">
        <f>IF(L934="","",IFERROR(VLOOKUP(L934,mapGrupoStatus,2,0),"Outros"))</f>
        <v/>
      </c>
      <c r="N934">
        <f>IF(O934="","",IF(O934&lt;=30,"0-30 dias",IF(O934&lt;=60,"31-60 dias",IF(O934&lt;=90,"61-90 dias","Mais de 90 dias"))))</f>
        <v/>
      </c>
      <c r="O934">
        <f>IF(OR(M934="Pendente",M934="Em andamento"),IF(J934="","",TODAY()-J934),"")</f>
        <v/>
      </c>
      <c r="P934" t="n">
        <v>10468</v>
      </c>
      <c r="Q934" t="inlineStr">
        <is>
          <t>Clima Express (10468)</t>
        </is>
      </c>
      <c r="R934" t="inlineStr">
        <is>
          <t>PC-0023</t>
        </is>
      </c>
      <c r="S934" t="inlineStr">
        <is>
          <t>Relé de partida modelo 01</t>
        </is>
      </c>
      <c r="T934" t="n">
        <v>1</v>
      </c>
      <c r="U934" t="n">
        <v>143</v>
      </c>
      <c r="V934">
        <f>IF(J934="","",MONTH(J934))</f>
        <v/>
      </c>
      <c r="W934">
        <f>IF(J934="","",YEAR(J934))</f>
        <v/>
      </c>
      <c r="X934" t="inlineStr">
        <is>
          <t>ViaCargo</t>
        </is>
      </c>
      <c r="Y934">
        <f>IFERROR(INDEX(Rastreio!$H$2:$H$200,MATCH(X934&amp;"|"&amp;U934,Rastreio!$A$2:$A$200,0)),"")</f>
        <v/>
      </c>
    </row>
    <row r="935">
      <c r="A935">
        <f>IFERROR(INDEX(STAs!$G$2:$G$61,MATCH(P935,STAs!$F$2:$F$61,0))&amp;"","")</f>
        <v/>
      </c>
      <c r="B935" t="n">
        <v>20034769</v>
      </c>
      <c r="C935" t="inlineStr">
        <is>
          <t>Não</t>
        </is>
      </c>
      <c r="D935" t="inlineStr">
        <is>
          <t>GO</t>
        </is>
      </c>
      <c r="E935" t="inlineStr">
        <is>
          <t>CENTRO OESTE</t>
        </is>
      </c>
      <c r="F935" t="inlineStr">
        <is>
          <t>Cliente C - Misturador</t>
        </is>
      </c>
      <c r="G935" t="inlineStr">
        <is>
          <t>Misturadores</t>
        </is>
      </c>
      <c r="H935" s="10" t="n">
        <v>185</v>
      </c>
      <c r="I935" s="10">
        <f>IFERROR(T935*H935,0)</f>
        <v/>
      </c>
      <c r="J935" s="11" t="n">
        <v>46074</v>
      </c>
      <c r="K935" s="11" t="n">
        <v>46085</v>
      </c>
      <c r="L935" t="inlineStr">
        <is>
          <t>Ok. Devolvida</t>
        </is>
      </c>
      <c r="M935">
        <f>IF(L935="","",IFERROR(VLOOKUP(L935,mapGrupoStatus,2,0),"Outros"))</f>
        <v/>
      </c>
      <c r="N935">
        <f>IF(O935="","",IF(O935&lt;=30,"0-30 dias",IF(O935&lt;=60,"31-60 dias",IF(O935&lt;=90,"61-90 dias","Mais de 90 dias"))))</f>
        <v/>
      </c>
      <c r="O935">
        <f>IF(OR(M935="Pendente",M935="Em andamento"),IF(J935="","",TODAY()-J935),"")</f>
        <v/>
      </c>
      <c r="P935" t="n">
        <v>12007</v>
      </c>
      <c r="Q935" t="inlineStr">
        <is>
          <t>Refrigel Ltda (12007)</t>
        </is>
      </c>
      <c r="R935" t="inlineStr">
        <is>
          <t>PC-0041</t>
        </is>
      </c>
      <c r="S935" t="inlineStr">
        <is>
          <t>Motor agitador modelo 02</t>
        </is>
      </c>
      <c r="T935" t="n">
        <v>1</v>
      </c>
      <c r="U935" t="n">
        <v>161</v>
      </c>
      <c r="V935">
        <f>IF(J935="","",MONTH(J935))</f>
        <v/>
      </c>
      <c r="W935">
        <f>IF(J935="","",YEAR(J935))</f>
        <v/>
      </c>
      <c r="X935" t="inlineStr">
        <is>
          <t>CargoMax</t>
        </is>
      </c>
      <c r="Y935">
        <f>IFERROR(INDEX(Rastreio!$H$2:$H$200,MATCH(X935&amp;"|"&amp;U935,Rastreio!$A$2:$A$200,0)),"")</f>
        <v/>
      </c>
    </row>
    <row r="936">
      <c r="A936">
        <f>IFERROR(INDEX(STAs!$G$2:$G$61,MATCH(P936,STAs!$F$2:$F$61,0))&amp;"","")</f>
        <v/>
      </c>
      <c r="B936" t="n">
        <v>20036633</v>
      </c>
      <c r="C936" t="inlineStr">
        <is>
          <t>Não</t>
        </is>
      </c>
      <c r="D936" t="inlineStr">
        <is>
          <t>AC</t>
        </is>
      </c>
      <c r="E936" t="inlineStr">
        <is>
          <t>NORTE</t>
        </is>
      </c>
      <c r="F936" t="inlineStr">
        <is>
          <t>Cliente C - Misturador</t>
        </is>
      </c>
      <c r="G936" t="inlineStr">
        <is>
          <t>Misturadores</t>
        </is>
      </c>
      <c r="H936" s="10" t="n">
        <v>185</v>
      </c>
      <c r="I936" s="10">
        <f>IFERROR(T936*H936,0)</f>
        <v/>
      </c>
      <c r="J936" s="11" t="n">
        <v>46074</v>
      </c>
      <c r="K936" s="11" t="n"/>
      <c r="L936" t="inlineStr">
        <is>
          <t>Em andamento</t>
        </is>
      </c>
      <c r="M936">
        <f>IF(L936="","",IFERROR(VLOOKUP(L936,mapGrupoStatus,2,0),"Outros"))</f>
        <v/>
      </c>
      <c r="N936">
        <f>IF(O936="","",IF(O936&lt;=30,"0-30 dias",IF(O936&lt;=60,"31-60 dias",IF(O936&lt;=90,"61-90 dias","Mais de 90 dias"))))</f>
        <v/>
      </c>
      <c r="O936">
        <f>IF(OR(M936="Pendente",M936="Em andamento"),IF(J936="","",TODAY()-J936),"")</f>
        <v/>
      </c>
      <c r="P936" t="n">
        <v>11022</v>
      </c>
      <c r="Q936" t="inlineStr">
        <is>
          <t>Brisa Ltda (11022)</t>
        </is>
      </c>
      <c r="R936" t="inlineStr">
        <is>
          <t>PC-0041</t>
        </is>
      </c>
      <c r="S936" t="inlineStr">
        <is>
          <t>Motor agitador modelo 02</t>
        </is>
      </c>
      <c r="T936" t="n">
        <v>1</v>
      </c>
      <c r="U936" t="n">
        <v>167</v>
      </c>
      <c r="V936">
        <f>IF(J936="","",MONTH(J936))</f>
        <v/>
      </c>
      <c r="W936">
        <f>IF(J936="","",YEAR(J936))</f>
        <v/>
      </c>
      <c r="X936" t="inlineStr">
        <is>
          <t>RotaSul</t>
        </is>
      </c>
      <c r="Y936">
        <f>IFERROR(INDEX(Rastreio!$H$2:$H$200,MATCH(X936&amp;"|"&amp;U936,Rastreio!$A$2:$A$200,0)),"")</f>
        <v/>
      </c>
    </row>
    <row r="937">
      <c r="A937">
        <f>IFERROR(INDEX(STAs!$G$2:$G$61,MATCH(P937,STAs!$F$2:$F$61,0))&amp;"","")</f>
        <v/>
      </c>
      <c r="B937" t="n">
        <v>20025309</v>
      </c>
      <c r="C937" t="inlineStr">
        <is>
          <t>Não</t>
        </is>
      </c>
      <c r="D937" t="inlineStr">
        <is>
          <t>MG</t>
        </is>
      </c>
      <c r="E937" t="inlineStr">
        <is>
          <t>SUDESTE MG</t>
        </is>
      </c>
      <c r="F937" t="inlineStr">
        <is>
          <t>Cliente C - Misturador</t>
        </is>
      </c>
      <c r="G937" t="inlineStr">
        <is>
          <t>Misturadores</t>
        </is>
      </c>
      <c r="H937" s="10" t="n">
        <v>255</v>
      </c>
      <c r="I937" s="10">
        <f>IFERROR(T937*H937,0)</f>
        <v/>
      </c>
      <c r="J937" s="11" t="n">
        <v>46075</v>
      </c>
      <c r="K937" s="11" t="n">
        <v>46088</v>
      </c>
      <c r="L937" t="inlineStr">
        <is>
          <t>Ok. Devolvida</t>
        </is>
      </c>
      <c r="M937">
        <f>IF(L937="","",IFERROR(VLOOKUP(L937,mapGrupoStatus,2,0),"Outros"))</f>
        <v/>
      </c>
      <c r="N937">
        <f>IF(O937="","",IF(O937&lt;=30,"0-30 dias",IF(O937&lt;=60,"31-60 dias",IF(O937&lt;=90,"61-90 dias","Mais de 90 dias"))))</f>
        <v/>
      </c>
      <c r="O937">
        <f>IF(OR(M937="Pendente",M937="Em andamento"),IF(J937="","",TODAY()-J937),"")</f>
        <v/>
      </c>
      <c r="P937" t="n">
        <v>12158</v>
      </c>
      <c r="Q937" t="inlineStr">
        <is>
          <t>Gelo Serviços (12158)</t>
        </is>
      </c>
      <c r="R937" t="inlineStr">
        <is>
          <t>PC-0039</t>
        </is>
      </c>
      <c r="S937" t="inlineStr">
        <is>
          <t>Bomba de recirculação modelo 03</t>
        </is>
      </c>
      <c r="T937" t="n">
        <v>2</v>
      </c>
      <c r="U937" t="n">
        <v>142</v>
      </c>
      <c r="V937">
        <f>IF(J937="","",MONTH(J937))</f>
        <v/>
      </c>
      <c r="W937">
        <f>IF(J937="","",YEAR(J937))</f>
        <v/>
      </c>
      <c r="X937" t="inlineStr">
        <is>
          <t>ViaCargo</t>
        </is>
      </c>
      <c r="Y937">
        <f>IFERROR(INDEX(Rastreio!$H$2:$H$200,MATCH(X937&amp;"|"&amp;U937,Rastreio!$A$2:$A$200,0)),"")</f>
        <v/>
      </c>
    </row>
    <row r="938">
      <c r="A938">
        <f>IFERROR(INDEX(STAs!$G$2:$G$61,MATCH(P938,STAs!$F$2:$F$61,0))&amp;"","")</f>
        <v/>
      </c>
      <c r="B938" t="n">
        <v>20033957</v>
      </c>
      <c r="C938" t="inlineStr">
        <is>
          <t>Não</t>
        </is>
      </c>
      <c r="D938" t="inlineStr">
        <is>
          <t>MG</t>
        </is>
      </c>
      <c r="E938" t="inlineStr">
        <is>
          <t>SUDESTE MG</t>
        </is>
      </c>
      <c r="F938" t="inlineStr">
        <is>
          <t>Cliente A - Refrigerador</t>
        </is>
      </c>
      <c r="G938" t="inlineStr">
        <is>
          <t>Refrigeradores</t>
        </is>
      </c>
      <c r="H938" s="10" t="n">
        <v>65</v>
      </c>
      <c r="I938" s="10">
        <f>IFERROR(T938*H938,0)</f>
        <v/>
      </c>
      <c r="J938" s="11" t="n">
        <v>46075</v>
      </c>
      <c r="K938" s="11" t="n"/>
      <c r="L938" t="inlineStr">
        <is>
          <t>NF Vencida</t>
        </is>
      </c>
      <c r="M938">
        <f>IF(L938="","",IFERROR(VLOOKUP(L938,mapGrupoStatus,2,0),"Outros"))</f>
        <v/>
      </c>
      <c r="N938">
        <f>IF(O938="","",IF(O938&lt;=30,"0-30 dias",IF(O938&lt;=60,"31-60 dias",IF(O938&lt;=90,"61-90 dias","Mais de 90 dias"))))</f>
        <v/>
      </c>
      <c r="O938">
        <f>IF(OR(M938="Pendente",M938="Em andamento"),IF(J938="","",TODAY()-J938),"")</f>
        <v/>
      </c>
      <c r="P938" t="n">
        <v>11487</v>
      </c>
      <c r="Q938" t="inlineStr">
        <is>
          <t>Assistência Técnica Manutenção (11487)</t>
        </is>
      </c>
      <c r="R938" t="inlineStr">
        <is>
          <t>PC-0010</t>
        </is>
      </c>
      <c r="S938" t="inlineStr">
        <is>
          <t>Ventilador modelo 04</t>
        </is>
      </c>
      <c r="T938" t="n">
        <v>1</v>
      </c>
      <c r="U938" t="inlineStr"/>
      <c r="V938">
        <f>IF(J938="","",MONTH(J938))</f>
        <v/>
      </c>
      <c r="W938">
        <f>IF(J938="","",YEAR(J938))</f>
        <v/>
      </c>
      <c r="X938" t="inlineStr"/>
      <c r="Y938">
        <f>IFERROR(INDEX(Rastreio!$H$2:$H$200,MATCH(X938&amp;"|"&amp;U938,Rastreio!$A$2:$A$200,0)),"")</f>
        <v/>
      </c>
    </row>
    <row r="939">
      <c r="A939">
        <f>IFERROR(INDEX(STAs!$G$2:$G$61,MATCH(P939,STAs!$F$2:$F$61,0))&amp;"","")</f>
        <v/>
      </c>
      <c r="B939" t="n">
        <v>20017234</v>
      </c>
      <c r="C939" t="inlineStr">
        <is>
          <t>Não</t>
        </is>
      </c>
      <c r="D939" t="inlineStr">
        <is>
          <t>MG</t>
        </is>
      </c>
      <c r="E939" t="inlineStr">
        <is>
          <t>SUDESTE MG</t>
        </is>
      </c>
      <c r="F939" t="inlineStr">
        <is>
          <t>Cliente C - Misturador</t>
        </is>
      </c>
      <c r="G939" t="inlineStr">
        <is>
          <t>Refrigeradores</t>
        </is>
      </c>
      <c r="H939" s="10" t="n">
        <v>30</v>
      </c>
      <c r="I939" s="10">
        <f>IFERROR(T939*H939,0)</f>
        <v/>
      </c>
      <c r="J939" s="11" t="n">
        <v>46076</v>
      </c>
      <c r="K939" s="11" t="n"/>
      <c r="L939" t="inlineStr">
        <is>
          <t>Aguardando devolução</t>
        </is>
      </c>
      <c r="M939">
        <f>IF(L939="","",IFERROR(VLOOKUP(L939,mapGrupoStatus,2,0),"Outros"))</f>
        <v/>
      </c>
      <c r="N939">
        <f>IF(O939="","",IF(O939&lt;=30,"0-30 dias",IF(O939&lt;=60,"31-60 dias",IF(O939&lt;=90,"61-90 dias","Mais de 90 dias"))))</f>
        <v/>
      </c>
      <c r="O939">
        <f>IF(OR(M939="Pendente",M939="Em andamento"),IF(J939="","",TODAY()-J939),"")</f>
        <v/>
      </c>
      <c r="P939" t="n">
        <v>11619</v>
      </c>
      <c r="Q939" t="inlineStr">
        <is>
          <t>Refrigeração Ltda (11619)</t>
        </is>
      </c>
      <c r="R939" t="inlineStr">
        <is>
          <t>PC-0017</t>
        </is>
      </c>
      <c r="S939" t="inlineStr">
        <is>
          <t>Filtro secador modelo 03</t>
        </is>
      </c>
      <c r="T939" t="n">
        <v>1</v>
      </c>
      <c r="U939" t="inlineStr"/>
      <c r="V939">
        <f>IF(J939="","",MONTH(J939))</f>
        <v/>
      </c>
      <c r="W939">
        <f>IF(J939="","",YEAR(J939))</f>
        <v/>
      </c>
      <c r="X939" t="inlineStr"/>
      <c r="Y939">
        <f>IFERROR(INDEX(Rastreio!$H$2:$H$200,MATCH(X939&amp;"|"&amp;U939,Rastreio!$A$2:$A$200,0)),"")</f>
        <v/>
      </c>
    </row>
    <row r="940">
      <c r="A940">
        <f>IFERROR(INDEX(STAs!$G$2:$G$61,MATCH(P940,STAs!$F$2:$F$61,0))&amp;"","")</f>
        <v/>
      </c>
      <c r="B940" t="n">
        <v>20026246</v>
      </c>
      <c r="C940" t="inlineStr">
        <is>
          <t>Não</t>
        </is>
      </c>
      <c r="D940" t="inlineStr">
        <is>
          <t>RS</t>
        </is>
      </c>
      <c r="E940" t="inlineStr">
        <is>
          <t>SUL</t>
        </is>
      </c>
      <c r="F940" t="inlineStr">
        <is>
          <t>Cliente B - Chopeira</t>
        </is>
      </c>
      <c r="G940" t="inlineStr">
        <is>
          <t>Refrigeradores</t>
        </is>
      </c>
      <c r="H940" s="10" t="n">
        <v>330</v>
      </c>
      <c r="I940" s="10">
        <f>IFERROR(T940*H940,0)</f>
        <v/>
      </c>
      <c r="J940" s="11" t="n">
        <v>46076</v>
      </c>
      <c r="K940" s="11" t="n"/>
      <c r="L940" t="inlineStr">
        <is>
          <t>NPD</t>
        </is>
      </c>
      <c r="M940">
        <f>IF(L940="","",IFERROR(VLOOKUP(L940,mapGrupoStatus,2,0),"Outros"))</f>
        <v/>
      </c>
      <c r="N940">
        <f>IF(O940="","",IF(O940&lt;=30,"0-30 dias",IF(O940&lt;=60,"31-60 dias",IF(O940&lt;=90,"61-90 dias","Mais de 90 dias"))))</f>
        <v/>
      </c>
      <c r="O940">
        <f>IF(OR(M940="Pendente",M940="Em andamento"),IF(J940="","",TODAY()-J940),"")</f>
        <v/>
      </c>
      <c r="P940" t="n">
        <v>12617</v>
      </c>
      <c r="Q940" t="inlineStr">
        <is>
          <t>Gelo Manutenção (12617)</t>
        </is>
      </c>
      <c r="R940" t="inlineStr">
        <is>
          <t>PC-0003</t>
        </is>
      </c>
      <c r="S940" t="inlineStr">
        <is>
          <t>Compressor modelo 03</t>
        </is>
      </c>
      <c r="T940" t="n">
        <v>3</v>
      </c>
      <c r="U940" t="inlineStr"/>
      <c r="V940">
        <f>IF(J940="","",MONTH(J940))</f>
        <v/>
      </c>
      <c r="W940">
        <f>IF(J940="","",YEAR(J940))</f>
        <v/>
      </c>
      <c r="X940" t="inlineStr"/>
      <c r="Y940">
        <f>IFERROR(INDEX(Rastreio!$H$2:$H$200,MATCH(X940&amp;"|"&amp;U940,Rastreio!$A$2:$A$200,0)),"")</f>
        <v/>
      </c>
    </row>
    <row r="941">
      <c r="A941">
        <f>IFERROR(INDEX(STAs!$G$2:$G$61,MATCH(P941,STAs!$F$2:$F$61,0))&amp;"","")</f>
        <v/>
      </c>
      <c r="B941" t="n">
        <v>20031628</v>
      </c>
      <c r="C941" t="inlineStr">
        <is>
          <t>Não</t>
        </is>
      </c>
      <c r="D941" t="inlineStr">
        <is>
          <t>PI</t>
        </is>
      </c>
      <c r="E941" t="inlineStr">
        <is>
          <t>NORDESTE</t>
        </is>
      </c>
      <c r="F941" t="inlineStr">
        <is>
          <t>Cliente C - Misturador</t>
        </is>
      </c>
      <c r="G941" t="inlineStr">
        <is>
          <t>Chopeiras</t>
        </is>
      </c>
      <c r="H941" s="10" t="n">
        <v>85</v>
      </c>
      <c r="I941" s="10">
        <f>IFERROR(T941*H941,0)</f>
        <v/>
      </c>
      <c r="J941" s="11" t="n">
        <v>46076</v>
      </c>
      <c r="K941" s="11" t="n">
        <v>46103</v>
      </c>
      <c r="L941" t="inlineStr">
        <is>
          <t>Ok. Devolvida</t>
        </is>
      </c>
      <c r="M941">
        <f>IF(L941="","",IFERROR(VLOOKUP(L941,mapGrupoStatus,2,0),"Outros"))</f>
        <v/>
      </c>
      <c r="N941">
        <f>IF(O941="","",IF(O941&lt;=30,"0-30 dias",IF(O941&lt;=60,"31-60 dias",IF(O941&lt;=90,"61-90 dias","Mais de 90 dias"))))</f>
        <v/>
      </c>
      <c r="O941">
        <f>IF(OR(M941="Pendente",M941="Em andamento"),IF(J941="","",TODAY()-J941),"")</f>
        <v/>
      </c>
      <c r="P941" t="n">
        <v>12936</v>
      </c>
      <c r="Q941" t="inlineStr">
        <is>
          <t>Frigo Técnica (12936)</t>
        </is>
      </c>
      <c r="R941" t="inlineStr">
        <is>
          <t>PC-0036</t>
        </is>
      </c>
      <c r="S941" t="inlineStr">
        <is>
          <t>Válvula extratora modelo 02</t>
        </is>
      </c>
      <c r="T941" t="n">
        <v>1</v>
      </c>
      <c r="U941" t="n">
        <v>155</v>
      </c>
      <c r="V941">
        <f>IF(J941="","",MONTH(J941))</f>
        <v/>
      </c>
      <c r="W941">
        <f>IF(J941="","",YEAR(J941))</f>
        <v/>
      </c>
      <c r="X941" t="inlineStr">
        <is>
          <t>RotaSul</t>
        </is>
      </c>
      <c r="Y941">
        <f>IFERROR(INDEX(Rastreio!$H$2:$H$200,MATCH(X941&amp;"|"&amp;U941,Rastreio!$A$2:$A$200,0)),"")</f>
        <v/>
      </c>
    </row>
    <row r="942">
      <c r="A942">
        <f>IFERROR(INDEX(STAs!$G$2:$G$61,MATCH(P942,STAs!$F$2:$F$61,0))&amp;"","")</f>
        <v/>
      </c>
      <c r="B942" t="n">
        <v>20037773</v>
      </c>
      <c r="C942" t="inlineStr">
        <is>
          <t>Não</t>
        </is>
      </c>
      <c r="D942" t="inlineStr">
        <is>
          <t>PR</t>
        </is>
      </c>
      <c r="E942" t="inlineStr">
        <is>
          <t>SUL</t>
        </is>
      </c>
      <c r="F942" t="inlineStr">
        <is>
          <t>Cliente C - Misturador</t>
        </is>
      </c>
      <c r="G942" t="inlineStr">
        <is>
          <t>Misturadores</t>
        </is>
      </c>
      <c r="H942" s="10" t="n">
        <v>255</v>
      </c>
      <c r="I942" s="10">
        <f>IFERROR(T942*H942,0)</f>
        <v/>
      </c>
      <c r="J942" s="11" t="n">
        <v>46076</v>
      </c>
      <c r="K942" s="11" t="n">
        <v>46094</v>
      </c>
      <c r="L942" t="inlineStr">
        <is>
          <t>Ok. Devolvida</t>
        </is>
      </c>
      <c r="M942">
        <f>IF(L942="","",IFERROR(VLOOKUP(L942,mapGrupoStatus,2,0),"Outros"))</f>
        <v/>
      </c>
      <c r="N942">
        <f>IF(O942="","",IF(O942&lt;=30,"0-30 dias",IF(O942&lt;=60,"31-60 dias",IF(O942&lt;=90,"61-90 dias","Mais de 90 dias"))))</f>
        <v/>
      </c>
      <c r="O942">
        <f>IF(OR(M942="Pendente",M942="Em andamento"),IF(J942="","",TODAY()-J942),"")</f>
        <v/>
      </c>
      <c r="P942" t="n">
        <v>12089</v>
      </c>
      <c r="Q942" t="inlineStr">
        <is>
          <t>Termotec Serviços (12089)</t>
        </is>
      </c>
      <c r="R942" t="inlineStr">
        <is>
          <t>PC-0039</t>
        </is>
      </c>
      <c r="S942" t="inlineStr">
        <is>
          <t>Bomba de recirculação modelo 03</t>
        </is>
      </c>
      <c r="T942" t="n">
        <v>2</v>
      </c>
      <c r="U942" t="n">
        <v>158</v>
      </c>
      <c r="V942">
        <f>IF(J942="","",MONTH(J942))</f>
        <v/>
      </c>
      <c r="W942">
        <f>IF(J942="","",YEAR(J942))</f>
        <v/>
      </c>
      <c r="X942" t="inlineStr">
        <is>
          <t>ViaCargo</t>
        </is>
      </c>
      <c r="Y942">
        <f>IFERROR(INDEX(Rastreio!$H$2:$H$200,MATCH(X942&amp;"|"&amp;U942,Rastreio!$A$2:$A$200,0)),"")</f>
        <v/>
      </c>
    </row>
    <row r="943">
      <c r="A943">
        <f>IFERROR(INDEX(STAs!$G$2:$G$61,MATCH(P943,STAs!$F$2:$F$61,0))&amp;"","")</f>
        <v/>
      </c>
      <c r="B943" t="n">
        <v>20003266</v>
      </c>
      <c r="C943" t="inlineStr">
        <is>
          <t>Não</t>
        </is>
      </c>
      <c r="D943" t="inlineStr">
        <is>
          <t>MG</t>
        </is>
      </c>
      <c r="E943" t="inlineStr">
        <is>
          <t>SUDESTE MG</t>
        </is>
      </c>
      <c r="F943" t="inlineStr">
        <is>
          <t>Cliente A - Refrigerador</t>
        </is>
      </c>
      <c r="G943" t="inlineStr">
        <is>
          <t>Misturadores</t>
        </is>
      </c>
      <c r="H943" s="10" t="n">
        <v>50</v>
      </c>
      <c r="I943" s="10">
        <f>IFERROR(T943*H943,0)</f>
        <v/>
      </c>
      <c r="J943" s="11" t="n">
        <v>46077</v>
      </c>
      <c r="K943" s="11" t="n">
        <v>46135</v>
      </c>
      <c r="L943" t="inlineStr">
        <is>
          <t>Ok. Devolvida</t>
        </is>
      </c>
      <c r="M943">
        <f>IF(L943="","",IFERROR(VLOOKUP(L943,mapGrupoStatus,2,0),"Outros"))</f>
        <v/>
      </c>
      <c r="N943">
        <f>IF(O943="","",IF(O943&lt;=30,"0-30 dias",IF(O943&lt;=60,"31-60 dias",IF(O943&lt;=90,"61-90 dias","Mais de 90 dias"))))</f>
        <v/>
      </c>
      <c r="O943">
        <f>IF(OR(M943="Pendente",M943="Em andamento"),IF(J943="","",TODAY()-J943),"")</f>
        <v/>
      </c>
      <c r="P943" t="n">
        <v>11487</v>
      </c>
      <c r="Q943" t="inlineStr">
        <is>
          <t>Assistência Técnica Manutenção (11487)</t>
        </is>
      </c>
      <c r="R943" t="inlineStr">
        <is>
          <t>PC-0044</t>
        </is>
      </c>
      <c r="S943" t="inlineStr">
        <is>
          <t>Bico dosador modelo 03</t>
        </is>
      </c>
      <c r="T943" t="n">
        <v>1</v>
      </c>
      <c r="U943" t="n">
        <v>104</v>
      </c>
      <c r="V943">
        <f>IF(J943="","",MONTH(J943))</f>
        <v/>
      </c>
      <c r="W943">
        <f>IF(J943="","",YEAR(J943))</f>
        <v/>
      </c>
      <c r="X943" t="inlineStr">
        <is>
          <t>CargoMax</t>
        </is>
      </c>
      <c r="Y943">
        <f>IFERROR(INDEX(Rastreio!$H$2:$H$200,MATCH(X943&amp;"|"&amp;U943,Rastreio!$A$2:$A$200,0)),"")</f>
        <v/>
      </c>
    </row>
    <row r="944">
      <c r="A944">
        <f>IFERROR(INDEX(STAs!$G$2:$G$61,MATCH(P944,STAs!$F$2:$F$61,0))&amp;"","")</f>
        <v/>
      </c>
      <c r="B944" t="n">
        <v>20003931</v>
      </c>
      <c r="C944" t="inlineStr">
        <is>
          <t>Não</t>
        </is>
      </c>
      <c r="D944" t="inlineStr">
        <is>
          <t>SP</t>
        </is>
      </c>
      <c r="E944" t="inlineStr">
        <is>
          <t>SUDESTE SP</t>
        </is>
      </c>
      <c r="F944" t="inlineStr">
        <is>
          <t>Cliente A - Refrigerador</t>
        </is>
      </c>
      <c r="G944" t="inlineStr">
        <is>
          <t>Refrigeradores</t>
        </is>
      </c>
      <c r="H944" s="10" t="n">
        <v>30</v>
      </c>
      <c r="I944" s="10">
        <f>IFERROR(T944*H944,0)</f>
        <v/>
      </c>
      <c r="J944" s="11" t="n">
        <v>46077</v>
      </c>
      <c r="K944" s="11" t="n"/>
      <c r="L944" t="inlineStr">
        <is>
          <t>Debitar do STA</t>
        </is>
      </c>
      <c r="M944">
        <f>IF(L944="","",IFERROR(VLOOKUP(L944,mapGrupoStatus,2,0),"Outros"))</f>
        <v/>
      </c>
      <c r="N944">
        <f>IF(O944="","",IF(O944&lt;=30,"0-30 dias",IF(O944&lt;=60,"31-60 dias",IF(O944&lt;=90,"61-90 dias","Mais de 90 dias"))))</f>
        <v/>
      </c>
      <c r="O944">
        <f>IF(OR(M944="Pendente",M944="Em andamento"),IF(J944="","",TODAY()-J944),"")</f>
        <v/>
      </c>
      <c r="P944" t="n">
        <v>11710</v>
      </c>
      <c r="Q944" t="inlineStr">
        <is>
          <t>Brisa &amp; Cia (11710)</t>
        </is>
      </c>
      <c r="R944" t="inlineStr">
        <is>
          <t>PC-0025</t>
        </is>
      </c>
      <c r="S944" t="inlineStr">
        <is>
          <t>Relé de partida modelo 03</t>
        </is>
      </c>
      <c r="T944" t="n">
        <v>1</v>
      </c>
      <c r="U944" t="inlineStr"/>
      <c r="V944">
        <f>IF(J944="","",MONTH(J944))</f>
        <v/>
      </c>
      <c r="W944">
        <f>IF(J944="","",YEAR(J944))</f>
        <v/>
      </c>
      <c r="X944" t="inlineStr"/>
      <c r="Y944">
        <f>IFERROR(INDEX(Rastreio!$H$2:$H$200,MATCH(X944&amp;"|"&amp;U944,Rastreio!$A$2:$A$200,0)),"")</f>
        <v/>
      </c>
    </row>
    <row r="945">
      <c r="A945">
        <f>IFERROR(INDEX(STAs!$G$2:$G$61,MATCH(P945,STAs!$F$2:$F$61,0))&amp;"","")</f>
        <v/>
      </c>
      <c r="B945" t="n">
        <v>20031675</v>
      </c>
      <c r="C945" t="inlineStr">
        <is>
          <t>Não</t>
        </is>
      </c>
      <c r="D945" t="inlineStr">
        <is>
          <t>PA</t>
        </is>
      </c>
      <c r="E945" t="inlineStr">
        <is>
          <t>NORTE</t>
        </is>
      </c>
      <c r="F945" t="inlineStr">
        <is>
          <t>Cliente B - Chopeira</t>
        </is>
      </c>
      <c r="G945" t="inlineStr">
        <is>
          <t>Chopeiras</t>
        </is>
      </c>
      <c r="H945" s="10" t="n">
        <v>120</v>
      </c>
      <c r="I945" s="10">
        <f>IFERROR(T945*H945,0)</f>
        <v/>
      </c>
      <c r="J945" s="11" t="n">
        <v>46077</v>
      </c>
      <c r="K945" s="11" t="n">
        <v>46115</v>
      </c>
      <c r="L945" t="inlineStr">
        <is>
          <t>Ok. Devolvida</t>
        </is>
      </c>
      <c r="M945">
        <f>IF(L945="","",IFERROR(VLOOKUP(L945,mapGrupoStatus,2,0),"Outros"))</f>
        <v/>
      </c>
      <c r="N945">
        <f>IF(O945="","",IF(O945&lt;=30,"0-30 dias",IF(O945&lt;=60,"31-60 dias",IF(O945&lt;=90,"61-90 dias","Mais de 90 dias"))))</f>
        <v/>
      </c>
      <c r="O945">
        <f>IF(OR(M945="Pendente",M945="Em andamento"),IF(J945="","",TODAY()-J945),"")</f>
        <v/>
      </c>
      <c r="P945" t="n">
        <v>11986</v>
      </c>
      <c r="Q945" t="inlineStr">
        <is>
          <t>Polar Serviços (11986)</t>
        </is>
      </c>
      <c r="R945" t="inlineStr">
        <is>
          <t>PC-0032</t>
        </is>
      </c>
      <c r="S945" t="inlineStr">
        <is>
          <t>Regulador de pressão modelo 01</t>
        </is>
      </c>
      <c r="T945" t="n">
        <v>1</v>
      </c>
      <c r="U945" t="n">
        <v>151</v>
      </c>
      <c r="V945">
        <f>IF(J945="","",MONTH(J945))</f>
        <v/>
      </c>
      <c r="W945">
        <f>IF(J945="","",YEAR(J945))</f>
        <v/>
      </c>
      <c r="X945" t="inlineStr">
        <is>
          <t>ViaCargo</t>
        </is>
      </c>
      <c r="Y945">
        <f>IFERROR(INDEX(Rastreio!$H$2:$H$200,MATCH(X945&amp;"|"&amp;U945,Rastreio!$A$2:$A$200,0)),"")</f>
        <v/>
      </c>
    </row>
    <row r="946">
      <c r="A946">
        <f>IFERROR(INDEX(STAs!$G$2:$G$61,MATCH(P946,STAs!$F$2:$F$61,0))&amp;"","")</f>
        <v/>
      </c>
      <c r="B946" t="n">
        <v>20040006</v>
      </c>
      <c r="C946" t="inlineStr">
        <is>
          <t>Não</t>
        </is>
      </c>
      <c r="D946" t="inlineStr">
        <is>
          <t>PR</t>
        </is>
      </c>
      <c r="E946" t="inlineStr">
        <is>
          <t>SUL</t>
        </is>
      </c>
      <c r="F946" t="inlineStr">
        <is>
          <t>Cliente B - Chopeira</t>
        </is>
      </c>
      <c r="G946" t="inlineStr">
        <is>
          <t>Chopeiras</t>
        </is>
      </c>
      <c r="H946" s="10" t="n">
        <v>85</v>
      </c>
      <c r="I946" s="10">
        <f>IFERROR(T946*H946,0)</f>
        <v/>
      </c>
      <c r="J946" s="11" t="n">
        <v>46077</v>
      </c>
      <c r="K946" s="11" t="n">
        <v>46084</v>
      </c>
      <c r="L946" t="inlineStr">
        <is>
          <t>Ok. Devolvida</t>
        </is>
      </c>
      <c r="M946">
        <f>IF(L946="","",IFERROR(VLOOKUP(L946,mapGrupoStatus,2,0),"Outros"))</f>
        <v/>
      </c>
      <c r="N946">
        <f>IF(O946="","",IF(O946&lt;=30,"0-30 dias",IF(O946&lt;=60,"31-60 dias",IF(O946&lt;=90,"61-90 dias","Mais de 90 dias"))))</f>
        <v/>
      </c>
      <c r="O946">
        <f>IF(OR(M946="Pendente",M946="Em andamento"),IF(J946="","",TODAY()-J946),"")</f>
        <v/>
      </c>
      <c r="P946" t="n">
        <v>10504</v>
      </c>
      <c r="Q946" t="inlineStr">
        <is>
          <t>Zero Grau Ltda (10504)</t>
        </is>
      </c>
      <c r="R946" t="inlineStr">
        <is>
          <t>PC-0026</t>
        </is>
      </c>
      <c r="S946" t="inlineStr">
        <is>
          <t>Torneira de chopp modelo 01</t>
        </is>
      </c>
      <c r="T946" t="n">
        <v>1</v>
      </c>
      <c r="U946" t="n">
        <v>160</v>
      </c>
      <c r="V946">
        <f>IF(J946="","",MONTH(J946))</f>
        <v/>
      </c>
      <c r="W946">
        <f>IF(J946="","",YEAR(J946))</f>
        <v/>
      </c>
      <c r="X946" t="inlineStr">
        <is>
          <t>ViaCargo</t>
        </is>
      </c>
      <c r="Y946">
        <f>IFERROR(INDEX(Rastreio!$H$2:$H$200,MATCH(X946&amp;"|"&amp;U946,Rastreio!$A$2:$A$200,0)),"")</f>
        <v/>
      </c>
    </row>
    <row r="947">
      <c r="A947">
        <f>IFERROR(INDEX(STAs!$G$2:$G$61,MATCH(P947,STAs!$F$2:$F$61,0))&amp;"","")</f>
        <v/>
      </c>
      <c r="B947" t="n">
        <v>20040839</v>
      </c>
      <c r="C947" t="inlineStr">
        <is>
          <t>Não</t>
        </is>
      </c>
      <c r="D947" t="inlineStr">
        <is>
          <t>PI</t>
        </is>
      </c>
      <c r="E947" t="inlineStr">
        <is>
          <t>NORDESTE</t>
        </is>
      </c>
      <c r="F947" t="inlineStr">
        <is>
          <t>Cliente B - Chopeira</t>
        </is>
      </c>
      <c r="G947" t="inlineStr">
        <is>
          <t>Chopeiras</t>
        </is>
      </c>
      <c r="H947" s="10" t="n">
        <v>115</v>
      </c>
      <c r="I947" s="10">
        <f>IFERROR(T947*H947,0)</f>
        <v/>
      </c>
      <c r="J947" s="11" t="n">
        <v>46077</v>
      </c>
      <c r="K947" s="11" t="n">
        <v>46119</v>
      </c>
      <c r="L947" t="inlineStr">
        <is>
          <t>Ok. Devolvida</t>
        </is>
      </c>
      <c r="M947">
        <f>IF(L947="","",IFERROR(VLOOKUP(L947,mapGrupoStatus,2,0),"Outros"))</f>
        <v/>
      </c>
      <c r="N947">
        <f>IF(O947="","",IF(O947&lt;=30,"0-30 dias",IF(O947&lt;=60,"31-60 dias",IF(O947&lt;=90,"61-90 dias","Mais de 90 dias"))))</f>
        <v/>
      </c>
      <c r="O947">
        <f>IF(OR(M947="Pendente",M947="Em andamento"),IF(J947="","",TODAY()-J947),"")</f>
        <v/>
      </c>
      <c r="P947" t="n">
        <v>10562</v>
      </c>
      <c r="Q947" t="inlineStr">
        <is>
          <t>Clima &amp; Cia (10562)</t>
        </is>
      </c>
      <c r="R947" t="inlineStr">
        <is>
          <t>PC-0034</t>
        </is>
      </c>
      <c r="S947" t="inlineStr">
        <is>
          <t>Regulador de pressão modelo 03</t>
        </is>
      </c>
      <c r="T947" t="n">
        <v>1</v>
      </c>
      <c r="U947" t="n">
        <v>177</v>
      </c>
      <c r="V947">
        <f>IF(J947="","",MONTH(J947))</f>
        <v/>
      </c>
      <c r="W947">
        <f>IF(J947="","",YEAR(J947))</f>
        <v/>
      </c>
      <c r="X947" t="inlineStr">
        <is>
          <t>RotaSul</t>
        </is>
      </c>
      <c r="Y947">
        <f>IFERROR(INDEX(Rastreio!$H$2:$H$200,MATCH(X947&amp;"|"&amp;U947,Rastreio!$A$2:$A$200,0)),"")</f>
        <v/>
      </c>
    </row>
    <row r="948">
      <c r="A948">
        <f>IFERROR(INDEX(STAs!$G$2:$G$61,MATCH(P948,STAs!$F$2:$F$61,0))&amp;"","")</f>
        <v/>
      </c>
      <c r="B948" t="n">
        <v>20000136</v>
      </c>
      <c r="C948" t="inlineStr">
        <is>
          <t>Não</t>
        </is>
      </c>
      <c r="D948" t="inlineStr">
        <is>
          <t>AC</t>
        </is>
      </c>
      <c r="E948" t="inlineStr">
        <is>
          <t>NORTE</t>
        </is>
      </c>
      <c r="F948" t="inlineStr">
        <is>
          <t>Cliente A - Refrigerador</t>
        </is>
      </c>
      <c r="G948" t="inlineStr">
        <is>
          <t>Misturadores</t>
        </is>
      </c>
      <c r="H948" s="10" t="n">
        <v>255</v>
      </c>
      <c r="I948" s="10">
        <f>IFERROR(T948*H948,0)</f>
        <v/>
      </c>
      <c r="J948" s="11" t="n">
        <v>46078</v>
      </c>
      <c r="K948" s="11" t="n">
        <v>46087</v>
      </c>
      <c r="L948" t="inlineStr">
        <is>
          <t>Ok. Devolvida</t>
        </is>
      </c>
      <c r="M948">
        <f>IF(L948="","",IFERROR(VLOOKUP(L948,mapGrupoStatus,2,0),"Outros"))</f>
        <v/>
      </c>
      <c r="N948">
        <f>IF(O948="","",IF(O948&lt;=30,"0-30 dias",IF(O948&lt;=60,"31-60 dias",IF(O948&lt;=90,"61-90 dias","Mais de 90 dias"))))</f>
        <v/>
      </c>
      <c r="O948">
        <f>IF(OR(M948="Pendente",M948="Em andamento"),IF(J948="","",TODAY()-J948),"")</f>
        <v/>
      </c>
      <c r="P948" t="n">
        <v>10372</v>
      </c>
      <c r="Q948" t="inlineStr">
        <is>
          <t>Zero Grau ME (10372)</t>
        </is>
      </c>
      <c r="R948" t="inlineStr">
        <is>
          <t>PC-0037</t>
        </is>
      </c>
      <c r="S948" t="inlineStr">
        <is>
          <t>Bomba de recirculação modelo 01</t>
        </is>
      </c>
      <c r="T948" t="n">
        <v>2</v>
      </c>
      <c r="U948" t="n">
        <v>100</v>
      </c>
      <c r="V948">
        <f>IF(J948="","",MONTH(J948))</f>
        <v/>
      </c>
      <c r="W948">
        <f>IF(J948="","",YEAR(J948))</f>
        <v/>
      </c>
      <c r="X948" t="inlineStr">
        <is>
          <t>CargoMax</t>
        </is>
      </c>
      <c r="Y948">
        <f>IFERROR(INDEX(Rastreio!$H$2:$H$200,MATCH(X948&amp;"|"&amp;U948,Rastreio!$A$2:$A$200,0)),"")</f>
        <v/>
      </c>
    </row>
    <row r="949">
      <c r="A949">
        <f>IFERROR(INDEX(STAs!$G$2:$G$61,MATCH(P949,STAs!$F$2:$F$61,0))&amp;"","")</f>
        <v/>
      </c>
      <c r="B949" t="n">
        <v>20003937</v>
      </c>
      <c r="C949" t="inlineStr">
        <is>
          <t>Não</t>
        </is>
      </c>
      <c r="D949" t="inlineStr">
        <is>
          <t>TO</t>
        </is>
      </c>
      <c r="E949" t="inlineStr">
        <is>
          <t>NORTE</t>
        </is>
      </c>
      <c r="F949" t="inlineStr">
        <is>
          <t>Cliente C - Misturador</t>
        </is>
      </c>
      <c r="G949" t="inlineStr">
        <is>
          <t>Misturadores</t>
        </is>
      </c>
      <c r="H949" s="10" t="n">
        <v>60</v>
      </c>
      <c r="I949" s="10">
        <f>IFERROR(T949*H949,0)</f>
        <v/>
      </c>
      <c r="J949" s="11" t="n">
        <v>46078</v>
      </c>
      <c r="K949" s="11" t="n"/>
      <c r="L949" t="inlineStr">
        <is>
          <t>Debitar do STA</t>
        </is>
      </c>
      <c r="M949">
        <f>IF(L949="","",IFERROR(VLOOKUP(L949,mapGrupoStatus,2,0),"Outros"))</f>
        <v/>
      </c>
      <c r="N949">
        <f>IF(O949="","",IF(O949&lt;=30,"0-30 dias",IF(O949&lt;=60,"31-60 dias",IF(O949&lt;=90,"61-90 dias","Mais de 90 dias"))))</f>
        <v/>
      </c>
      <c r="O949">
        <f>IF(OR(M949="Pendente",M949="Em andamento"),IF(J949="","",TODAY()-J949),"")</f>
        <v/>
      </c>
      <c r="P949" t="n">
        <v>10939</v>
      </c>
      <c r="Q949" t="inlineStr">
        <is>
          <t>Zero Grau Manutenção (10939)</t>
        </is>
      </c>
      <c r="R949" t="inlineStr">
        <is>
          <t>PC-0046</t>
        </is>
      </c>
      <c r="S949" t="inlineStr">
        <is>
          <t>Sensor de nível modelo 02</t>
        </is>
      </c>
      <c r="T949" t="n">
        <v>1</v>
      </c>
      <c r="U949" t="inlineStr"/>
      <c r="V949">
        <f>IF(J949="","",MONTH(J949))</f>
        <v/>
      </c>
      <c r="W949">
        <f>IF(J949="","",YEAR(J949))</f>
        <v/>
      </c>
      <c r="X949" t="inlineStr"/>
      <c r="Y949">
        <f>IFERROR(INDEX(Rastreio!$H$2:$H$200,MATCH(X949&amp;"|"&amp;U949,Rastreio!$A$2:$A$200,0)),"")</f>
        <v/>
      </c>
    </row>
    <row r="950">
      <c r="A950">
        <f>IFERROR(INDEX(STAs!$G$2:$G$61,MATCH(P950,STAs!$F$2:$F$61,0))&amp;"","")</f>
        <v/>
      </c>
      <c r="B950" t="n">
        <v>20033653</v>
      </c>
      <c r="C950" t="inlineStr">
        <is>
          <t>Não</t>
        </is>
      </c>
      <c r="D950" t="inlineStr">
        <is>
          <t>SC</t>
        </is>
      </c>
      <c r="E950" t="inlineStr">
        <is>
          <t>SUL</t>
        </is>
      </c>
      <c r="F950" t="inlineStr">
        <is>
          <t>Cliente A - Refrigerador</t>
        </is>
      </c>
      <c r="G950" t="inlineStr">
        <is>
          <t>Refrigeradores</t>
        </is>
      </c>
      <c r="H950" s="10" t="n">
        <v>45</v>
      </c>
      <c r="I950" s="10">
        <f>IFERROR(T950*H950,0)</f>
        <v/>
      </c>
      <c r="J950" s="11" t="n">
        <v>46078</v>
      </c>
      <c r="K950" s="11" t="n">
        <v>46110</v>
      </c>
      <c r="L950" t="inlineStr">
        <is>
          <t>Ok. Devolvida</t>
        </is>
      </c>
      <c r="M950">
        <f>IF(L950="","",IFERROR(VLOOKUP(L950,mapGrupoStatus,2,0),"Outros"))</f>
        <v/>
      </c>
      <c r="N950">
        <f>IF(O950="","",IF(O950&lt;=30,"0-30 dias",IF(O950&lt;=60,"31-60 dias",IF(O950&lt;=90,"61-90 dias","Mais de 90 dias"))))</f>
        <v/>
      </c>
      <c r="O950">
        <f>IF(OR(M950="Pendente",M950="Em andamento"),IF(J950="","",TODAY()-J950),"")</f>
        <v/>
      </c>
      <c r="P950" t="n">
        <v>12138</v>
      </c>
      <c r="Q950" t="inlineStr">
        <is>
          <t>Refrigeração Serviços (12138)</t>
        </is>
      </c>
      <c r="R950" t="inlineStr">
        <is>
          <t>PC-0019</t>
        </is>
      </c>
      <c r="S950" t="inlineStr">
        <is>
          <t>Gaxeta da porta modelo 02</t>
        </is>
      </c>
      <c r="T950" t="n">
        <v>3</v>
      </c>
      <c r="U950" t="n">
        <v>157</v>
      </c>
      <c r="V950">
        <f>IF(J950="","",MONTH(J950))</f>
        <v/>
      </c>
      <c r="W950">
        <f>IF(J950="","",YEAR(J950))</f>
        <v/>
      </c>
      <c r="X950" t="inlineStr">
        <is>
          <t>CargoMax</t>
        </is>
      </c>
      <c r="Y950">
        <f>IFERROR(INDEX(Rastreio!$H$2:$H$200,MATCH(X950&amp;"|"&amp;U950,Rastreio!$A$2:$A$200,0)),"")</f>
        <v/>
      </c>
    </row>
    <row r="951">
      <c r="A951">
        <f>IFERROR(INDEX(STAs!$G$2:$G$61,MATCH(P951,STAs!$F$2:$F$61,0))&amp;"","")</f>
        <v/>
      </c>
      <c r="B951" t="n">
        <v>20034552</v>
      </c>
      <c r="C951" t="inlineStr">
        <is>
          <t>Não</t>
        </is>
      </c>
      <c r="D951" t="inlineStr">
        <is>
          <t>RS</t>
        </is>
      </c>
      <c r="E951" t="inlineStr">
        <is>
          <t>SUL</t>
        </is>
      </c>
      <c r="F951" t="inlineStr">
        <is>
          <t>Cliente B - Chopeira</t>
        </is>
      </c>
      <c r="G951" t="inlineStr">
        <is>
          <t>Chopeiras</t>
        </is>
      </c>
      <c r="H951" s="10" t="n">
        <v>85</v>
      </c>
      <c r="I951" s="10">
        <f>IFERROR(T951*H951,0)</f>
        <v/>
      </c>
      <c r="J951" s="11" t="n">
        <v>46078</v>
      </c>
      <c r="K951" s="11" t="n">
        <v>46128</v>
      </c>
      <c r="L951" t="inlineStr">
        <is>
          <t>Ok. Devolvida</t>
        </is>
      </c>
      <c r="M951">
        <f>IF(L951="","",IFERROR(VLOOKUP(L951,mapGrupoStatus,2,0),"Outros"))</f>
        <v/>
      </c>
      <c r="N951">
        <f>IF(O951="","",IF(O951&lt;=30,"0-30 dias",IF(O951&lt;=60,"31-60 dias",IF(O951&lt;=90,"61-90 dias","Mais de 90 dias"))))</f>
        <v/>
      </c>
      <c r="O951">
        <f>IF(OR(M951="Pendente",M951="Em andamento"),IF(J951="","",TODAY()-J951),"")</f>
        <v/>
      </c>
      <c r="P951" t="n">
        <v>11459</v>
      </c>
      <c r="Q951" t="inlineStr">
        <is>
          <t>Frio ME (11459)</t>
        </is>
      </c>
      <c r="R951" t="inlineStr">
        <is>
          <t>PC-0036</t>
        </is>
      </c>
      <c r="S951" t="inlineStr">
        <is>
          <t>Válvula extratora modelo 02</t>
        </is>
      </c>
      <c r="T951" t="n">
        <v>1</v>
      </c>
      <c r="U951" t="n">
        <v>163</v>
      </c>
      <c r="V951">
        <f>IF(J951="","",MONTH(J951))</f>
        <v/>
      </c>
      <c r="W951">
        <f>IF(J951="","",YEAR(J951))</f>
        <v/>
      </c>
      <c r="X951" t="inlineStr">
        <is>
          <t>TransNorte</t>
        </is>
      </c>
      <c r="Y951">
        <f>IFERROR(INDEX(Rastreio!$H$2:$H$200,MATCH(X951&amp;"|"&amp;U951,Rastreio!$A$2:$A$200,0)),"")</f>
        <v/>
      </c>
    </row>
    <row r="952">
      <c r="A952">
        <f>IFERROR(INDEX(STAs!$G$2:$G$61,MATCH(P952,STAs!$F$2:$F$61,0))&amp;"","")</f>
        <v/>
      </c>
      <c r="B952" t="n">
        <v>20039399</v>
      </c>
      <c r="C952" t="inlineStr">
        <is>
          <t>Não</t>
        </is>
      </c>
      <c r="D952" t="inlineStr">
        <is>
          <t>RR</t>
        </is>
      </c>
      <c r="E952" t="inlineStr">
        <is>
          <t>NORTE</t>
        </is>
      </c>
      <c r="F952" t="inlineStr">
        <is>
          <t>Cliente A - Refrigerador</t>
        </is>
      </c>
      <c r="G952" t="inlineStr">
        <is>
          <t>Misturadores</t>
        </is>
      </c>
      <c r="H952" s="10" t="n">
        <v>200</v>
      </c>
      <c r="I952" s="10">
        <f>IFERROR(T952*H952,0)</f>
        <v/>
      </c>
      <c r="J952" s="11" t="n">
        <v>46078</v>
      </c>
      <c r="K952" s="11" t="n"/>
      <c r="L952" t="inlineStr">
        <is>
          <t>Não Devolve-Norte</t>
        </is>
      </c>
      <c r="M952">
        <f>IF(L952="","",IFERROR(VLOOKUP(L952,mapGrupoStatus,2,0),"Outros"))</f>
        <v/>
      </c>
      <c r="N952">
        <f>IF(O952="","",IF(O952&lt;=30,"0-30 dias",IF(O952&lt;=60,"31-60 dias",IF(O952&lt;=90,"61-90 dias","Mais de 90 dias"))))</f>
        <v/>
      </c>
      <c r="O952">
        <f>IF(OR(M952="Pendente",M952="Em andamento"),IF(J952="","",TODAY()-J952),"")</f>
        <v/>
      </c>
      <c r="P952" t="n">
        <v>12422</v>
      </c>
      <c r="Q952" t="inlineStr">
        <is>
          <t>Assistência Técnica Refrigeração (12422)</t>
        </is>
      </c>
      <c r="R952" t="inlineStr">
        <is>
          <t>PC-0040</t>
        </is>
      </c>
      <c r="S952" t="inlineStr">
        <is>
          <t>Motor agitador modelo 01</t>
        </is>
      </c>
      <c r="T952" t="n">
        <v>2</v>
      </c>
      <c r="U952" t="inlineStr"/>
      <c r="V952">
        <f>IF(J952="","",MONTH(J952))</f>
        <v/>
      </c>
      <c r="W952">
        <f>IF(J952="","",YEAR(J952))</f>
        <v/>
      </c>
      <c r="X952" t="inlineStr"/>
      <c r="Y952">
        <f>IFERROR(INDEX(Rastreio!$H$2:$H$200,MATCH(X952&amp;"|"&amp;U952,Rastreio!$A$2:$A$200,0)),"")</f>
        <v/>
      </c>
    </row>
    <row r="953">
      <c r="A953">
        <f>IFERROR(INDEX(STAs!$G$2:$G$61,MATCH(P953,STAs!$F$2:$F$61,0))&amp;"","")</f>
        <v/>
      </c>
      <c r="B953" t="n">
        <v>20009667</v>
      </c>
      <c r="C953" t="inlineStr">
        <is>
          <t>Não</t>
        </is>
      </c>
      <c r="D953" t="inlineStr">
        <is>
          <t>SP</t>
        </is>
      </c>
      <c r="E953" t="inlineStr">
        <is>
          <t>SUDESTE SP</t>
        </is>
      </c>
      <c r="F953" t="inlineStr">
        <is>
          <t>Cliente B - Chopeira</t>
        </is>
      </c>
      <c r="G953" t="inlineStr">
        <is>
          <t>Chopeiras</t>
        </is>
      </c>
      <c r="H953" s="10" t="n">
        <v>85</v>
      </c>
      <c r="I953" s="10">
        <f>IFERROR(T953*H953,0)</f>
        <v/>
      </c>
      <c r="J953" s="11" t="n">
        <v>46079</v>
      </c>
      <c r="K953" s="11" t="n">
        <v>46097</v>
      </c>
      <c r="L953" t="inlineStr">
        <is>
          <t>Ok. Devolvida</t>
        </is>
      </c>
      <c r="M953">
        <f>IF(L953="","",IFERROR(VLOOKUP(L953,mapGrupoStatus,2,0),"Outros"))</f>
        <v/>
      </c>
      <c r="N953">
        <f>IF(O953="","",IF(O953&lt;=30,"0-30 dias",IF(O953&lt;=60,"31-60 dias",IF(O953&lt;=90,"61-90 dias","Mais de 90 dias"))))</f>
        <v/>
      </c>
      <c r="O953">
        <f>IF(OR(M953="Pendente",M953="Em andamento"),IF(J953="","",TODAY()-J953),"")</f>
        <v/>
      </c>
      <c r="P953" t="n">
        <v>11710</v>
      </c>
      <c r="Q953" t="inlineStr">
        <is>
          <t>Brisa &amp; Cia (11710)</t>
        </is>
      </c>
      <c r="R953" t="inlineStr">
        <is>
          <t>PC-0026</t>
        </is>
      </c>
      <c r="S953" t="inlineStr">
        <is>
          <t>Torneira de chopp modelo 01</t>
        </is>
      </c>
      <c r="T953" t="n">
        <v>1</v>
      </c>
      <c r="U953" t="n">
        <v>119</v>
      </c>
      <c r="V953">
        <f>IF(J953="","",MONTH(J953))</f>
        <v/>
      </c>
      <c r="W953">
        <f>IF(J953="","",YEAR(J953))</f>
        <v/>
      </c>
      <c r="X953" t="inlineStr">
        <is>
          <t>EntregaJá</t>
        </is>
      </c>
      <c r="Y953">
        <f>IFERROR(INDEX(Rastreio!$H$2:$H$200,MATCH(X953&amp;"|"&amp;U953,Rastreio!$A$2:$A$200,0)),"")</f>
        <v/>
      </c>
    </row>
    <row r="954">
      <c r="A954">
        <f>IFERROR(INDEX(STAs!$G$2:$G$61,MATCH(P954,STAs!$F$2:$F$61,0))&amp;"","")</f>
        <v/>
      </c>
      <c r="B954" t="n">
        <v>20011043</v>
      </c>
      <c r="C954" t="inlineStr">
        <is>
          <t>Não</t>
        </is>
      </c>
      <c r="D954" t="inlineStr">
        <is>
          <t>MG</t>
        </is>
      </c>
      <c r="E954" t="inlineStr">
        <is>
          <t>SUDESTE MG</t>
        </is>
      </c>
      <c r="F954" t="inlineStr">
        <is>
          <t>Cliente A - Refrigerador</t>
        </is>
      </c>
      <c r="G954" t="inlineStr">
        <is>
          <t>Chopeiras</t>
        </is>
      </c>
      <c r="H954" s="10" t="n">
        <v>85</v>
      </c>
      <c r="I954" s="10">
        <f>IFERROR(T954*H954,0)</f>
        <v/>
      </c>
      <c r="J954" s="11" t="n">
        <v>46079</v>
      </c>
      <c r="K954" s="11" t="n">
        <v>46136</v>
      </c>
      <c r="L954" t="inlineStr">
        <is>
          <t>Ok. Devolvida</t>
        </is>
      </c>
      <c r="M954">
        <f>IF(L954="","",IFERROR(VLOOKUP(L954,mapGrupoStatus,2,0),"Outros"))</f>
        <v/>
      </c>
      <c r="N954">
        <f>IF(O954="","",IF(O954&lt;=30,"0-30 dias",IF(O954&lt;=60,"31-60 dias",IF(O954&lt;=90,"61-90 dias","Mais de 90 dias"))))</f>
        <v/>
      </c>
      <c r="O954">
        <f>IF(OR(M954="Pendente",M954="Em andamento"),IF(J954="","",TODAY()-J954),"")</f>
        <v/>
      </c>
      <c r="P954" t="n">
        <v>12158</v>
      </c>
      <c r="Q954" t="inlineStr">
        <is>
          <t>Gelo Serviços (12158)</t>
        </is>
      </c>
      <c r="R954" t="inlineStr">
        <is>
          <t>PC-0036</t>
        </is>
      </c>
      <c r="S954" t="inlineStr">
        <is>
          <t>Válvula extratora modelo 02</t>
        </is>
      </c>
      <c r="T954" t="n">
        <v>1</v>
      </c>
      <c r="U954" t="n">
        <v>125</v>
      </c>
      <c r="V954">
        <f>IF(J954="","",MONTH(J954))</f>
        <v/>
      </c>
      <c r="W954">
        <f>IF(J954="","",YEAR(J954))</f>
        <v/>
      </c>
      <c r="X954" t="inlineStr">
        <is>
          <t>ViaCargo</t>
        </is>
      </c>
      <c r="Y954">
        <f>IFERROR(INDEX(Rastreio!$H$2:$H$200,MATCH(X954&amp;"|"&amp;U954,Rastreio!$A$2:$A$200,0)),"")</f>
        <v/>
      </c>
    </row>
    <row r="955">
      <c r="A955">
        <f>IFERROR(INDEX(STAs!$G$2:$G$61,MATCH(P955,STAs!$F$2:$F$61,0))&amp;"","")</f>
        <v/>
      </c>
      <c r="B955" t="n">
        <v>20012116</v>
      </c>
      <c r="C955" t="inlineStr">
        <is>
          <t>Não</t>
        </is>
      </c>
      <c r="D955" t="inlineStr">
        <is>
          <t>PB</t>
        </is>
      </c>
      <c r="E955" t="inlineStr">
        <is>
          <t>NORDESTE</t>
        </is>
      </c>
      <c r="F955" t="inlineStr">
        <is>
          <t>Cliente C - Misturador</t>
        </is>
      </c>
      <c r="G955" t="inlineStr">
        <is>
          <t>Refrigeradores</t>
        </is>
      </c>
      <c r="H955" s="10" t="n">
        <v>175</v>
      </c>
      <c r="I955" s="10">
        <f>IFERROR(T955*H955,0)</f>
        <v/>
      </c>
      <c r="J955" s="11" t="n">
        <v>46079</v>
      </c>
      <c r="K955" s="11" t="n">
        <v>46113</v>
      </c>
      <c r="L955" t="inlineStr">
        <is>
          <t>Ok. Devolvida</t>
        </is>
      </c>
      <c r="M955">
        <f>IF(L955="","",IFERROR(VLOOKUP(L955,mapGrupoStatus,2,0),"Outros"))</f>
        <v/>
      </c>
      <c r="N955">
        <f>IF(O955="","",IF(O955&lt;=30,"0-30 dias",IF(O955&lt;=60,"31-60 dias",IF(O955&lt;=90,"61-90 dias","Mais de 90 dias"))))</f>
        <v/>
      </c>
      <c r="O955">
        <f>IF(OR(M955="Pendente",M955="Em andamento"),IF(J955="","",TODAY()-J955),"")</f>
        <v/>
      </c>
      <c r="P955" t="n">
        <v>11741</v>
      </c>
      <c r="Q955" t="inlineStr">
        <is>
          <t>Clima Refrigeração (11741)</t>
        </is>
      </c>
      <c r="R955" t="inlineStr">
        <is>
          <t>PC-0012</t>
        </is>
      </c>
      <c r="S955" t="inlineStr">
        <is>
          <t>Placa eletrônica modelo 02</t>
        </is>
      </c>
      <c r="T955" t="n">
        <v>2</v>
      </c>
      <c r="U955" t="n">
        <v>125</v>
      </c>
      <c r="V955">
        <f>IF(J955="","",MONTH(J955))</f>
        <v/>
      </c>
      <c r="W955">
        <f>IF(J955="","",YEAR(J955))</f>
        <v/>
      </c>
      <c r="X955" t="inlineStr">
        <is>
          <t>ViaCargo</t>
        </is>
      </c>
      <c r="Y955">
        <f>IFERROR(INDEX(Rastreio!$H$2:$H$200,MATCH(X955&amp;"|"&amp;U955,Rastreio!$A$2:$A$200,0)),"")</f>
        <v/>
      </c>
    </row>
    <row r="956">
      <c r="A956">
        <f>IFERROR(INDEX(STAs!$G$2:$G$61,MATCH(P956,STAs!$F$2:$F$61,0))&amp;"","")</f>
        <v/>
      </c>
      <c r="B956" t="n">
        <v>20024973</v>
      </c>
      <c r="C956" t="inlineStr">
        <is>
          <t>Não</t>
        </is>
      </c>
      <c r="D956" t="inlineStr">
        <is>
          <t>SP</t>
        </is>
      </c>
      <c r="E956" t="inlineStr">
        <is>
          <t>SUDESTE SP</t>
        </is>
      </c>
      <c r="F956" t="inlineStr">
        <is>
          <t>Cliente A - Refrigerador</t>
        </is>
      </c>
      <c r="G956" t="inlineStr">
        <is>
          <t>Refrigeradores</t>
        </is>
      </c>
      <c r="H956" s="10" t="n">
        <v>55</v>
      </c>
      <c r="I956" s="10">
        <f>IFERROR(T956*H956,0)</f>
        <v/>
      </c>
      <c r="J956" s="11" t="n">
        <v>46079</v>
      </c>
      <c r="K956" s="11" t="n">
        <v>46138</v>
      </c>
      <c r="L956" t="inlineStr">
        <is>
          <t>Ok. Devolvida</t>
        </is>
      </c>
      <c r="M956">
        <f>IF(L956="","",IFERROR(VLOOKUP(L956,mapGrupoStatus,2,0),"Outros"))</f>
        <v/>
      </c>
      <c r="N956">
        <f>IF(O956="","",IF(O956&lt;=30,"0-30 dias",IF(O956&lt;=60,"31-60 dias",IF(O956&lt;=90,"61-90 dias","Mais de 90 dias"))))</f>
        <v/>
      </c>
      <c r="O956">
        <f>IF(OR(M956="Pendente",M956="Em andamento"),IF(J956="","",TODAY()-J956),"")</f>
        <v/>
      </c>
      <c r="P956" t="n">
        <v>12901</v>
      </c>
      <c r="Q956" t="inlineStr">
        <is>
          <t>Frio Serviços (12901)</t>
        </is>
      </c>
      <c r="R956" t="inlineStr">
        <is>
          <t>PC-0008</t>
        </is>
      </c>
      <c r="S956" t="inlineStr">
        <is>
          <t>Ventilador modelo 02</t>
        </is>
      </c>
      <c r="T956" t="n">
        <v>2</v>
      </c>
      <c r="U956" t="n">
        <v>143</v>
      </c>
      <c r="V956">
        <f>IF(J956="","",MONTH(J956))</f>
        <v/>
      </c>
      <c r="W956">
        <f>IF(J956="","",YEAR(J956))</f>
        <v/>
      </c>
      <c r="X956" t="inlineStr">
        <is>
          <t>TransNorte</t>
        </is>
      </c>
      <c r="Y956">
        <f>IFERROR(INDEX(Rastreio!$H$2:$H$200,MATCH(X956&amp;"|"&amp;U956,Rastreio!$A$2:$A$200,0)),"")</f>
        <v/>
      </c>
    </row>
    <row r="957">
      <c r="A957">
        <f>IFERROR(INDEX(STAs!$G$2:$G$61,MATCH(P957,STAs!$F$2:$F$61,0))&amp;"","")</f>
        <v/>
      </c>
      <c r="B957" t="n">
        <v>20012800</v>
      </c>
      <c r="C957" t="inlineStr">
        <is>
          <t>Não</t>
        </is>
      </c>
      <c r="D957" t="inlineStr">
        <is>
          <t>MS</t>
        </is>
      </c>
      <c r="E957" t="inlineStr">
        <is>
          <t>CENTRO OESTE</t>
        </is>
      </c>
      <c r="F957" t="inlineStr">
        <is>
          <t>Cliente B - Chopeira</t>
        </is>
      </c>
      <c r="G957" t="inlineStr">
        <is>
          <t>Refrigeradores</t>
        </is>
      </c>
      <c r="H957" s="10" t="n">
        <v>35</v>
      </c>
      <c r="I957" s="10">
        <f>IFERROR(T957*H957,0)</f>
        <v/>
      </c>
      <c r="J957" s="11" t="n">
        <v>46080</v>
      </c>
      <c r="K957" s="11" t="n"/>
      <c r="L957" t="inlineStr">
        <is>
          <t>Em transporte</t>
        </is>
      </c>
      <c r="M957">
        <f>IF(L957="","",IFERROR(VLOOKUP(L957,mapGrupoStatus,2,0),"Outros"))</f>
        <v/>
      </c>
      <c r="N957">
        <f>IF(O957="","",IF(O957&lt;=30,"0-30 dias",IF(O957&lt;=60,"31-60 dias",IF(O957&lt;=90,"61-90 dias","Mais de 90 dias"))))</f>
        <v/>
      </c>
      <c r="O957">
        <f>IF(OR(M957="Pendente",M957="Em andamento"),IF(J957="","",TODAY()-J957),"")</f>
        <v/>
      </c>
      <c r="P957" t="n">
        <v>12280</v>
      </c>
      <c r="Q957" t="inlineStr">
        <is>
          <t>Termotec &amp; Cia (12280)</t>
        </is>
      </c>
      <c r="R957" t="inlineStr">
        <is>
          <t>PC-0020</t>
        </is>
      </c>
      <c r="S957" t="inlineStr">
        <is>
          <t>Gaxeta da porta modelo 03</t>
        </is>
      </c>
      <c r="T957" t="n">
        <v>1</v>
      </c>
      <c r="U957" t="n">
        <v>120</v>
      </c>
      <c r="V957">
        <f>IF(J957="","",MONTH(J957))</f>
        <v/>
      </c>
      <c r="W957">
        <f>IF(J957="","",YEAR(J957))</f>
        <v/>
      </c>
      <c r="X957" t="inlineStr">
        <is>
          <t>RotaSul</t>
        </is>
      </c>
      <c r="Y957">
        <f>IFERROR(INDEX(Rastreio!$H$2:$H$200,MATCH(X957&amp;"|"&amp;U957,Rastreio!$A$2:$A$200,0)),"")</f>
        <v/>
      </c>
    </row>
    <row r="958">
      <c r="A958">
        <f>IFERROR(INDEX(STAs!$G$2:$G$61,MATCH(P958,STAs!$F$2:$F$61,0))&amp;"","")</f>
        <v/>
      </c>
      <c r="B958" t="n">
        <v>20027410</v>
      </c>
      <c r="C958" t="inlineStr">
        <is>
          <t>Não</t>
        </is>
      </c>
      <c r="D958" t="inlineStr">
        <is>
          <t>RO</t>
        </is>
      </c>
      <c r="E958" t="inlineStr">
        <is>
          <t>NORTE</t>
        </is>
      </c>
      <c r="F958" t="inlineStr">
        <is>
          <t>Cliente C - Misturador</t>
        </is>
      </c>
      <c r="G958" t="inlineStr">
        <is>
          <t>Refrigeradores</t>
        </is>
      </c>
      <c r="H958" s="10" t="n">
        <v>30</v>
      </c>
      <c r="I958" s="10">
        <f>IFERROR(T958*H958,0)</f>
        <v/>
      </c>
      <c r="J958" s="11" t="n">
        <v>46080</v>
      </c>
      <c r="K958" s="11" t="n"/>
      <c r="L958" t="inlineStr">
        <is>
          <t>NF Vencida</t>
        </is>
      </c>
      <c r="M958">
        <f>IF(L958="","",IFERROR(VLOOKUP(L958,mapGrupoStatus,2,0),"Outros"))</f>
        <v/>
      </c>
      <c r="N958">
        <f>IF(O958="","",IF(O958&lt;=30,"0-30 dias",IF(O958&lt;=60,"31-60 dias",IF(O958&lt;=90,"61-90 dias","Mais de 90 dias"))))</f>
        <v/>
      </c>
      <c r="O958">
        <f>IF(OR(M958="Pendente",M958="Em andamento"),IF(J958="","",TODAY()-J958),"")</f>
        <v/>
      </c>
      <c r="P958" t="n">
        <v>10172</v>
      </c>
      <c r="Q958" t="inlineStr">
        <is>
          <t>Frigo Serviços (10172)</t>
        </is>
      </c>
      <c r="R958" t="inlineStr">
        <is>
          <t>PC-0017</t>
        </is>
      </c>
      <c r="S958" t="inlineStr">
        <is>
          <t>Filtro secador modelo 03</t>
        </is>
      </c>
      <c r="T958" t="n">
        <v>1</v>
      </c>
      <c r="U958" t="inlineStr"/>
      <c r="V958">
        <f>IF(J958="","",MONTH(J958))</f>
        <v/>
      </c>
      <c r="W958">
        <f>IF(J958="","",YEAR(J958))</f>
        <v/>
      </c>
      <c r="X958" t="inlineStr"/>
      <c r="Y958">
        <f>IFERROR(INDEX(Rastreio!$H$2:$H$200,MATCH(X958&amp;"|"&amp;U958,Rastreio!$A$2:$A$200,0)),"")</f>
        <v/>
      </c>
    </row>
    <row r="959">
      <c r="A959">
        <f>IFERROR(INDEX(STAs!$G$2:$G$61,MATCH(P959,STAs!$F$2:$F$61,0))&amp;"","")</f>
        <v/>
      </c>
      <c r="B959" t="n">
        <v>20033903</v>
      </c>
      <c r="C959" t="inlineStr">
        <is>
          <t>Não</t>
        </is>
      </c>
      <c r="D959" t="inlineStr">
        <is>
          <t>RR</t>
        </is>
      </c>
      <c r="E959" t="inlineStr">
        <is>
          <t>NORTE</t>
        </is>
      </c>
      <c r="F959" t="inlineStr">
        <is>
          <t>Cliente A - Refrigerador</t>
        </is>
      </c>
      <c r="G959" t="inlineStr">
        <is>
          <t>Refrigeradores</t>
        </is>
      </c>
      <c r="H959" s="10" t="n">
        <v>185</v>
      </c>
      <c r="I959" s="10">
        <f>IFERROR(T959*H959,0)</f>
        <v/>
      </c>
      <c r="J959" s="11" t="n">
        <v>46080</v>
      </c>
      <c r="K959" s="11" t="n">
        <v>46102</v>
      </c>
      <c r="L959" t="inlineStr">
        <is>
          <t>Ok. Devolvida</t>
        </is>
      </c>
      <c r="M959">
        <f>IF(L959="","",IFERROR(VLOOKUP(L959,mapGrupoStatus,2,0),"Outros"))</f>
        <v/>
      </c>
      <c r="N959">
        <f>IF(O959="","",IF(O959&lt;=30,"0-30 dias",IF(O959&lt;=60,"31-60 dias",IF(O959&lt;=90,"61-90 dias","Mais de 90 dias"))))</f>
        <v/>
      </c>
      <c r="O959">
        <f>IF(OR(M959="Pendente",M959="Em andamento"),IF(J959="","",TODAY()-J959),"")</f>
        <v/>
      </c>
      <c r="P959" t="n">
        <v>11818</v>
      </c>
      <c r="Q959" t="inlineStr">
        <is>
          <t>Termotec Ltda (11818)</t>
        </is>
      </c>
      <c r="R959" t="inlineStr">
        <is>
          <t>PC-0013</t>
        </is>
      </c>
      <c r="S959" t="inlineStr">
        <is>
          <t>Placa eletrônica modelo 03</t>
        </is>
      </c>
      <c r="T959" t="n">
        <v>1</v>
      </c>
      <c r="U959" t="n">
        <v>161</v>
      </c>
      <c r="V959">
        <f>IF(J959="","",MONTH(J959))</f>
        <v/>
      </c>
      <c r="W959">
        <f>IF(J959="","",YEAR(J959))</f>
        <v/>
      </c>
      <c r="X959" t="inlineStr">
        <is>
          <t>TransNorte</t>
        </is>
      </c>
      <c r="Y959">
        <f>IFERROR(INDEX(Rastreio!$H$2:$H$200,MATCH(X959&amp;"|"&amp;U959,Rastreio!$A$2:$A$200,0)),"")</f>
        <v/>
      </c>
    </row>
    <row r="960">
      <c r="A960">
        <f>IFERROR(INDEX(STAs!$G$2:$G$61,MATCH(P960,STAs!$F$2:$F$61,0))&amp;"","")</f>
        <v/>
      </c>
      <c r="B960" t="n">
        <v>20000357</v>
      </c>
      <c r="C960" t="inlineStr">
        <is>
          <t>Não</t>
        </is>
      </c>
      <c r="D960" t="inlineStr">
        <is>
          <t>BA</t>
        </is>
      </c>
      <c r="E960" t="inlineStr">
        <is>
          <t>NORDESTE</t>
        </is>
      </c>
      <c r="F960" t="inlineStr">
        <is>
          <t>Cliente A - Refrigerador</t>
        </is>
      </c>
      <c r="G960" t="inlineStr">
        <is>
          <t>Chopeiras</t>
        </is>
      </c>
      <c r="H960" s="10" t="n">
        <v>85</v>
      </c>
      <c r="I960" s="10">
        <f>IFERROR(T960*H960,0)</f>
        <v/>
      </c>
      <c r="J960" s="11" t="n">
        <v>46081</v>
      </c>
      <c r="K960" s="11" t="n"/>
      <c r="L960" t="inlineStr">
        <is>
          <t>Aguardando Transporte</t>
        </is>
      </c>
      <c r="M960">
        <f>IF(L960="","",IFERROR(VLOOKUP(L960,mapGrupoStatus,2,0),"Outros"))</f>
        <v/>
      </c>
      <c r="N960">
        <f>IF(O960="","",IF(O960&lt;=30,"0-30 dias",IF(O960&lt;=60,"31-60 dias",IF(O960&lt;=90,"61-90 dias","Mais de 90 dias"))))</f>
        <v/>
      </c>
      <c r="O960">
        <f>IF(OR(M960="Pendente",M960="Em andamento"),IF(J960="","",TODAY()-J960),"")</f>
        <v/>
      </c>
      <c r="P960" t="n">
        <v>12194</v>
      </c>
      <c r="Q960" t="inlineStr">
        <is>
          <t>Polar &amp; Cia (12194)</t>
        </is>
      </c>
      <c r="R960" t="inlineStr">
        <is>
          <t>PC-0036</t>
        </is>
      </c>
      <c r="S960" t="inlineStr">
        <is>
          <t>Válvula extratora modelo 02</t>
        </is>
      </c>
      <c r="T960" t="n">
        <v>1</v>
      </c>
      <c r="U960" t="n">
        <v>100</v>
      </c>
      <c r="V960">
        <f>IF(J960="","",MONTH(J960))</f>
        <v/>
      </c>
      <c r="W960">
        <f>IF(J960="","",YEAR(J960))</f>
        <v/>
      </c>
      <c r="X960" t="inlineStr">
        <is>
          <t>ViaCargo</t>
        </is>
      </c>
      <c r="Y960">
        <f>IFERROR(INDEX(Rastreio!$H$2:$H$200,MATCH(X960&amp;"|"&amp;U960,Rastreio!$A$2:$A$200,0)),"")</f>
        <v/>
      </c>
    </row>
    <row r="961">
      <c r="A961">
        <f>IFERROR(INDEX(STAs!$G$2:$G$61,MATCH(P961,STAs!$F$2:$F$61,0))&amp;"","")</f>
        <v/>
      </c>
      <c r="B961" t="n">
        <v>20011121</v>
      </c>
      <c r="C961" t="inlineStr">
        <is>
          <t>Não</t>
        </is>
      </c>
      <c r="D961" t="inlineStr">
        <is>
          <t>RJ</t>
        </is>
      </c>
      <c r="E961" t="inlineStr">
        <is>
          <t>SUDESTE RJ e ES</t>
        </is>
      </c>
      <c r="F961" t="inlineStr">
        <is>
          <t>Cliente A - Refrigerador</t>
        </is>
      </c>
      <c r="G961" t="inlineStr">
        <is>
          <t>Refrigeradores</t>
        </is>
      </c>
      <c r="H961" s="10" t="n">
        <v>155</v>
      </c>
      <c r="I961" s="10">
        <f>IFERROR(T961*H961,0)</f>
        <v/>
      </c>
      <c r="J961" s="11" t="n">
        <v>46081</v>
      </c>
      <c r="K961" s="11" t="n">
        <v>46086</v>
      </c>
      <c r="L961" t="inlineStr">
        <is>
          <t>Ok. Devolvida</t>
        </is>
      </c>
      <c r="M961">
        <f>IF(L961="","",IFERROR(VLOOKUP(L961,mapGrupoStatus,2,0),"Outros"))</f>
        <v/>
      </c>
      <c r="N961">
        <f>IF(O961="","",IF(O961&lt;=30,"0-30 dias",IF(O961&lt;=60,"31-60 dias",IF(O961&lt;=90,"61-90 dias","Mais de 90 dias"))))</f>
        <v/>
      </c>
      <c r="O961">
        <f>IF(OR(M961="Pendente",M961="Em andamento"),IF(J961="","",TODAY()-J961),"")</f>
        <v/>
      </c>
      <c r="P961" t="n">
        <v>10676</v>
      </c>
      <c r="Q961" t="inlineStr">
        <is>
          <t>Clima Serviços (10676)</t>
        </is>
      </c>
      <c r="R961" t="inlineStr">
        <is>
          <t>PC-0021</t>
        </is>
      </c>
      <c r="S961" t="inlineStr">
        <is>
          <t>Controlador digital modelo 01</t>
        </is>
      </c>
      <c r="T961" t="n">
        <v>1</v>
      </c>
      <c r="U961" t="n">
        <v>122</v>
      </c>
      <c r="V961">
        <f>IF(J961="","",MONTH(J961))</f>
        <v/>
      </c>
      <c r="W961">
        <f>IF(J961="","",YEAR(J961))</f>
        <v/>
      </c>
      <c r="X961" t="inlineStr">
        <is>
          <t>EntregaJá</t>
        </is>
      </c>
      <c r="Y961">
        <f>IFERROR(INDEX(Rastreio!$H$2:$H$200,MATCH(X961&amp;"|"&amp;U961,Rastreio!$A$2:$A$200,0)),"")</f>
        <v/>
      </c>
    </row>
    <row r="962">
      <c r="A962">
        <f>IFERROR(INDEX(STAs!$G$2:$G$61,MATCH(P962,STAs!$F$2:$F$61,0))&amp;"","")</f>
        <v/>
      </c>
      <c r="B962" t="n">
        <v>20012349</v>
      </c>
      <c r="C962" t="inlineStr">
        <is>
          <t>Não</t>
        </is>
      </c>
      <c r="D962" t="inlineStr">
        <is>
          <t>SP</t>
        </is>
      </c>
      <c r="E962" t="inlineStr">
        <is>
          <t>SUDESTE SP</t>
        </is>
      </c>
      <c r="F962" t="inlineStr">
        <is>
          <t>Cliente C - Misturador</t>
        </is>
      </c>
      <c r="G962" t="inlineStr">
        <is>
          <t>Misturadores</t>
        </is>
      </c>
      <c r="H962" s="10" t="n">
        <v>255</v>
      </c>
      <c r="I962" s="10">
        <f>IFERROR(T962*H962,0)</f>
        <v/>
      </c>
      <c r="J962" s="11" t="n">
        <v>46081</v>
      </c>
      <c r="K962" s="11" t="n"/>
      <c r="L962" t="inlineStr">
        <is>
          <t>NF Vencida</t>
        </is>
      </c>
      <c r="M962">
        <f>IF(L962="","",IFERROR(VLOOKUP(L962,mapGrupoStatus,2,0),"Outros"))</f>
        <v/>
      </c>
      <c r="N962">
        <f>IF(O962="","",IF(O962&lt;=30,"0-30 dias",IF(O962&lt;=60,"31-60 dias",IF(O962&lt;=90,"61-90 dias","Mais de 90 dias"))))</f>
        <v/>
      </c>
      <c r="O962">
        <f>IF(OR(M962="Pendente",M962="Em andamento"),IF(J962="","",TODAY()-J962),"")</f>
        <v/>
      </c>
      <c r="P962" t="n">
        <v>11710</v>
      </c>
      <c r="Q962" t="inlineStr">
        <is>
          <t>Brisa &amp; Cia (11710)</t>
        </is>
      </c>
      <c r="R962" t="inlineStr">
        <is>
          <t>PC-0039</t>
        </is>
      </c>
      <c r="S962" t="inlineStr">
        <is>
          <t>Bomba de recirculação modelo 03</t>
        </is>
      </c>
      <c r="T962" t="n">
        <v>3</v>
      </c>
      <c r="U962" t="inlineStr"/>
      <c r="V962">
        <f>IF(J962="","",MONTH(J962))</f>
        <v/>
      </c>
      <c r="W962">
        <f>IF(J962="","",YEAR(J962))</f>
        <v/>
      </c>
      <c r="X962" t="inlineStr"/>
      <c r="Y962">
        <f>IFERROR(INDEX(Rastreio!$H$2:$H$200,MATCH(X962&amp;"|"&amp;U962,Rastreio!$A$2:$A$200,0)),"")</f>
        <v/>
      </c>
    </row>
    <row r="963">
      <c r="A963">
        <f>IFERROR(INDEX(STAs!$G$2:$G$61,MATCH(P963,STAs!$F$2:$F$61,0))&amp;"","")</f>
        <v/>
      </c>
      <c r="B963" t="n">
        <v>20024759</v>
      </c>
      <c r="C963" t="inlineStr">
        <is>
          <t>Não</t>
        </is>
      </c>
      <c r="D963" t="inlineStr">
        <is>
          <t>ES</t>
        </is>
      </c>
      <c r="E963" t="inlineStr">
        <is>
          <t>SUDESTE RJ e ES</t>
        </is>
      </c>
      <c r="F963" t="inlineStr">
        <is>
          <t>Cliente C - Misturador</t>
        </is>
      </c>
      <c r="G963" t="inlineStr">
        <is>
          <t>Refrigeradores</t>
        </is>
      </c>
      <c r="H963" s="10" t="n">
        <v>30</v>
      </c>
      <c r="I963" s="10">
        <f>IFERROR(T963*H963,0)</f>
        <v/>
      </c>
      <c r="J963" s="11" t="n">
        <v>46081</v>
      </c>
      <c r="K963" s="11" t="n"/>
      <c r="L963" t="inlineStr">
        <is>
          <t>Em andamento</t>
        </is>
      </c>
      <c r="M963">
        <f>IF(L963="","",IFERROR(VLOOKUP(L963,mapGrupoStatus,2,0),"Outros"))</f>
        <v/>
      </c>
      <c r="N963">
        <f>IF(O963="","",IF(O963&lt;=30,"0-30 dias",IF(O963&lt;=60,"31-60 dias",IF(O963&lt;=90,"61-90 dias","Mais de 90 dias"))))</f>
        <v/>
      </c>
      <c r="O963">
        <f>IF(OR(M963="Pendente",M963="Em andamento"),IF(J963="","",TODAY()-J963),"")</f>
        <v/>
      </c>
      <c r="P963" t="n">
        <v>11396</v>
      </c>
      <c r="Q963" t="inlineStr">
        <is>
          <t>Frio Manutenção (11396)</t>
        </is>
      </c>
      <c r="R963" t="inlineStr">
        <is>
          <t>PC-0025</t>
        </is>
      </c>
      <c r="S963" t="inlineStr">
        <is>
          <t>Relé de partida modelo 03</t>
        </is>
      </c>
      <c r="T963" t="n">
        <v>1</v>
      </c>
      <c r="U963" t="n">
        <v>141</v>
      </c>
      <c r="V963">
        <f>IF(J963="","",MONTH(J963))</f>
        <v/>
      </c>
      <c r="W963">
        <f>IF(J963="","",YEAR(J963))</f>
        <v/>
      </c>
      <c r="X963" t="inlineStr">
        <is>
          <t>TransNorte</t>
        </is>
      </c>
      <c r="Y963">
        <f>IFERROR(INDEX(Rastreio!$H$2:$H$200,MATCH(X963&amp;"|"&amp;U963,Rastreio!$A$2:$A$200,0)),"")</f>
        <v/>
      </c>
    </row>
    <row r="964">
      <c r="A964">
        <f>IFERROR(INDEX(STAs!$G$2:$G$61,MATCH(P964,STAs!$F$2:$F$61,0))&amp;"","")</f>
        <v/>
      </c>
      <c r="B964" t="n">
        <v>20024867</v>
      </c>
      <c r="C964" t="inlineStr">
        <is>
          <t>Não</t>
        </is>
      </c>
      <c r="D964" t="inlineStr">
        <is>
          <t>SP</t>
        </is>
      </c>
      <c r="E964" t="inlineStr">
        <is>
          <t>SUDESTE SP</t>
        </is>
      </c>
      <c r="F964" t="inlineStr">
        <is>
          <t>Cliente B - Chopeira</t>
        </is>
      </c>
      <c r="G964" t="inlineStr">
        <is>
          <t>Refrigeradores</t>
        </is>
      </c>
      <c r="H964" s="10" t="n">
        <v>175</v>
      </c>
      <c r="I964" s="10">
        <f>IFERROR(T964*H964,0)</f>
        <v/>
      </c>
      <c r="J964" s="11" t="n">
        <v>46081</v>
      </c>
      <c r="K964" s="11" t="n">
        <v>46113</v>
      </c>
      <c r="L964" t="inlineStr">
        <is>
          <t>Ok. Devolvida</t>
        </is>
      </c>
      <c r="M964">
        <f>IF(L964="","",IFERROR(VLOOKUP(L964,mapGrupoStatus,2,0),"Outros"))</f>
        <v/>
      </c>
      <c r="N964">
        <f>IF(O964="","",IF(O964&lt;=30,"0-30 dias",IF(O964&lt;=60,"31-60 dias",IF(O964&lt;=90,"61-90 dias","Mais de 90 dias"))))</f>
        <v/>
      </c>
      <c r="O964">
        <f>IF(OR(M964="Pendente",M964="Em andamento"),IF(J964="","",TODAY()-J964),"")</f>
        <v/>
      </c>
      <c r="P964" t="n">
        <v>10413</v>
      </c>
      <c r="Q964" t="inlineStr">
        <is>
          <t>Polar Manutenção (10413)</t>
        </is>
      </c>
      <c r="R964" t="inlineStr">
        <is>
          <t>PC-0012</t>
        </is>
      </c>
      <c r="S964" t="inlineStr">
        <is>
          <t>Placa eletrônica modelo 02</t>
        </is>
      </c>
      <c r="T964" t="n">
        <v>1</v>
      </c>
      <c r="U964" t="n">
        <v>144</v>
      </c>
      <c r="V964">
        <f>IF(J964="","",MONTH(J964))</f>
        <v/>
      </c>
      <c r="W964">
        <f>IF(J964="","",YEAR(J964))</f>
        <v/>
      </c>
      <c r="X964" t="inlineStr">
        <is>
          <t>RotaSul</t>
        </is>
      </c>
      <c r="Y964">
        <f>IFERROR(INDEX(Rastreio!$H$2:$H$200,MATCH(X964&amp;"|"&amp;U964,Rastreio!$A$2:$A$200,0)),"")</f>
        <v/>
      </c>
    </row>
    <row r="965">
      <c r="A965">
        <f>IFERROR(INDEX(STAs!$G$2:$G$61,MATCH(P965,STAs!$F$2:$F$61,0))&amp;"","")</f>
        <v/>
      </c>
      <c r="B965" t="n">
        <v>20025391</v>
      </c>
      <c r="C965" t="inlineStr">
        <is>
          <t>Sim</t>
        </is>
      </c>
      <c r="D965" t="inlineStr">
        <is>
          <t>PR</t>
        </is>
      </c>
      <c r="E965" t="inlineStr">
        <is>
          <t>SUL</t>
        </is>
      </c>
      <c r="F965" t="inlineStr">
        <is>
          <t>Cliente B - Chopeira</t>
        </is>
      </c>
      <c r="G965" t="inlineStr">
        <is>
          <t>Misturadores</t>
        </is>
      </c>
      <c r="H965" s="10" t="n">
        <v>255</v>
      </c>
      <c r="I965" s="10">
        <f>IFERROR(T965*H965,0)</f>
        <v/>
      </c>
      <c r="J965" s="11" t="n">
        <v>46081</v>
      </c>
      <c r="K965" s="11" t="n">
        <v>46097</v>
      </c>
      <c r="L965" t="inlineStr">
        <is>
          <t>Ok. Devolvida</t>
        </is>
      </c>
      <c r="M965">
        <f>IF(L965="","",IFERROR(VLOOKUP(L965,mapGrupoStatus,2,0),"Outros"))</f>
        <v/>
      </c>
      <c r="N965">
        <f>IF(O965="","",IF(O965&lt;=30,"0-30 dias",IF(O965&lt;=60,"31-60 dias",IF(O965&lt;=90,"61-90 dias","Mais de 90 dias"))))</f>
        <v/>
      </c>
      <c r="O965">
        <f>IF(OR(M965="Pendente",M965="Em andamento"),IF(J965="","",TODAY()-J965),"")</f>
        <v/>
      </c>
      <c r="P965" t="n">
        <v>10913</v>
      </c>
      <c r="Q965" t="inlineStr">
        <is>
          <t>Ice Tech &amp; Cia (10913)</t>
        </is>
      </c>
      <c r="R965" t="inlineStr">
        <is>
          <t>PC-0037</t>
        </is>
      </c>
      <c r="S965" t="inlineStr">
        <is>
          <t>Bomba de recirculação modelo 01</t>
        </is>
      </c>
      <c r="T965" t="n">
        <v>3</v>
      </c>
      <c r="U965" t="n">
        <v>138</v>
      </c>
      <c r="V965">
        <f>IF(J965="","",MONTH(J965))</f>
        <v/>
      </c>
      <c r="W965">
        <f>IF(J965="","",YEAR(J965))</f>
        <v/>
      </c>
      <c r="X965" t="inlineStr">
        <is>
          <t>EntregaJá</t>
        </is>
      </c>
      <c r="Y965">
        <f>IFERROR(INDEX(Rastreio!$H$2:$H$200,MATCH(X965&amp;"|"&amp;U965,Rastreio!$A$2:$A$200,0)),"")</f>
        <v/>
      </c>
    </row>
    <row r="966">
      <c r="A966">
        <f>IFERROR(INDEX(STAs!$G$2:$G$61,MATCH(P966,STAs!$F$2:$F$61,0))&amp;"","")</f>
        <v/>
      </c>
      <c r="B966" t="n">
        <v>20027096</v>
      </c>
      <c r="C966" t="inlineStr">
        <is>
          <t>Não</t>
        </is>
      </c>
      <c r="D966" t="inlineStr">
        <is>
          <t>RS</t>
        </is>
      </c>
      <c r="E966" t="inlineStr">
        <is>
          <t>SUL</t>
        </is>
      </c>
      <c r="F966" t="inlineStr">
        <is>
          <t>Cliente C - Misturador</t>
        </is>
      </c>
      <c r="G966" t="inlineStr">
        <is>
          <t>Refrigeradores</t>
        </is>
      </c>
      <c r="H966" s="10" t="n">
        <v>325</v>
      </c>
      <c r="I966" s="10">
        <f>IFERROR(T966*H966,0)</f>
        <v/>
      </c>
      <c r="J966" s="11" t="n">
        <v>46081</v>
      </c>
      <c r="K966" s="11" t="n"/>
      <c r="L966" t="inlineStr">
        <is>
          <t>Não Devolve-Norte</t>
        </is>
      </c>
      <c r="M966">
        <f>IF(L966="","",IFERROR(VLOOKUP(L966,mapGrupoStatus,2,0),"Outros"))</f>
        <v/>
      </c>
      <c r="N966">
        <f>IF(O966="","",IF(O966&lt;=30,"0-30 dias",IF(O966&lt;=60,"31-60 dias",IF(O966&lt;=90,"61-90 dias","Mais de 90 dias"))))</f>
        <v/>
      </c>
      <c r="O966">
        <f>IF(OR(M966="Pendente",M966="Em andamento"),IF(J966="","",TODAY()-J966),"")</f>
        <v/>
      </c>
      <c r="P966" t="n">
        <v>12617</v>
      </c>
      <c r="Q966" t="inlineStr">
        <is>
          <t>Gelo Manutenção (12617)</t>
        </is>
      </c>
      <c r="R966" t="inlineStr">
        <is>
          <t>PC-0001</t>
        </is>
      </c>
      <c r="S966" t="inlineStr">
        <is>
          <t>Compressor modelo 01</t>
        </is>
      </c>
      <c r="T966" t="n">
        <v>1</v>
      </c>
      <c r="U966" t="inlineStr"/>
      <c r="V966">
        <f>IF(J966="","",MONTH(J966))</f>
        <v/>
      </c>
      <c r="W966">
        <f>IF(J966="","",YEAR(J966))</f>
        <v/>
      </c>
      <c r="X966" t="inlineStr"/>
      <c r="Y966">
        <f>IFERROR(INDEX(Rastreio!$H$2:$H$200,MATCH(X966&amp;"|"&amp;U966,Rastreio!$A$2:$A$200,0)),"")</f>
        <v/>
      </c>
    </row>
    <row r="967">
      <c r="A967">
        <f>IFERROR(INDEX(STAs!$G$2:$G$61,MATCH(P967,STAs!$F$2:$F$61,0))&amp;"","")</f>
        <v/>
      </c>
      <c r="B967" t="n">
        <v>20029721</v>
      </c>
      <c r="C967" t="inlineStr">
        <is>
          <t>Não</t>
        </is>
      </c>
      <c r="D967" t="inlineStr">
        <is>
          <t>MS</t>
        </is>
      </c>
      <c r="E967" t="inlineStr">
        <is>
          <t>CENTRO OESTE</t>
        </is>
      </c>
      <c r="F967" t="inlineStr">
        <is>
          <t>Cliente C - Misturador</t>
        </is>
      </c>
      <c r="G967" t="inlineStr">
        <is>
          <t>Misturadores</t>
        </is>
      </c>
      <c r="H967" s="10" t="n">
        <v>60</v>
      </c>
      <c r="I967" s="10">
        <f>IFERROR(T967*H967,0)</f>
        <v/>
      </c>
      <c r="J967" s="11" t="n">
        <v>46081</v>
      </c>
      <c r="K967" s="11" t="n"/>
      <c r="L967" t="inlineStr">
        <is>
          <t>Aguardando devolução</t>
        </is>
      </c>
      <c r="M967">
        <f>IF(L967="","",IFERROR(VLOOKUP(L967,mapGrupoStatus,2,0),"Outros"))</f>
        <v/>
      </c>
      <c r="N967">
        <f>IF(O967="","",IF(O967&lt;=30,"0-30 dias",IF(O967&lt;=60,"31-60 dias",IF(O967&lt;=90,"61-90 dias","Mais de 90 dias"))))</f>
        <v/>
      </c>
      <c r="O967">
        <f>IF(OR(M967="Pendente",M967="Em andamento"),IF(J967="","",TODAY()-J967),"")</f>
        <v/>
      </c>
      <c r="P967" t="n">
        <v>10302</v>
      </c>
      <c r="Q967" t="inlineStr">
        <is>
          <t>Ice Tech Express (10302)</t>
        </is>
      </c>
      <c r="R967" t="inlineStr">
        <is>
          <t>PC-0046</t>
        </is>
      </c>
      <c r="S967" t="inlineStr">
        <is>
          <t>Sensor de nível modelo 02</t>
        </is>
      </c>
      <c r="T967" t="n">
        <v>1</v>
      </c>
      <c r="U967" t="inlineStr"/>
      <c r="V967">
        <f>IF(J967="","",MONTH(J967))</f>
        <v/>
      </c>
      <c r="W967">
        <f>IF(J967="","",YEAR(J967))</f>
        <v/>
      </c>
      <c r="X967" t="inlineStr"/>
      <c r="Y967">
        <f>IFERROR(INDEX(Rastreio!$H$2:$H$200,MATCH(X967&amp;"|"&amp;U967,Rastreio!$A$2:$A$200,0)),"")</f>
        <v/>
      </c>
    </row>
    <row r="968">
      <c r="A968">
        <f>IFERROR(INDEX(STAs!$G$2:$G$61,MATCH(P968,STAs!$F$2:$F$61,0))&amp;"","")</f>
        <v/>
      </c>
      <c r="B968" t="n">
        <v>20007399</v>
      </c>
      <c r="C968" t="inlineStr">
        <is>
          <t>Não</t>
        </is>
      </c>
      <c r="D968" t="inlineStr">
        <is>
          <t>RJ</t>
        </is>
      </c>
      <c r="E968" t="inlineStr">
        <is>
          <t>SUDESTE RJ e ES</t>
        </is>
      </c>
      <c r="F968" t="inlineStr">
        <is>
          <t>Cliente A - Refrigerador</t>
        </is>
      </c>
      <c r="G968" t="inlineStr">
        <is>
          <t>Misturadores</t>
        </is>
      </c>
      <c r="H968" s="10" t="n">
        <v>255</v>
      </c>
      <c r="I968" s="10">
        <f>IFERROR(T968*H968,0)</f>
        <v/>
      </c>
      <c r="J968" s="11" t="n">
        <v>46082</v>
      </c>
      <c r="K968" s="11" t="n"/>
      <c r="L968" t="inlineStr">
        <is>
          <t>Debitar do STA</t>
        </is>
      </c>
      <c r="M968">
        <f>IF(L968="","",IFERROR(VLOOKUP(L968,mapGrupoStatus,2,0),"Outros"))</f>
        <v/>
      </c>
      <c r="N968">
        <f>IF(O968="","",IF(O968&lt;=30,"0-30 dias",IF(O968&lt;=60,"31-60 dias",IF(O968&lt;=90,"61-90 dias","Mais de 90 dias"))))</f>
        <v/>
      </c>
      <c r="O968">
        <f>IF(OR(M968="Pendente",M968="Em andamento"),IF(J968="","",TODAY()-J968),"")</f>
        <v/>
      </c>
      <c r="P968" t="n">
        <v>10676</v>
      </c>
      <c r="Q968" t="inlineStr">
        <is>
          <t>Clima Serviços (10676)</t>
        </is>
      </c>
      <c r="R968" t="inlineStr">
        <is>
          <t>PC-0037</t>
        </is>
      </c>
      <c r="S968" t="inlineStr">
        <is>
          <t>Bomba de recirculação modelo 01</t>
        </is>
      </c>
      <c r="T968" t="n">
        <v>1</v>
      </c>
      <c r="U968" t="inlineStr"/>
      <c r="V968">
        <f>IF(J968="","",MONTH(J968))</f>
        <v/>
      </c>
      <c r="W968">
        <f>IF(J968="","",YEAR(J968))</f>
        <v/>
      </c>
      <c r="X968" t="inlineStr"/>
      <c r="Y968">
        <f>IFERROR(INDEX(Rastreio!$H$2:$H$200,MATCH(X968&amp;"|"&amp;U968,Rastreio!$A$2:$A$200,0)),"")</f>
        <v/>
      </c>
    </row>
    <row r="969">
      <c r="A969">
        <f>IFERROR(INDEX(STAs!$G$2:$G$61,MATCH(P969,STAs!$F$2:$F$61,0))&amp;"","")</f>
        <v/>
      </c>
      <c r="B969" t="n">
        <v>20013839</v>
      </c>
      <c r="C969" t="inlineStr">
        <is>
          <t>Não</t>
        </is>
      </c>
      <c r="D969" t="inlineStr">
        <is>
          <t>PB</t>
        </is>
      </c>
      <c r="E969" t="inlineStr">
        <is>
          <t>NORDESTE</t>
        </is>
      </c>
      <c r="F969" t="inlineStr">
        <is>
          <t>Cliente B - Chopeira</t>
        </is>
      </c>
      <c r="G969" t="inlineStr">
        <is>
          <t>Misturadores</t>
        </is>
      </c>
      <c r="H969" s="10" t="n">
        <v>50</v>
      </c>
      <c r="I969" s="10">
        <f>IFERROR(T969*H969,0)</f>
        <v/>
      </c>
      <c r="J969" s="11" t="n">
        <v>46082</v>
      </c>
      <c r="K969" s="11" t="n">
        <v>46096</v>
      </c>
      <c r="L969" t="inlineStr">
        <is>
          <t>Ok. Devolvida</t>
        </is>
      </c>
      <c r="M969">
        <f>IF(L969="","",IFERROR(VLOOKUP(L969,mapGrupoStatus,2,0),"Outros"))</f>
        <v/>
      </c>
      <c r="N969">
        <f>IF(O969="","",IF(O969&lt;=30,"0-30 dias",IF(O969&lt;=60,"31-60 dias",IF(O969&lt;=90,"61-90 dias","Mais de 90 dias"))))</f>
        <v/>
      </c>
      <c r="O969">
        <f>IF(OR(M969="Pendente",M969="Em andamento"),IF(J969="","",TODAY()-J969),"")</f>
        <v/>
      </c>
      <c r="P969" t="n">
        <v>11741</v>
      </c>
      <c r="Q969" t="inlineStr">
        <is>
          <t>Clima Refrigeração (11741)</t>
        </is>
      </c>
      <c r="R969" t="inlineStr">
        <is>
          <t>PC-0044</t>
        </is>
      </c>
      <c r="S969" t="inlineStr">
        <is>
          <t>Bico dosador modelo 03</t>
        </is>
      </c>
      <c r="T969" t="n">
        <v>3</v>
      </c>
      <c r="U969" t="n">
        <v>128</v>
      </c>
      <c r="V969">
        <f>IF(J969="","",MONTH(J969))</f>
        <v/>
      </c>
      <c r="W969">
        <f>IF(J969="","",YEAR(J969))</f>
        <v/>
      </c>
      <c r="X969" t="inlineStr">
        <is>
          <t>ViaCargo</t>
        </is>
      </c>
      <c r="Y969">
        <f>IFERROR(INDEX(Rastreio!$H$2:$H$200,MATCH(X969&amp;"|"&amp;U969,Rastreio!$A$2:$A$200,0)),"")</f>
        <v/>
      </c>
    </row>
    <row r="970">
      <c r="A970">
        <f>IFERROR(INDEX(STAs!$G$2:$G$61,MATCH(P970,STAs!$F$2:$F$61,0))&amp;"","")</f>
        <v/>
      </c>
      <c r="B970" t="n">
        <v>20018338</v>
      </c>
      <c r="C970" t="inlineStr">
        <is>
          <t>Não</t>
        </is>
      </c>
      <c r="D970" t="inlineStr">
        <is>
          <t>ES</t>
        </is>
      </c>
      <c r="E970" t="inlineStr">
        <is>
          <t>SUDESTE RJ e ES</t>
        </is>
      </c>
      <c r="F970" t="inlineStr">
        <is>
          <t>Cliente C - Misturador</t>
        </is>
      </c>
      <c r="G970" t="inlineStr">
        <is>
          <t>Refrigeradores</t>
        </is>
      </c>
      <c r="H970" s="10" t="n">
        <v>35</v>
      </c>
      <c r="I970" s="10">
        <f>IFERROR(T970*H970,0)</f>
        <v/>
      </c>
      <c r="J970" s="11" t="n">
        <v>46082</v>
      </c>
      <c r="K970" s="11" t="n"/>
      <c r="L970" t="inlineStr">
        <is>
          <t>NPD</t>
        </is>
      </c>
      <c r="M970">
        <f>IF(L970="","",IFERROR(VLOOKUP(L970,mapGrupoStatus,2,0),"Outros"))</f>
        <v/>
      </c>
      <c r="N970">
        <f>IF(O970="","",IF(O970&lt;=30,"0-30 dias",IF(O970&lt;=60,"31-60 dias",IF(O970&lt;=90,"61-90 dias","Mais de 90 dias"))))</f>
        <v/>
      </c>
      <c r="O970">
        <f>IF(OR(M970="Pendente",M970="Em andamento"),IF(J970="","",TODAY()-J970),"")</f>
        <v/>
      </c>
      <c r="P970" t="n">
        <v>11099</v>
      </c>
      <c r="Q970" t="inlineStr">
        <is>
          <t>Refrigel Serviços (11099)</t>
        </is>
      </c>
      <c r="R970" t="inlineStr">
        <is>
          <t>PC-0016</t>
        </is>
      </c>
      <c r="S970" t="inlineStr">
        <is>
          <t>Filtro secador modelo 02</t>
        </is>
      </c>
      <c r="T970" t="n">
        <v>3</v>
      </c>
      <c r="U970" t="inlineStr"/>
      <c r="V970">
        <f>IF(J970="","",MONTH(J970))</f>
        <v/>
      </c>
      <c r="W970">
        <f>IF(J970="","",YEAR(J970))</f>
        <v/>
      </c>
      <c r="X970" t="inlineStr"/>
      <c r="Y970">
        <f>IFERROR(INDEX(Rastreio!$H$2:$H$200,MATCH(X970&amp;"|"&amp;U970,Rastreio!$A$2:$A$200,0)),"")</f>
        <v/>
      </c>
    </row>
    <row r="971">
      <c r="A971">
        <f>IFERROR(INDEX(STAs!$G$2:$G$61,MATCH(P971,STAs!$F$2:$F$61,0))&amp;"","")</f>
        <v/>
      </c>
      <c r="B971" t="n">
        <v>20026903</v>
      </c>
      <c r="C971" t="inlineStr">
        <is>
          <t>Não</t>
        </is>
      </c>
      <c r="D971" t="inlineStr">
        <is>
          <t>PI</t>
        </is>
      </c>
      <c r="E971" t="inlineStr">
        <is>
          <t>NORDESTE</t>
        </is>
      </c>
      <c r="F971" t="inlineStr">
        <is>
          <t>Cliente C - Misturador</t>
        </is>
      </c>
      <c r="G971" t="inlineStr">
        <is>
          <t>Chopeiras</t>
        </is>
      </c>
      <c r="H971" s="10" t="n">
        <v>85</v>
      </c>
      <c r="I971" s="10">
        <f>IFERROR(T971*H971,0)</f>
        <v/>
      </c>
      <c r="J971" s="11" t="n">
        <v>46082</v>
      </c>
      <c r="K971" s="11" t="n">
        <v>46096</v>
      </c>
      <c r="L971" t="inlineStr">
        <is>
          <t>Ok. Devolvida</t>
        </is>
      </c>
      <c r="M971">
        <f>IF(L971="","",IFERROR(VLOOKUP(L971,mapGrupoStatus,2,0),"Outros"))</f>
        <v/>
      </c>
      <c r="N971">
        <f>IF(O971="","",IF(O971&lt;=30,"0-30 dias",IF(O971&lt;=60,"31-60 dias",IF(O971&lt;=90,"61-90 dias","Mais de 90 dias"))))</f>
        <v/>
      </c>
      <c r="O971">
        <f>IF(OR(M971="Pendente",M971="Em andamento"),IF(J971="","",TODAY()-J971),"")</f>
        <v/>
      </c>
      <c r="P971" t="n">
        <v>12936</v>
      </c>
      <c r="Q971" t="inlineStr">
        <is>
          <t>Frigo Técnica (12936)</t>
        </is>
      </c>
      <c r="R971" t="inlineStr">
        <is>
          <t>PC-0036</t>
        </is>
      </c>
      <c r="S971" t="inlineStr">
        <is>
          <t>Válvula extratora modelo 02</t>
        </is>
      </c>
      <c r="T971" t="n">
        <v>1</v>
      </c>
      <c r="U971" t="n">
        <v>147</v>
      </c>
      <c r="V971">
        <f>IF(J971="","",MONTH(J971))</f>
        <v/>
      </c>
      <c r="W971">
        <f>IF(J971="","",YEAR(J971))</f>
        <v/>
      </c>
      <c r="X971" t="inlineStr">
        <is>
          <t>RotaSul</t>
        </is>
      </c>
      <c r="Y971">
        <f>IFERROR(INDEX(Rastreio!$H$2:$H$200,MATCH(X971&amp;"|"&amp;U971,Rastreio!$A$2:$A$200,0)),"")</f>
        <v/>
      </c>
    </row>
    <row r="972">
      <c r="A972">
        <f>IFERROR(INDEX(STAs!$G$2:$G$61,MATCH(P972,STAs!$F$2:$F$61,0))&amp;"","")</f>
        <v/>
      </c>
      <c r="B972" t="n">
        <v>20030788</v>
      </c>
      <c r="C972" t="inlineStr">
        <is>
          <t>Não</t>
        </is>
      </c>
      <c r="D972" t="inlineStr">
        <is>
          <t>AM</t>
        </is>
      </c>
      <c r="E972" t="inlineStr">
        <is>
          <t>NORTE</t>
        </is>
      </c>
      <c r="F972" t="inlineStr">
        <is>
          <t>Cliente C - Misturador</t>
        </is>
      </c>
      <c r="G972" t="inlineStr">
        <is>
          <t>Refrigeradores</t>
        </is>
      </c>
      <c r="H972" s="10" t="n">
        <v>50</v>
      </c>
      <c r="I972" s="10">
        <f>IFERROR(T972*H972,0)</f>
        <v/>
      </c>
      <c r="J972" s="11" t="n">
        <v>46082</v>
      </c>
      <c r="K972" s="11" t="n"/>
      <c r="L972" t="inlineStr">
        <is>
          <t>Não Devolve-Norte</t>
        </is>
      </c>
      <c r="M972">
        <f>IF(L972="","",IFERROR(VLOOKUP(L972,mapGrupoStatus,2,0),"Outros"))</f>
        <v/>
      </c>
      <c r="N972">
        <f>IF(O972="","",IF(O972&lt;=30,"0-30 dias",IF(O972&lt;=60,"31-60 dias",IF(O972&lt;=90,"61-90 dias","Mais de 90 dias"))))</f>
        <v/>
      </c>
      <c r="O972">
        <f>IF(OR(M972="Pendente",M972="Em andamento"),IF(J972="","",TODAY()-J972),"")</f>
        <v/>
      </c>
      <c r="P972" t="n">
        <v>10842</v>
      </c>
      <c r="Q972" t="inlineStr">
        <is>
          <t>Frigo &amp; Cia (10842)</t>
        </is>
      </c>
      <c r="R972" t="inlineStr">
        <is>
          <t>PC-0006</t>
        </is>
      </c>
      <c r="S972" t="inlineStr">
        <is>
          <t>Termostato modelo 03</t>
        </is>
      </c>
      <c r="T972" t="n">
        <v>1</v>
      </c>
      <c r="U972" t="inlineStr"/>
      <c r="V972">
        <f>IF(J972="","",MONTH(J972))</f>
        <v/>
      </c>
      <c r="W972">
        <f>IF(J972="","",YEAR(J972))</f>
        <v/>
      </c>
      <c r="X972" t="inlineStr"/>
      <c r="Y972">
        <f>IFERROR(INDEX(Rastreio!$H$2:$H$200,MATCH(X972&amp;"|"&amp;U972,Rastreio!$A$2:$A$200,0)),"")</f>
        <v/>
      </c>
    </row>
    <row r="973">
      <c r="A973">
        <f>IFERROR(INDEX(STAs!$G$2:$G$61,MATCH(P973,STAs!$F$2:$F$61,0))&amp;"","")</f>
        <v/>
      </c>
      <c r="B973" t="n">
        <v>20010097</v>
      </c>
      <c r="C973" t="inlineStr">
        <is>
          <t>Não</t>
        </is>
      </c>
      <c r="D973" t="inlineStr">
        <is>
          <t>RR</t>
        </is>
      </c>
      <c r="E973" t="inlineStr">
        <is>
          <t>NORTE</t>
        </is>
      </c>
      <c r="F973" t="inlineStr">
        <is>
          <t>Cliente A - Refrigerador</t>
        </is>
      </c>
      <c r="G973" t="inlineStr">
        <is>
          <t>Chopeiras</t>
        </is>
      </c>
      <c r="H973" s="10" t="n">
        <v>120</v>
      </c>
      <c r="I973" s="10">
        <f>IFERROR(T973*H973,0)</f>
        <v/>
      </c>
      <c r="J973" s="11" t="n">
        <v>46083</v>
      </c>
      <c r="K973" s="11" t="n">
        <v>46094</v>
      </c>
      <c r="L973" t="inlineStr">
        <is>
          <t>Ok. Devolvida</t>
        </is>
      </c>
      <c r="M973">
        <f>IF(L973="","",IFERROR(VLOOKUP(L973,mapGrupoStatus,2,0),"Outros"))</f>
        <v/>
      </c>
      <c r="N973">
        <f>IF(O973="","",IF(O973&lt;=30,"0-30 dias",IF(O973&lt;=60,"31-60 dias",IF(O973&lt;=90,"61-90 dias","Mais de 90 dias"))))</f>
        <v/>
      </c>
      <c r="O973">
        <f>IF(OR(M973="Pendente",M973="Em andamento"),IF(J973="","",TODAY()-J973),"")</f>
        <v/>
      </c>
      <c r="P973" t="n">
        <v>11818</v>
      </c>
      <c r="Q973" t="inlineStr">
        <is>
          <t>Termotec Ltda (11818)</t>
        </is>
      </c>
      <c r="R973" t="inlineStr">
        <is>
          <t>PC-0032</t>
        </is>
      </c>
      <c r="S973" t="inlineStr">
        <is>
          <t>Regulador de pressão modelo 01</t>
        </is>
      </c>
      <c r="T973" t="n">
        <v>1</v>
      </c>
      <c r="U973" t="n">
        <v>123</v>
      </c>
      <c r="V973">
        <f>IF(J973="","",MONTH(J973))</f>
        <v/>
      </c>
      <c r="W973">
        <f>IF(J973="","",YEAR(J973))</f>
        <v/>
      </c>
      <c r="X973" t="inlineStr">
        <is>
          <t>ViaCargo</t>
        </is>
      </c>
      <c r="Y973">
        <f>IFERROR(INDEX(Rastreio!$H$2:$H$200,MATCH(X973&amp;"|"&amp;U973,Rastreio!$A$2:$A$200,0)),"")</f>
        <v/>
      </c>
    </row>
    <row r="974">
      <c r="A974">
        <f>IFERROR(INDEX(STAs!$G$2:$G$61,MATCH(P974,STAs!$F$2:$F$61,0))&amp;"","")</f>
        <v/>
      </c>
      <c r="B974" t="n">
        <v>20017146</v>
      </c>
      <c r="C974" t="inlineStr">
        <is>
          <t>Não</t>
        </is>
      </c>
      <c r="D974" t="inlineStr">
        <is>
          <t>AM</t>
        </is>
      </c>
      <c r="E974" t="inlineStr">
        <is>
          <t>NORTE</t>
        </is>
      </c>
      <c r="F974" t="inlineStr">
        <is>
          <t>Cliente A - Refrigerador</t>
        </is>
      </c>
      <c r="G974" t="inlineStr">
        <is>
          <t>Misturadores</t>
        </is>
      </c>
      <c r="H974" s="10" t="n">
        <v>40</v>
      </c>
      <c r="I974" s="10">
        <f>IFERROR(T974*H974,0)</f>
        <v/>
      </c>
      <c r="J974" s="11" t="n">
        <v>46083</v>
      </c>
      <c r="K974" s="11" t="n">
        <v>46113</v>
      </c>
      <c r="L974" t="inlineStr">
        <is>
          <t>Ok. Devolvida</t>
        </is>
      </c>
      <c r="M974">
        <f>IF(L974="","",IFERROR(VLOOKUP(L974,mapGrupoStatus,2,0),"Outros"))</f>
        <v/>
      </c>
      <c r="N974">
        <f>IF(O974="","",IF(O974&lt;=30,"0-30 dias",IF(O974&lt;=60,"31-60 dias",IF(O974&lt;=90,"61-90 dias","Mais de 90 dias"))))</f>
        <v/>
      </c>
      <c r="O974">
        <f>IF(OR(M974="Pendente",M974="Em andamento"),IF(J974="","",TODAY()-J974),"")</f>
        <v/>
      </c>
      <c r="P974" t="n">
        <v>12269</v>
      </c>
      <c r="Q974" t="inlineStr">
        <is>
          <t>Polar Técnica (12269)</t>
        </is>
      </c>
      <c r="R974" t="inlineStr">
        <is>
          <t>PC-0042</t>
        </is>
      </c>
      <c r="S974" t="inlineStr">
        <is>
          <t>Bico dosador modelo 01</t>
        </is>
      </c>
      <c r="T974" t="n">
        <v>1</v>
      </c>
      <c r="U974" t="n">
        <v>123</v>
      </c>
      <c r="V974">
        <f>IF(J974="","",MONTH(J974))</f>
        <v/>
      </c>
      <c r="W974">
        <f>IF(J974="","",YEAR(J974))</f>
        <v/>
      </c>
      <c r="X974" t="inlineStr">
        <is>
          <t>RotaSul</t>
        </is>
      </c>
      <c r="Y974">
        <f>IFERROR(INDEX(Rastreio!$H$2:$H$200,MATCH(X974&amp;"|"&amp;U974,Rastreio!$A$2:$A$200,0)),"")</f>
        <v/>
      </c>
    </row>
    <row r="975">
      <c r="A975">
        <f>IFERROR(INDEX(STAs!$G$2:$G$61,MATCH(P975,STAs!$F$2:$F$61,0))&amp;"","")</f>
        <v/>
      </c>
      <c r="B975" t="n">
        <v>20015935</v>
      </c>
      <c r="C975" t="inlineStr">
        <is>
          <t>Não</t>
        </is>
      </c>
      <c r="D975" t="inlineStr">
        <is>
          <t>SP</t>
        </is>
      </c>
      <c r="E975" t="inlineStr">
        <is>
          <t>SUDESTE SP</t>
        </is>
      </c>
      <c r="F975" t="inlineStr">
        <is>
          <t>Cliente C - Misturador</t>
        </is>
      </c>
      <c r="G975" t="inlineStr">
        <is>
          <t>Refrigeradores</t>
        </is>
      </c>
      <c r="H975" s="10" t="n">
        <v>190</v>
      </c>
      <c r="I975" s="10">
        <f>IFERROR(T975*H975,0)</f>
        <v/>
      </c>
      <c r="J975" s="11" t="n">
        <v>46084</v>
      </c>
      <c r="K975" s="11" t="n">
        <v>46130</v>
      </c>
      <c r="L975" t="inlineStr">
        <is>
          <t>Ok. Devolvida</t>
        </is>
      </c>
      <c r="M975">
        <f>IF(L975="","",IFERROR(VLOOKUP(L975,mapGrupoStatus,2,0),"Outros"))</f>
        <v/>
      </c>
      <c r="N975">
        <f>IF(O975="","",IF(O975&lt;=30,"0-30 dias",IF(O975&lt;=60,"31-60 dias",IF(O975&lt;=90,"61-90 dias","Mais de 90 dias"))))</f>
        <v/>
      </c>
      <c r="O975">
        <f>IF(OR(M975="Pendente",M975="Em andamento"),IF(J975="","",TODAY()-J975),"")</f>
        <v/>
      </c>
      <c r="P975" t="n">
        <v>11365</v>
      </c>
      <c r="Q975" t="inlineStr">
        <is>
          <t>Ártico Express (11365)</t>
        </is>
      </c>
      <c r="R975" t="inlineStr">
        <is>
          <t>PC-0014</t>
        </is>
      </c>
      <c r="S975" t="inlineStr">
        <is>
          <t>Placa eletrônica modelo 04</t>
        </is>
      </c>
      <c r="T975" t="n">
        <v>1</v>
      </c>
      <c r="U975" t="n">
        <v>128</v>
      </c>
      <c r="V975">
        <f>IF(J975="","",MONTH(J975))</f>
        <v/>
      </c>
      <c r="W975">
        <f>IF(J975="","",YEAR(J975))</f>
        <v/>
      </c>
      <c r="X975" t="inlineStr">
        <is>
          <t>LogExpress</t>
        </is>
      </c>
      <c r="Y975">
        <f>IFERROR(INDEX(Rastreio!$H$2:$H$200,MATCH(X975&amp;"|"&amp;U975,Rastreio!$A$2:$A$200,0)),"")</f>
        <v/>
      </c>
    </row>
    <row r="976">
      <c r="A976">
        <f>IFERROR(INDEX(STAs!$G$2:$G$61,MATCH(P976,STAs!$F$2:$F$61,0))&amp;"","")</f>
        <v/>
      </c>
      <c r="B976" t="n">
        <v>20030862</v>
      </c>
      <c r="C976" t="inlineStr">
        <is>
          <t>Não</t>
        </is>
      </c>
      <c r="D976" t="inlineStr">
        <is>
          <t>RJ</t>
        </is>
      </c>
      <c r="E976" t="inlineStr">
        <is>
          <t>SUDESTE RJ e ES</t>
        </is>
      </c>
      <c r="F976" t="inlineStr">
        <is>
          <t>Cliente A - Refrigerador</t>
        </is>
      </c>
      <c r="G976" t="inlineStr">
        <is>
          <t>Refrigeradores</t>
        </is>
      </c>
      <c r="H976" s="10" t="n">
        <v>55</v>
      </c>
      <c r="I976" s="10">
        <f>IFERROR(T976*H976,0)</f>
        <v/>
      </c>
      <c r="J976" s="11" t="n">
        <v>46084</v>
      </c>
      <c r="K976" s="11" t="n">
        <v>46118</v>
      </c>
      <c r="L976" t="inlineStr">
        <is>
          <t>Ok. Devolvida</t>
        </is>
      </c>
      <c r="M976">
        <f>IF(L976="","",IFERROR(VLOOKUP(L976,mapGrupoStatus,2,0),"Outros"))</f>
        <v/>
      </c>
      <c r="N976">
        <f>IF(O976="","",IF(O976&lt;=30,"0-30 dias",IF(O976&lt;=60,"31-60 dias",IF(O976&lt;=90,"61-90 dias","Mais de 90 dias"))))</f>
        <v/>
      </c>
      <c r="O976">
        <f>IF(OR(M976="Pendente",M976="Em andamento"),IF(J976="","",TODAY()-J976),"")</f>
        <v/>
      </c>
      <c r="P976" t="n">
        <v>12811</v>
      </c>
      <c r="Q976" t="inlineStr">
        <is>
          <t>Norte Frio Técnica (12811)</t>
        </is>
      </c>
      <c r="R976" t="inlineStr">
        <is>
          <t>PC-0007</t>
        </is>
      </c>
      <c r="S976" t="inlineStr">
        <is>
          <t>Ventilador modelo 01</t>
        </is>
      </c>
      <c r="T976" t="n">
        <v>1</v>
      </c>
      <c r="U976" t="n">
        <v>154</v>
      </c>
      <c r="V976">
        <f>IF(J976="","",MONTH(J976))</f>
        <v/>
      </c>
      <c r="W976">
        <f>IF(J976="","",YEAR(J976))</f>
        <v/>
      </c>
      <c r="X976" t="inlineStr">
        <is>
          <t>CargoMax</t>
        </is>
      </c>
      <c r="Y976">
        <f>IFERROR(INDEX(Rastreio!$H$2:$H$200,MATCH(X976&amp;"|"&amp;U976,Rastreio!$A$2:$A$200,0)),"")</f>
        <v/>
      </c>
    </row>
    <row r="977">
      <c r="A977">
        <f>IFERROR(INDEX(STAs!$G$2:$G$61,MATCH(P977,STAs!$F$2:$F$61,0))&amp;"","")</f>
        <v/>
      </c>
      <c r="B977" t="n">
        <v>20033225</v>
      </c>
      <c r="C977" t="inlineStr">
        <is>
          <t>Não</t>
        </is>
      </c>
      <c r="D977" t="inlineStr">
        <is>
          <t>BA</t>
        </is>
      </c>
      <c r="E977" t="inlineStr">
        <is>
          <t>NORDESTE</t>
        </is>
      </c>
      <c r="F977" t="inlineStr">
        <is>
          <t>Cliente A - Refrigerador</t>
        </is>
      </c>
      <c r="G977" t="inlineStr">
        <is>
          <t>Misturadores</t>
        </is>
      </c>
      <c r="H977" s="10" t="n">
        <v>60</v>
      </c>
      <c r="I977" s="10">
        <f>IFERROR(T977*H977,0)</f>
        <v/>
      </c>
      <c r="J977" s="11" t="n">
        <v>46084</v>
      </c>
      <c r="K977" s="11" t="n"/>
      <c r="L977" t="inlineStr">
        <is>
          <t>Aguardando Transporte</t>
        </is>
      </c>
      <c r="M977">
        <f>IF(L977="","",IFERROR(VLOOKUP(L977,mapGrupoStatus,2,0),"Outros"))</f>
        <v/>
      </c>
      <c r="N977">
        <f>IF(O977="","",IF(O977&lt;=30,"0-30 dias",IF(O977&lt;=60,"31-60 dias",IF(O977&lt;=90,"61-90 dias","Mais de 90 dias"))))</f>
        <v/>
      </c>
      <c r="O977">
        <f>IF(OR(M977="Pendente",M977="Em andamento"),IF(J977="","",TODAY()-J977),"")</f>
        <v/>
      </c>
      <c r="P977" t="n">
        <v>11538</v>
      </c>
      <c r="Q977" t="inlineStr">
        <is>
          <t>Clima Manutenção (11538)</t>
        </is>
      </c>
      <c r="R977" t="inlineStr">
        <is>
          <t>PC-0048</t>
        </is>
      </c>
      <c r="S977" t="inlineStr">
        <is>
          <t>Sensor de nível modelo 04</t>
        </is>
      </c>
      <c r="T977" t="n">
        <v>3</v>
      </c>
      <c r="U977" t="n">
        <v>152</v>
      </c>
      <c r="V977">
        <f>IF(J977="","",MONTH(J977))</f>
        <v/>
      </c>
      <c r="W977">
        <f>IF(J977="","",YEAR(J977))</f>
        <v/>
      </c>
      <c r="X977" t="inlineStr">
        <is>
          <t>ViaCargo</t>
        </is>
      </c>
      <c r="Y977">
        <f>IFERROR(INDEX(Rastreio!$H$2:$H$200,MATCH(X977&amp;"|"&amp;U977,Rastreio!$A$2:$A$200,0)),"")</f>
        <v/>
      </c>
    </row>
    <row r="978">
      <c r="A978">
        <f>IFERROR(INDEX(STAs!$G$2:$G$61,MATCH(P978,STAs!$F$2:$F$61,0))&amp;"","")</f>
        <v/>
      </c>
      <c r="B978" t="n">
        <v>20036457</v>
      </c>
      <c r="C978" t="inlineStr">
        <is>
          <t>Não</t>
        </is>
      </c>
      <c r="D978" t="inlineStr">
        <is>
          <t>ES</t>
        </is>
      </c>
      <c r="E978" t="inlineStr">
        <is>
          <t>SUDESTE RJ e ES</t>
        </is>
      </c>
      <c r="F978" t="inlineStr">
        <is>
          <t>Cliente B - Chopeira</t>
        </is>
      </c>
      <c r="G978" t="inlineStr">
        <is>
          <t>Refrigeradores</t>
        </is>
      </c>
      <c r="H978" s="10" t="n">
        <v>155</v>
      </c>
      <c r="I978" s="10">
        <f>IFERROR(T978*H978,0)</f>
        <v/>
      </c>
      <c r="J978" s="11" t="n">
        <v>46084</v>
      </c>
      <c r="K978" s="11" t="n"/>
      <c r="L978" t="inlineStr">
        <is>
          <t>Aguardando Transporte</t>
        </is>
      </c>
      <c r="M978">
        <f>IF(L978="","",IFERROR(VLOOKUP(L978,mapGrupoStatus,2,0),"Outros"))</f>
        <v/>
      </c>
      <c r="N978">
        <f>IF(O978="","",IF(O978&lt;=30,"0-30 dias",IF(O978&lt;=60,"31-60 dias",IF(O978&lt;=90,"61-90 dias","Mais de 90 dias"))))</f>
        <v/>
      </c>
      <c r="O978">
        <f>IF(OR(M978="Pendente",M978="Em andamento"),IF(J978="","",TODAY()-J978),"")</f>
        <v/>
      </c>
      <c r="P978" t="n">
        <v>12555</v>
      </c>
      <c r="Q978" t="inlineStr">
        <is>
          <t>Cool Service Serviços (12555)</t>
        </is>
      </c>
      <c r="R978" t="inlineStr">
        <is>
          <t>PC-0021</t>
        </is>
      </c>
      <c r="S978" t="inlineStr">
        <is>
          <t>Controlador digital modelo 01</t>
        </is>
      </c>
      <c r="T978" t="n">
        <v>1</v>
      </c>
      <c r="U978" t="n">
        <v>167</v>
      </c>
      <c r="V978">
        <f>IF(J978="","",MONTH(J978))</f>
        <v/>
      </c>
      <c r="W978">
        <f>IF(J978="","",YEAR(J978))</f>
        <v/>
      </c>
      <c r="X978" t="inlineStr">
        <is>
          <t>RotaSul</t>
        </is>
      </c>
      <c r="Y978">
        <f>IFERROR(INDEX(Rastreio!$H$2:$H$200,MATCH(X978&amp;"|"&amp;U978,Rastreio!$A$2:$A$200,0)),"")</f>
        <v/>
      </c>
    </row>
    <row r="979">
      <c r="A979">
        <f>IFERROR(INDEX(STAs!$G$2:$G$61,MATCH(P979,STAs!$F$2:$F$61,0))&amp;"","")</f>
        <v/>
      </c>
      <c r="B979" t="n">
        <v>20037559</v>
      </c>
      <c r="C979" t="inlineStr">
        <is>
          <t>Não</t>
        </is>
      </c>
      <c r="D979" t="inlineStr">
        <is>
          <t>AM</t>
        </is>
      </c>
      <c r="E979" t="inlineStr">
        <is>
          <t>NORTE</t>
        </is>
      </c>
      <c r="F979" t="inlineStr">
        <is>
          <t>Cliente C - Misturador</t>
        </is>
      </c>
      <c r="G979" t="inlineStr">
        <is>
          <t>Refrigeradores</t>
        </is>
      </c>
      <c r="H979" s="10" t="n">
        <v>70</v>
      </c>
      <c r="I979" s="10">
        <f>IFERROR(T979*H979,0)</f>
        <v/>
      </c>
      <c r="J979" s="11" t="n">
        <v>46084</v>
      </c>
      <c r="K979" s="11" t="n"/>
      <c r="L979" t="inlineStr">
        <is>
          <t>Não Devolve-Norte</t>
        </is>
      </c>
      <c r="M979">
        <f>IF(L979="","",IFERROR(VLOOKUP(L979,mapGrupoStatus,2,0),"Outros"))</f>
        <v/>
      </c>
      <c r="N979">
        <f>IF(O979="","",IF(O979&lt;=30,"0-30 dias",IF(O979&lt;=60,"31-60 dias",IF(O979&lt;=90,"61-90 dias","Mais de 90 dias"))))</f>
        <v/>
      </c>
      <c r="O979">
        <f>IF(OR(M979="Pendente",M979="Em andamento"),IF(J979="","",TODAY()-J979),"")</f>
        <v/>
      </c>
      <c r="P979" t="n">
        <v>10842</v>
      </c>
      <c r="Q979" t="inlineStr">
        <is>
          <t>Frigo &amp; Cia (10842)</t>
        </is>
      </c>
      <c r="R979" t="inlineStr">
        <is>
          <t>PC-0009</t>
        </is>
      </c>
      <c r="S979" t="inlineStr">
        <is>
          <t>Ventilador modelo 03</t>
        </is>
      </c>
      <c r="T979" t="n">
        <v>2</v>
      </c>
      <c r="U979" t="inlineStr"/>
      <c r="V979">
        <f>IF(J979="","",MONTH(J979))</f>
        <v/>
      </c>
      <c r="W979">
        <f>IF(J979="","",YEAR(J979))</f>
        <v/>
      </c>
      <c r="X979" t="inlineStr"/>
      <c r="Y979">
        <f>IFERROR(INDEX(Rastreio!$H$2:$H$200,MATCH(X979&amp;"|"&amp;U979,Rastreio!$A$2:$A$200,0)),"")</f>
        <v/>
      </c>
    </row>
    <row r="980">
      <c r="A980">
        <f>IFERROR(INDEX(STAs!$G$2:$G$61,MATCH(P980,STAs!$F$2:$F$61,0))&amp;"","")</f>
        <v/>
      </c>
      <c r="B980" t="n">
        <v>20002844</v>
      </c>
      <c r="C980" t="inlineStr">
        <is>
          <t>Não</t>
        </is>
      </c>
      <c r="D980" t="inlineStr">
        <is>
          <t>RO</t>
        </is>
      </c>
      <c r="E980" t="inlineStr">
        <is>
          <t>NORTE</t>
        </is>
      </c>
      <c r="F980" t="inlineStr">
        <is>
          <t>Cliente B - Chopeira</t>
        </is>
      </c>
      <c r="G980" t="inlineStr">
        <is>
          <t>Refrigeradores</t>
        </is>
      </c>
      <c r="H980" s="10" t="n">
        <v>50</v>
      </c>
      <c r="I980" s="10">
        <f>IFERROR(T980*H980,0)</f>
        <v/>
      </c>
      <c r="J980" s="11" t="n">
        <v>46085</v>
      </c>
      <c r="K980" s="11" t="n">
        <v>46122</v>
      </c>
      <c r="L980" t="inlineStr">
        <is>
          <t>Ok. Devolvida</t>
        </is>
      </c>
      <c r="M980">
        <f>IF(L980="","",IFERROR(VLOOKUP(L980,mapGrupoStatus,2,0),"Outros"))</f>
        <v/>
      </c>
      <c r="N980">
        <f>IF(O980="","",IF(O980&lt;=30,"0-30 dias",IF(O980&lt;=60,"31-60 dias",IF(O980&lt;=90,"61-90 dias","Mais de 90 dias"))))</f>
        <v/>
      </c>
      <c r="O980">
        <f>IF(OR(M980="Pendente",M980="Em andamento"),IF(J980="","",TODAY()-J980),"")</f>
        <v/>
      </c>
      <c r="P980" t="n">
        <v>12019</v>
      </c>
      <c r="Q980" t="inlineStr">
        <is>
          <t>Ártico Serviços (12019)</t>
        </is>
      </c>
      <c r="R980" t="inlineStr">
        <is>
          <t>PC-0006</t>
        </is>
      </c>
      <c r="S980" t="inlineStr">
        <is>
          <t>Termostato modelo 03</t>
        </is>
      </c>
      <c r="T980" t="n">
        <v>2</v>
      </c>
      <c r="U980" t="n">
        <v>103</v>
      </c>
      <c r="V980">
        <f>IF(J980="","",MONTH(J980))</f>
        <v/>
      </c>
      <c r="W980">
        <f>IF(J980="","",YEAR(J980))</f>
        <v/>
      </c>
      <c r="X980" t="inlineStr">
        <is>
          <t>CargoMax</t>
        </is>
      </c>
      <c r="Y980">
        <f>IFERROR(INDEX(Rastreio!$H$2:$H$200,MATCH(X980&amp;"|"&amp;U980,Rastreio!$A$2:$A$200,0)),"")</f>
        <v/>
      </c>
    </row>
    <row r="981">
      <c r="A981">
        <f>IFERROR(INDEX(STAs!$G$2:$G$61,MATCH(P981,STAs!$F$2:$F$61,0))&amp;"","")</f>
        <v/>
      </c>
      <c r="B981" t="n">
        <v>20003222</v>
      </c>
      <c r="C981" t="inlineStr">
        <is>
          <t>Sim</t>
        </is>
      </c>
      <c r="D981" t="inlineStr">
        <is>
          <t>PR</t>
        </is>
      </c>
      <c r="E981" t="inlineStr">
        <is>
          <t>SUL</t>
        </is>
      </c>
      <c r="F981" t="inlineStr">
        <is>
          <t>Cliente C - Misturador</t>
        </is>
      </c>
      <c r="G981" t="inlineStr">
        <is>
          <t>Chopeiras</t>
        </is>
      </c>
      <c r="H981" s="10" t="n">
        <v>120</v>
      </c>
      <c r="I981" s="10">
        <f>IFERROR(T981*H981,0)</f>
        <v/>
      </c>
      <c r="J981" s="11" t="n">
        <v>46085</v>
      </c>
      <c r="K981" s="11" t="n"/>
      <c r="L981" t="inlineStr">
        <is>
          <t>Em transporte</t>
        </is>
      </c>
      <c r="M981">
        <f>IF(L981="","",IFERROR(VLOOKUP(L981,mapGrupoStatus,2,0),"Outros"))</f>
        <v/>
      </c>
      <c r="N981">
        <f>IF(O981="","",IF(O981&lt;=30,"0-30 dias",IF(O981&lt;=60,"31-60 dias",IF(O981&lt;=90,"61-90 dias","Mais de 90 dias"))))</f>
        <v/>
      </c>
      <c r="O981">
        <f>IF(OR(M981="Pendente",M981="Em andamento"),IF(J981="","",TODAY()-J981),"")</f>
        <v/>
      </c>
      <c r="P981" t="n">
        <v>10753</v>
      </c>
      <c r="Q981" t="inlineStr">
        <is>
          <t>Refrigel &amp; Cia (10753)</t>
        </is>
      </c>
      <c r="R981" t="inlineStr">
        <is>
          <t>PC-0032</t>
        </is>
      </c>
      <c r="S981" t="inlineStr">
        <is>
          <t>Regulador de pressão modelo 01</t>
        </is>
      </c>
      <c r="T981" t="n">
        <v>1</v>
      </c>
      <c r="U981" t="n">
        <v>109</v>
      </c>
      <c r="V981">
        <f>IF(J981="","",MONTH(J981))</f>
        <v/>
      </c>
      <c r="W981">
        <f>IF(J981="","",YEAR(J981))</f>
        <v/>
      </c>
      <c r="X981" t="inlineStr">
        <is>
          <t>ViaCargo</t>
        </is>
      </c>
      <c r="Y981">
        <f>IFERROR(INDEX(Rastreio!$H$2:$H$200,MATCH(X981&amp;"|"&amp;U981,Rastreio!$A$2:$A$200,0)),"")</f>
        <v/>
      </c>
    </row>
    <row r="982">
      <c r="A982">
        <f>IFERROR(INDEX(STAs!$G$2:$G$61,MATCH(P982,STAs!$F$2:$F$61,0))&amp;"","")</f>
        <v/>
      </c>
      <c r="B982" t="n">
        <v>20012393</v>
      </c>
      <c r="C982" t="inlineStr">
        <is>
          <t>Não</t>
        </is>
      </c>
      <c r="D982" t="inlineStr">
        <is>
          <t>GO</t>
        </is>
      </c>
      <c r="E982" t="inlineStr">
        <is>
          <t>CENTRO OESTE</t>
        </is>
      </c>
      <c r="F982" t="inlineStr">
        <is>
          <t>Cliente B - Chopeira</t>
        </is>
      </c>
      <c r="G982" t="inlineStr">
        <is>
          <t>Chopeiras</t>
        </is>
      </c>
      <c r="H982" s="10" t="n">
        <v>85</v>
      </c>
      <c r="I982" s="10">
        <f>IFERROR(T982*H982,0)</f>
        <v/>
      </c>
      <c r="J982" s="11" t="n">
        <v>46085</v>
      </c>
      <c r="K982" s="11" t="n"/>
      <c r="L982" t="inlineStr">
        <is>
          <t>Não Devolve-Norte</t>
        </is>
      </c>
      <c r="M982">
        <f>IF(L982="","",IFERROR(VLOOKUP(L982,mapGrupoStatus,2,0),"Outros"))</f>
        <v/>
      </c>
      <c r="N982">
        <f>IF(O982="","",IF(O982&lt;=30,"0-30 dias",IF(O982&lt;=60,"31-60 dias",IF(O982&lt;=90,"61-90 dias","Mais de 90 dias"))))</f>
        <v/>
      </c>
      <c r="O982">
        <f>IF(OR(M982="Pendente",M982="Em andamento"),IF(J982="","",TODAY()-J982),"")</f>
        <v/>
      </c>
      <c r="P982" t="n">
        <v>11293</v>
      </c>
      <c r="Q982" t="inlineStr">
        <is>
          <t>Assistência Técnica Ltda (11293)</t>
        </is>
      </c>
      <c r="R982" t="inlineStr">
        <is>
          <t>PC-0036</t>
        </is>
      </c>
      <c r="S982" t="inlineStr">
        <is>
          <t>Válvula extratora modelo 02</t>
        </is>
      </c>
      <c r="T982" t="n">
        <v>3</v>
      </c>
      <c r="U982" t="inlineStr"/>
      <c r="V982">
        <f>IF(J982="","",MONTH(J982))</f>
        <v/>
      </c>
      <c r="W982">
        <f>IF(J982="","",YEAR(J982))</f>
        <v/>
      </c>
      <c r="X982" t="inlineStr"/>
      <c r="Y982">
        <f>IFERROR(INDEX(Rastreio!$H$2:$H$200,MATCH(X982&amp;"|"&amp;U982,Rastreio!$A$2:$A$200,0)),"")</f>
        <v/>
      </c>
    </row>
    <row r="983">
      <c r="A983">
        <f>IFERROR(INDEX(STAs!$G$2:$G$61,MATCH(P983,STAs!$F$2:$F$61,0))&amp;"","")</f>
        <v/>
      </c>
      <c r="B983" t="n">
        <v>20013599</v>
      </c>
      <c r="C983" t="inlineStr">
        <is>
          <t>Não</t>
        </is>
      </c>
      <c r="D983" t="inlineStr">
        <is>
          <t>MG</t>
        </is>
      </c>
      <c r="E983" t="inlineStr">
        <is>
          <t>SUDESTE MG</t>
        </is>
      </c>
      <c r="F983" t="inlineStr">
        <is>
          <t>Cliente A - Refrigerador</t>
        </is>
      </c>
      <c r="G983" t="inlineStr">
        <is>
          <t>Misturadores</t>
        </is>
      </c>
      <c r="H983" s="10" t="n">
        <v>60</v>
      </c>
      <c r="I983" s="10">
        <f>IFERROR(T983*H983,0)</f>
        <v/>
      </c>
      <c r="J983" s="11" t="n">
        <v>46085</v>
      </c>
      <c r="K983" s="11" t="n"/>
      <c r="L983" t="inlineStr">
        <is>
          <t>Debitar do STA</t>
        </is>
      </c>
      <c r="M983">
        <f>IF(L983="","",IFERROR(VLOOKUP(L983,mapGrupoStatus,2,0),"Outros"))</f>
        <v/>
      </c>
      <c r="N983">
        <f>IF(O983="","",IF(O983&lt;=30,"0-30 dias",IF(O983&lt;=60,"31-60 dias",IF(O983&lt;=90,"61-90 dias","Mais de 90 dias"))))</f>
        <v/>
      </c>
      <c r="O983">
        <f>IF(OR(M983="Pendente",M983="Em andamento"),IF(J983="","",TODAY()-J983),"")</f>
        <v/>
      </c>
      <c r="P983" t="n">
        <v>11487</v>
      </c>
      <c r="Q983" t="inlineStr">
        <is>
          <t>Assistência Técnica Manutenção (11487)</t>
        </is>
      </c>
      <c r="R983" t="inlineStr">
        <is>
          <t>PC-0048</t>
        </is>
      </c>
      <c r="S983" t="inlineStr">
        <is>
          <t>Sensor de nível modelo 04</t>
        </is>
      </c>
      <c r="T983" t="n">
        <v>1</v>
      </c>
      <c r="U983" t="inlineStr"/>
      <c r="V983">
        <f>IF(J983="","",MONTH(J983))</f>
        <v/>
      </c>
      <c r="W983">
        <f>IF(J983="","",YEAR(J983))</f>
        <v/>
      </c>
      <c r="X983" t="inlineStr"/>
      <c r="Y983">
        <f>IFERROR(INDEX(Rastreio!$H$2:$H$200,MATCH(X983&amp;"|"&amp;U983,Rastreio!$A$2:$A$200,0)),"")</f>
        <v/>
      </c>
    </row>
    <row r="984">
      <c r="A984">
        <f>IFERROR(INDEX(STAs!$G$2:$G$61,MATCH(P984,STAs!$F$2:$F$61,0))&amp;"","")</f>
        <v/>
      </c>
      <c r="B984" t="n">
        <v>20024775</v>
      </c>
      <c r="C984" t="inlineStr">
        <is>
          <t>Não</t>
        </is>
      </c>
      <c r="D984" t="inlineStr">
        <is>
          <t>PR</t>
        </is>
      </c>
      <c r="E984" t="inlineStr">
        <is>
          <t>SUL</t>
        </is>
      </c>
      <c r="F984" t="inlineStr">
        <is>
          <t>Cliente A - Refrigerador</t>
        </is>
      </c>
      <c r="G984" t="inlineStr">
        <is>
          <t>Refrigeradores</t>
        </is>
      </c>
      <c r="H984" s="10" t="n">
        <v>155</v>
      </c>
      <c r="I984" s="10">
        <f>IFERROR(T984*H984,0)</f>
        <v/>
      </c>
      <c r="J984" s="11" t="n">
        <v>46085</v>
      </c>
      <c r="K984" s="11" t="n"/>
      <c r="L984" t="inlineStr">
        <is>
          <t>Debitar do STA</t>
        </is>
      </c>
      <c r="M984">
        <f>IF(L984="","",IFERROR(VLOOKUP(L984,mapGrupoStatus,2,0),"Outros"))</f>
        <v/>
      </c>
      <c r="N984">
        <f>IF(O984="","",IF(O984&lt;=30,"0-30 dias",IF(O984&lt;=60,"31-60 dias",IF(O984&lt;=90,"61-90 dias","Mais de 90 dias"))))</f>
        <v/>
      </c>
      <c r="O984">
        <f>IF(OR(M984="Pendente",M984="Em andamento"),IF(J984="","",TODAY()-J984),"")</f>
        <v/>
      </c>
      <c r="P984" t="n">
        <v>11898</v>
      </c>
      <c r="Q984" t="inlineStr">
        <is>
          <t>Refrigel Express (11898)</t>
        </is>
      </c>
      <c r="R984" t="inlineStr">
        <is>
          <t>PC-0022</t>
        </is>
      </c>
      <c r="S984" t="inlineStr">
        <is>
          <t>Controlador digital modelo 02</t>
        </is>
      </c>
      <c r="T984" t="n">
        <v>2</v>
      </c>
      <c r="U984" t="inlineStr"/>
      <c r="V984">
        <f>IF(J984="","",MONTH(J984))</f>
        <v/>
      </c>
      <c r="W984">
        <f>IF(J984="","",YEAR(J984))</f>
        <v/>
      </c>
      <c r="X984" t="inlineStr"/>
      <c r="Y984">
        <f>IFERROR(INDEX(Rastreio!$H$2:$H$200,MATCH(X984&amp;"|"&amp;U984,Rastreio!$A$2:$A$200,0)),"")</f>
        <v/>
      </c>
    </row>
    <row r="985">
      <c r="A985">
        <f>IFERROR(INDEX(STAs!$G$2:$G$61,MATCH(P985,STAs!$F$2:$F$61,0))&amp;"","")</f>
        <v/>
      </c>
      <c r="B985" t="n">
        <v>20030513</v>
      </c>
      <c r="C985" t="inlineStr">
        <is>
          <t>Sim</t>
        </is>
      </c>
      <c r="D985" t="inlineStr">
        <is>
          <t>SP</t>
        </is>
      </c>
      <c r="E985" t="inlineStr">
        <is>
          <t>SUDESTE SP</t>
        </is>
      </c>
      <c r="F985" t="inlineStr">
        <is>
          <t>Cliente A - Refrigerador</t>
        </is>
      </c>
      <c r="G985" t="inlineStr">
        <is>
          <t>Refrigeradores</t>
        </is>
      </c>
      <c r="H985" s="10" t="n">
        <v>185</v>
      </c>
      <c r="I985" s="10">
        <f>IFERROR(T985*H985,0)</f>
        <v/>
      </c>
      <c r="J985" s="11" t="n">
        <v>46085</v>
      </c>
      <c r="K985" s="11" t="n">
        <v>46090</v>
      </c>
      <c r="L985" t="inlineStr">
        <is>
          <t>Ok. Devolvida</t>
        </is>
      </c>
      <c r="M985">
        <f>IF(L985="","",IFERROR(VLOOKUP(L985,mapGrupoStatus,2,0),"Outros"))</f>
        <v/>
      </c>
      <c r="N985">
        <f>IF(O985="","",IF(O985&lt;=30,"0-30 dias",IF(O985&lt;=60,"31-60 dias",IF(O985&lt;=90,"61-90 dias","Mais de 90 dias"))))</f>
        <v/>
      </c>
      <c r="O985">
        <f>IF(OR(M985="Pendente",M985="Em andamento"),IF(J985="","",TODAY()-J985),"")</f>
        <v/>
      </c>
      <c r="P985" t="n">
        <v>10010</v>
      </c>
      <c r="Q985" t="inlineStr">
        <is>
          <t>Cool Service ME (10010)</t>
        </is>
      </c>
      <c r="R985" t="inlineStr">
        <is>
          <t>PC-0013</t>
        </is>
      </c>
      <c r="S985" t="inlineStr">
        <is>
          <t>Placa eletrônica modelo 03</t>
        </is>
      </c>
      <c r="T985" t="n">
        <v>2</v>
      </c>
      <c r="U985" t="n">
        <v>153</v>
      </c>
      <c r="V985">
        <f>IF(J985="","",MONTH(J985))</f>
        <v/>
      </c>
      <c r="W985">
        <f>IF(J985="","",YEAR(J985))</f>
        <v/>
      </c>
      <c r="X985" t="inlineStr">
        <is>
          <t>CargoMax</t>
        </is>
      </c>
      <c r="Y985">
        <f>IFERROR(INDEX(Rastreio!$H$2:$H$200,MATCH(X985&amp;"|"&amp;U985,Rastreio!$A$2:$A$200,0)),"")</f>
        <v/>
      </c>
    </row>
    <row r="986">
      <c r="A986">
        <f>IFERROR(INDEX(STAs!$G$2:$G$61,MATCH(P986,STAs!$F$2:$F$61,0))&amp;"","")</f>
        <v/>
      </c>
      <c r="B986" t="n">
        <v>20032927</v>
      </c>
      <c r="C986" t="inlineStr">
        <is>
          <t>Não</t>
        </is>
      </c>
      <c r="D986" t="inlineStr">
        <is>
          <t>MT</t>
        </is>
      </c>
      <c r="E986" t="inlineStr">
        <is>
          <t>CENTRO OESTE</t>
        </is>
      </c>
      <c r="F986" t="inlineStr">
        <is>
          <t>Cliente B - Chopeira</t>
        </is>
      </c>
      <c r="G986" t="inlineStr">
        <is>
          <t>Misturadores</t>
        </is>
      </c>
      <c r="H986" s="10" t="n">
        <v>50</v>
      </c>
      <c r="I986" s="10">
        <f>IFERROR(T986*H986,0)</f>
        <v/>
      </c>
      <c r="J986" s="11" t="n">
        <v>46085</v>
      </c>
      <c r="K986" s="11" t="n"/>
      <c r="L986" t="inlineStr">
        <is>
          <t>NF Vencida</t>
        </is>
      </c>
      <c r="M986">
        <f>IF(L986="","",IFERROR(VLOOKUP(L986,mapGrupoStatus,2,0),"Outros"))</f>
        <v/>
      </c>
      <c r="N986">
        <f>IF(O986="","",IF(O986&lt;=30,"0-30 dias",IF(O986&lt;=60,"31-60 dias",IF(O986&lt;=90,"61-90 dias","Mais de 90 dias"))))</f>
        <v/>
      </c>
      <c r="O986">
        <f>IF(OR(M986="Pendente",M986="Em andamento"),IF(J986="","",TODAY()-J986),"")</f>
        <v/>
      </c>
      <c r="P986" t="n">
        <v>10227</v>
      </c>
      <c r="Q986" t="inlineStr">
        <is>
          <t>Assistência Técnica ME (10227)</t>
        </is>
      </c>
      <c r="R986" t="inlineStr">
        <is>
          <t>PC-0045</t>
        </is>
      </c>
      <c r="S986" t="inlineStr">
        <is>
          <t>Sensor de nível modelo 01</t>
        </is>
      </c>
      <c r="T986" t="n">
        <v>1</v>
      </c>
      <c r="U986" t="inlineStr"/>
      <c r="V986">
        <f>IF(J986="","",MONTH(J986))</f>
        <v/>
      </c>
      <c r="W986">
        <f>IF(J986="","",YEAR(J986))</f>
        <v/>
      </c>
      <c r="X986" t="inlineStr"/>
      <c r="Y986">
        <f>IFERROR(INDEX(Rastreio!$H$2:$H$200,MATCH(X986&amp;"|"&amp;U986,Rastreio!$A$2:$A$200,0)),"")</f>
        <v/>
      </c>
    </row>
    <row r="987">
      <c r="A987">
        <f>IFERROR(INDEX(STAs!$G$2:$G$61,MATCH(P987,STAs!$F$2:$F$61,0))&amp;"","")</f>
        <v/>
      </c>
      <c r="B987" t="n">
        <v>20003108</v>
      </c>
      <c r="C987" t="inlineStr">
        <is>
          <t>Sim</t>
        </is>
      </c>
      <c r="D987" t="inlineStr">
        <is>
          <t>PR</t>
        </is>
      </c>
      <c r="E987" t="inlineStr">
        <is>
          <t>SUL</t>
        </is>
      </c>
      <c r="F987" t="inlineStr">
        <is>
          <t>Cliente C - Misturador</t>
        </is>
      </c>
      <c r="G987" t="inlineStr">
        <is>
          <t>Misturadores</t>
        </is>
      </c>
      <c r="H987" s="10" t="n">
        <v>40</v>
      </c>
      <c r="I987" s="10">
        <f>IFERROR(T987*H987,0)</f>
        <v/>
      </c>
      <c r="J987" s="11" t="n">
        <v>46086</v>
      </c>
      <c r="K987" s="11" t="n">
        <v>46127</v>
      </c>
      <c r="L987" t="inlineStr">
        <is>
          <t>Ok. Devolvida</t>
        </is>
      </c>
      <c r="M987">
        <f>IF(L987="","",IFERROR(VLOOKUP(L987,mapGrupoStatus,2,0),"Outros"))</f>
        <v/>
      </c>
      <c r="N987">
        <f>IF(O987="","",IF(O987&lt;=30,"0-30 dias",IF(O987&lt;=60,"31-60 dias",IF(O987&lt;=90,"61-90 dias","Mais de 90 dias"))))</f>
        <v/>
      </c>
      <c r="O987">
        <f>IF(OR(M987="Pendente",M987="Em andamento"),IF(J987="","",TODAY()-J987),"")</f>
        <v/>
      </c>
      <c r="P987" t="n">
        <v>10753</v>
      </c>
      <c r="Q987" t="inlineStr">
        <is>
          <t>Refrigel &amp; Cia (10753)</t>
        </is>
      </c>
      <c r="R987" t="inlineStr">
        <is>
          <t>PC-0042</t>
        </is>
      </c>
      <c r="S987" t="inlineStr">
        <is>
          <t>Bico dosador modelo 01</t>
        </is>
      </c>
      <c r="T987" t="n">
        <v>1</v>
      </c>
      <c r="U987" t="n">
        <v>104</v>
      </c>
      <c r="V987">
        <f>IF(J987="","",MONTH(J987))</f>
        <v/>
      </c>
      <c r="W987">
        <f>IF(J987="","",YEAR(J987))</f>
        <v/>
      </c>
      <c r="X987" t="inlineStr">
        <is>
          <t>LogExpress</t>
        </is>
      </c>
      <c r="Y987">
        <f>IFERROR(INDEX(Rastreio!$H$2:$H$200,MATCH(X987&amp;"|"&amp;U987,Rastreio!$A$2:$A$200,0)),"")</f>
        <v/>
      </c>
    </row>
    <row r="988">
      <c r="A988">
        <f>IFERROR(INDEX(STAs!$G$2:$G$61,MATCH(P988,STAs!$F$2:$F$61,0))&amp;"","")</f>
        <v/>
      </c>
      <c r="B988" t="n">
        <v>20003220</v>
      </c>
      <c r="C988" t="inlineStr">
        <is>
          <t>Não</t>
        </is>
      </c>
      <c r="D988" t="inlineStr">
        <is>
          <t>AC</t>
        </is>
      </c>
      <c r="E988" t="inlineStr">
        <is>
          <t>NORTE</t>
        </is>
      </c>
      <c r="F988" t="inlineStr">
        <is>
          <t>Cliente A - Refrigerador</t>
        </is>
      </c>
      <c r="G988" t="inlineStr">
        <is>
          <t>Refrigeradores</t>
        </is>
      </c>
      <c r="H988" s="10" t="n">
        <v>190</v>
      </c>
      <c r="I988" s="10">
        <f>IFERROR(T988*H988,0)</f>
        <v/>
      </c>
      <c r="J988" s="11" t="n">
        <v>46086</v>
      </c>
      <c r="K988" s="11" t="n"/>
      <c r="L988" t="inlineStr">
        <is>
          <t>Não Devolve-Norte</t>
        </is>
      </c>
      <c r="M988">
        <f>IF(L988="","",IFERROR(VLOOKUP(L988,mapGrupoStatus,2,0),"Outros"))</f>
        <v/>
      </c>
      <c r="N988">
        <f>IF(O988="","",IF(O988&lt;=30,"0-30 dias",IF(O988&lt;=60,"31-60 dias",IF(O988&lt;=90,"61-90 dias","Mais de 90 dias"))))</f>
        <v/>
      </c>
      <c r="O988">
        <f>IF(OR(M988="Pendente",M988="Em andamento"),IF(J988="","",TODAY()-J988),"")</f>
        <v/>
      </c>
      <c r="P988" t="n">
        <v>11022</v>
      </c>
      <c r="Q988" t="inlineStr">
        <is>
          <t>Brisa Ltda (11022)</t>
        </is>
      </c>
      <c r="R988" t="inlineStr">
        <is>
          <t>PC-0011</t>
        </is>
      </c>
      <c r="S988" t="inlineStr">
        <is>
          <t>Placa eletrônica modelo 01</t>
        </is>
      </c>
      <c r="T988" t="n">
        <v>1</v>
      </c>
      <c r="U988" t="inlineStr"/>
      <c r="V988">
        <f>IF(J988="","",MONTH(J988))</f>
        <v/>
      </c>
      <c r="W988">
        <f>IF(J988="","",YEAR(J988))</f>
        <v/>
      </c>
      <c r="X988" t="inlineStr"/>
      <c r="Y988">
        <f>IFERROR(INDEX(Rastreio!$H$2:$H$200,MATCH(X988&amp;"|"&amp;U988,Rastreio!$A$2:$A$200,0)),"")</f>
        <v/>
      </c>
    </row>
    <row r="989">
      <c r="A989">
        <f>IFERROR(INDEX(STAs!$G$2:$G$61,MATCH(P989,STAs!$F$2:$F$61,0))&amp;"","")</f>
        <v/>
      </c>
      <c r="B989" t="n">
        <v>20029735</v>
      </c>
      <c r="C989" t="inlineStr">
        <is>
          <t>Não</t>
        </is>
      </c>
      <c r="D989" t="inlineStr">
        <is>
          <t>RO</t>
        </is>
      </c>
      <c r="E989" t="inlineStr">
        <is>
          <t>NORTE</t>
        </is>
      </c>
      <c r="F989" t="inlineStr">
        <is>
          <t>Cliente C - Misturador</t>
        </is>
      </c>
      <c r="G989" t="inlineStr">
        <is>
          <t>Chopeiras</t>
        </is>
      </c>
      <c r="H989" s="10" t="n">
        <v>115</v>
      </c>
      <c r="I989" s="10">
        <f>IFERROR(T989*H989,0)</f>
        <v/>
      </c>
      <c r="J989" s="11" t="n">
        <v>46086</v>
      </c>
      <c r="K989" s="11" t="n">
        <v>46144</v>
      </c>
      <c r="L989" t="inlineStr">
        <is>
          <t>Ok. Devolvida</t>
        </is>
      </c>
      <c r="M989">
        <f>IF(L989="","",IFERROR(VLOOKUP(L989,mapGrupoStatus,2,0),"Outros"))</f>
        <v/>
      </c>
      <c r="N989">
        <f>IF(O989="","",IF(O989&lt;=30,"0-30 dias",IF(O989&lt;=60,"31-60 dias",IF(O989&lt;=90,"61-90 dias","Mais de 90 dias"))))</f>
        <v/>
      </c>
      <c r="O989">
        <f>IF(OR(M989="Pendente",M989="Em andamento"),IF(J989="","",TODAY()-J989),"")</f>
        <v/>
      </c>
      <c r="P989" t="n">
        <v>10172</v>
      </c>
      <c r="Q989" t="inlineStr">
        <is>
          <t>Frigo Serviços (10172)</t>
        </is>
      </c>
      <c r="R989" t="inlineStr">
        <is>
          <t>PC-0034</t>
        </is>
      </c>
      <c r="S989" t="inlineStr">
        <is>
          <t>Regulador de pressão modelo 03</t>
        </is>
      </c>
      <c r="T989" t="n">
        <v>1</v>
      </c>
      <c r="U989" t="n">
        <v>153</v>
      </c>
      <c r="V989">
        <f>IF(J989="","",MONTH(J989))</f>
        <v/>
      </c>
      <c r="W989">
        <f>IF(J989="","",YEAR(J989))</f>
        <v/>
      </c>
      <c r="X989" t="inlineStr">
        <is>
          <t>CargoMax</t>
        </is>
      </c>
      <c r="Y989">
        <f>IFERROR(INDEX(Rastreio!$H$2:$H$200,MATCH(X989&amp;"|"&amp;U989,Rastreio!$A$2:$A$200,0)),"")</f>
        <v/>
      </c>
    </row>
    <row r="990">
      <c r="A990">
        <f>IFERROR(INDEX(STAs!$G$2:$G$61,MATCH(P990,STAs!$F$2:$F$61,0))&amp;"","")</f>
        <v/>
      </c>
      <c r="B990" t="n">
        <v>20033748</v>
      </c>
      <c r="C990" t="inlineStr">
        <is>
          <t>Sim</t>
        </is>
      </c>
      <c r="D990" t="inlineStr">
        <is>
          <t>GO</t>
        </is>
      </c>
      <c r="E990" t="inlineStr">
        <is>
          <t>CENTRO OESTE</t>
        </is>
      </c>
      <c r="F990" t="inlineStr">
        <is>
          <t>Cliente A - Refrigerador</t>
        </is>
      </c>
      <c r="G990" t="inlineStr">
        <is>
          <t>Refrigeradores</t>
        </is>
      </c>
      <c r="H990" s="10" t="n">
        <v>40</v>
      </c>
      <c r="I990" s="10">
        <f>IFERROR(T990*H990,0)</f>
        <v/>
      </c>
      <c r="J990" s="11" t="n">
        <v>46086</v>
      </c>
      <c r="K990" s="11" t="n">
        <v>46135</v>
      </c>
      <c r="L990" t="inlineStr">
        <is>
          <t>Ok. Devolvida</t>
        </is>
      </c>
      <c r="M990">
        <f>IF(L990="","",IFERROR(VLOOKUP(L990,mapGrupoStatus,2,0),"Outros"))</f>
        <v/>
      </c>
      <c r="N990">
        <f>IF(O990="","",IF(O990&lt;=30,"0-30 dias",IF(O990&lt;=60,"31-60 dias",IF(O990&lt;=90,"61-90 dias","Mais de 90 dias"))))</f>
        <v/>
      </c>
      <c r="O990">
        <f>IF(OR(M990="Pendente",M990="Em andamento"),IF(J990="","",TODAY()-J990),"")</f>
        <v/>
      </c>
      <c r="P990" t="n">
        <v>11677</v>
      </c>
      <c r="Q990" t="inlineStr">
        <is>
          <t>Cool Service Manutenção (11677)</t>
        </is>
      </c>
      <c r="R990" t="inlineStr">
        <is>
          <t>PC-0004</t>
        </is>
      </c>
      <c r="S990" t="inlineStr">
        <is>
          <t>Termostato modelo 01</t>
        </is>
      </c>
      <c r="T990" t="n">
        <v>1</v>
      </c>
      <c r="U990" t="n">
        <v>158</v>
      </c>
      <c r="V990">
        <f>IF(J990="","",MONTH(J990))</f>
        <v/>
      </c>
      <c r="W990">
        <f>IF(J990="","",YEAR(J990))</f>
        <v/>
      </c>
      <c r="X990" t="inlineStr">
        <is>
          <t>CargoMax</t>
        </is>
      </c>
      <c r="Y990">
        <f>IFERROR(INDEX(Rastreio!$H$2:$H$200,MATCH(X990&amp;"|"&amp;U990,Rastreio!$A$2:$A$200,0)),"")</f>
        <v/>
      </c>
    </row>
    <row r="991">
      <c r="A991">
        <f>IFERROR(INDEX(STAs!$G$2:$G$61,MATCH(P991,STAs!$F$2:$F$61,0))&amp;"","")</f>
        <v/>
      </c>
      <c r="B991" t="n">
        <v>20024068</v>
      </c>
      <c r="C991" t="inlineStr">
        <is>
          <t>Não</t>
        </is>
      </c>
      <c r="D991" t="inlineStr">
        <is>
          <t>PE</t>
        </is>
      </c>
      <c r="E991" t="inlineStr">
        <is>
          <t>NORDESTE</t>
        </is>
      </c>
      <c r="F991" t="inlineStr">
        <is>
          <t>Cliente A - Refrigerador</t>
        </is>
      </c>
      <c r="G991" t="inlineStr">
        <is>
          <t>Refrigeradores</t>
        </is>
      </c>
      <c r="H991" s="10" t="n">
        <v>35</v>
      </c>
      <c r="I991" s="10">
        <f>IFERROR(T991*H991,0)</f>
        <v/>
      </c>
      <c r="J991" s="11" t="n">
        <v>46087</v>
      </c>
      <c r="K991" s="11" t="n">
        <v>46103</v>
      </c>
      <c r="L991" t="inlineStr">
        <is>
          <t>Ok. Devolvida</t>
        </is>
      </c>
      <c r="M991">
        <f>IF(L991="","",IFERROR(VLOOKUP(L991,mapGrupoStatus,2,0),"Outros"))</f>
        <v/>
      </c>
      <c r="N991">
        <f>IF(O991="","",IF(O991&lt;=30,"0-30 dias",IF(O991&lt;=60,"31-60 dias",IF(O991&lt;=90,"61-90 dias","Mais de 90 dias"))))</f>
        <v/>
      </c>
      <c r="O991">
        <f>IF(OR(M991="Pendente",M991="Em andamento"),IF(J991="","",TODAY()-J991),"")</f>
        <v/>
      </c>
      <c r="P991" t="n">
        <v>11352</v>
      </c>
      <c r="Q991" t="inlineStr">
        <is>
          <t>Frio Express (11352)</t>
        </is>
      </c>
      <c r="R991" t="inlineStr">
        <is>
          <t>PC-0024</t>
        </is>
      </c>
      <c r="S991" t="inlineStr">
        <is>
          <t>Relé de partida modelo 02</t>
        </is>
      </c>
      <c r="T991" t="n">
        <v>3</v>
      </c>
      <c r="U991" t="n">
        <v>142</v>
      </c>
      <c r="V991">
        <f>IF(J991="","",MONTH(J991))</f>
        <v/>
      </c>
      <c r="W991">
        <f>IF(J991="","",YEAR(J991))</f>
        <v/>
      </c>
      <c r="X991" t="inlineStr">
        <is>
          <t>CargoMax</t>
        </is>
      </c>
      <c r="Y991">
        <f>IFERROR(INDEX(Rastreio!$H$2:$H$200,MATCH(X991&amp;"|"&amp;U991,Rastreio!$A$2:$A$200,0)),"")</f>
        <v/>
      </c>
    </row>
    <row r="992">
      <c r="A992">
        <f>IFERROR(INDEX(STAs!$G$2:$G$61,MATCH(P992,STAs!$F$2:$F$61,0))&amp;"","")</f>
        <v/>
      </c>
      <c r="B992" t="n">
        <v>20033338</v>
      </c>
      <c r="C992" t="inlineStr">
        <is>
          <t>Não</t>
        </is>
      </c>
      <c r="D992" t="inlineStr">
        <is>
          <t>RR</t>
        </is>
      </c>
      <c r="E992" t="inlineStr">
        <is>
          <t>NORTE</t>
        </is>
      </c>
      <c r="F992" t="inlineStr">
        <is>
          <t>Cliente A - Refrigerador</t>
        </is>
      </c>
      <c r="G992" t="inlineStr">
        <is>
          <t>Misturadores</t>
        </is>
      </c>
      <c r="H992" s="10" t="n">
        <v>60</v>
      </c>
      <c r="I992" s="10">
        <f>IFERROR(T992*H992,0)</f>
        <v/>
      </c>
      <c r="J992" s="11" t="n">
        <v>46087</v>
      </c>
      <c r="K992" s="11" t="n"/>
      <c r="L992" t="inlineStr">
        <is>
          <t>Não Devolve-Norte</t>
        </is>
      </c>
      <c r="M992">
        <f>IF(L992="","",IFERROR(VLOOKUP(L992,mapGrupoStatus,2,0),"Outros"))</f>
        <v/>
      </c>
      <c r="N992">
        <f>IF(O992="","",IF(O992&lt;=30,"0-30 dias",IF(O992&lt;=60,"31-60 dias",IF(O992&lt;=90,"61-90 dias","Mais de 90 dias"))))</f>
        <v/>
      </c>
      <c r="O992">
        <f>IF(OR(M992="Pendente",M992="Em andamento"),IF(J992="","",TODAY()-J992),"")</f>
        <v/>
      </c>
      <c r="P992" t="n">
        <v>10468</v>
      </c>
      <c r="Q992" t="inlineStr">
        <is>
          <t>Clima Express (10468)</t>
        </is>
      </c>
      <c r="R992" t="inlineStr">
        <is>
          <t>PC-0048</t>
        </is>
      </c>
      <c r="S992" t="inlineStr">
        <is>
          <t>Sensor de nível modelo 04</t>
        </is>
      </c>
      <c r="T992" t="n">
        <v>1</v>
      </c>
      <c r="U992" t="inlineStr"/>
      <c r="V992">
        <f>IF(J992="","",MONTH(J992))</f>
        <v/>
      </c>
      <c r="W992">
        <f>IF(J992="","",YEAR(J992))</f>
        <v/>
      </c>
      <c r="X992" t="inlineStr"/>
      <c r="Y992">
        <f>IFERROR(INDEX(Rastreio!$H$2:$H$200,MATCH(X992&amp;"|"&amp;U992,Rastreio!$A$2:$A$200,0)),"")</f>
        <v/>
      </c>
    </row>
    <row r="993">
      <c r="A993">
        <f>IFERROR(INDEX(STAs!$G$2:$G$61,MATCH(P993,STAs!$F$2:$F$61,0))&amp;"","")</f>
        <v/>
      </c>
      <c r="B993" t="n">
        <v>20036776</v>
      </c>
      <c r="C993" t="inlineStr">
        <is>
          <t>Não</t>
        </is>
      </c>
      <c r="D993" t="inlineStr">
        <is>
          <t>PI</t>
        </is>
      </c>
      <c r="E993" t="inlineStr">
        <is>
          <t>NORDESTE</t>
        </is>
      </c>
      <c r="F993" t="inlineStr">
        <is>
          <t>Cliente A - Refrigerador</t>
        </is>
      </c>
      <c r="G993" t="inlineStr">
        <is>
          <t>Refrigeradores</t>
        </is>
      </c>
      <c r="H993" s="10" t="n">
        <v>45</v>
      </c>
      <c r="I993" s="10">
        <f>IFERROR(T993*H993,0)</f>
        <v/>
      </c>
      <c r="J993" s="11" t="n">
        <v>46087</v>
      </c>
      <c r="K993" s="11" t="n"/>
      <c r="L993" t="inlineStr">
        <is>
          <t>Aguardando devolução</t>
        </is>
      </c>
      <c r="M993">
        <f>IF(L993="","",IFERROR(VLOOKUP(L993,mapGrupoStatus,2,0),"Outros"))</f>
        <v/>
      </c>
      <c r="N993">
        <f>IF(O993="","",IF(O993&lt;=30,"0-30 dias",IF(O993&lt;=60,"31-60 dias",IF(O993&lt;=90,"61-90 dias","Mais de 90 dias"))))</f>
        <v/>
      </c>
      <c r="O993">
        <f>IF(OR(M993="Pendente",M993="Em andamento"),IF(J993="","",TODAY()-J993),"")</f>
        <v/>
      </c>
      <c r="P993" t="n">
        <v>10562</v>
      </c>
      <c r="Q993" t="inlineStr">
        <is>
          <t>Clima &amp; Cia (10562)</t>
        </is>
      </c>
      <c r="R993" t="inlineStr">
        <is>
          <t>PC-0018</t>
        </is>
      </c>
      <c r="S993" t="inlineStr">
        <is>
          <t>Gaxeta da porta modelo 01</t>
        </is>
      </c>
      <c r="T993" t="n">
        <v>1</v>
      </c>
      <c r="U993" t="inlineStr"/>
      <c r="V993">
        <f>IF(J993="","",MONTH(J993))</f>
        <v/>
      </c>
      <c r="W993">
        <f>IF(J993="","",YEAR(J993))</f>
        <v/>
      </c>
      <c r="X993" t="inlineStr"/>
      <c r="Y993">
        <f>IFERROR(INDEX(Rastreio!$H$2:$H$200,MATCH(X993&amp;"|"&amp;U993,Rastreio!$A$2:$A$200,0)),"")</f>
        <v/>
      </c>
    </row>
    <row r="994">
      <c r="A994">
        <f>IFERROR(INDEX(STAs!$G$2:$G$61,MATCH(P994,STAs!$F$2:$F$61,0))&amp;"","")</f>
        <v/>
      </c>
      <c r="B994" t="n">
        <v>20040642</v>
      </c>
      <c r="C994" t="inlineStr">
        <is>
          <t>Não</t>
        </is>
      </c>
      <c r="D994" t="inlineStr">
        <is>
          <t>SP</t>
        </is>
      </c>
      <c r="E994" t="inlineStr">
        <is>
          <t>SUDESTE SP</t>
        </is>
      </c>
      <c r="F994" t="inlineStr">
        <is>
          <t>Cliente A - Refrigerador</t>
        </is>
      </c>
      <c r="G994" t="inlineStr">
        <is>
          <t>Refrigeradores</t>
        </is>
      </c>
      <c r="H994" s="10" t="n">
        <v>40</v>
      </c>
      <c r="I994" s="10">
        <f>IFERROR(T994*H994,0)</f>
        <v/>
      </c>
      <c r="J994" s="11" t="n">
        <v>46087</v>
      </c>
      <c r="K994" s="11" t="n">
        <v>46111</v>
      </c>
      <c r="L994" t="inlineStr">
        <is>
          <t>Ok. Devolvida</t>
        </is>
      </c>
      <c r="M994">
        <f>IF(L994="","",IFERROR(VLOOKUP(L994,mapGrupoStatus,2,0),"Outros"))</f>
        <v/>
      </c>
      <c r="N994">
        <f>IF(O994="","",IF(O994&lt;=30,"0-30 dias",IF(O994&lt;=60,"31-60 dias",IF(O994&lt;=90,"61-90 dias","Mais de 90 dias"))))</f>
        <v/>
      </c>
      <c r="O994">
        <f>IF(OR(M994="Pendente",M994="Em andamento"),IF(J994="","",TODAY()-J994),"")</f>
        <v/>
      </c>
      <c r="P994" t="n">
        <v>11365</v>
      </c>
      <c r="Q994" t="inlineStr">
        <is>
          <t>Ártico Express (11365)</t>
        </is>
      </c>
      <c r="R994" t="inlineStr">
        <is>
          <t>PC-0005</t>
        </is>
      </c>
      <c r="S994" t="inlineStr">
        <is>
          <t>Termostato modelo 02</t>
        </is>
      </c>
      <c r="T994" t="n">
        <v>1</v>
      </c>
      <c r="U994" t="n">
        <v>160</v>
      </c>
      <c r="V994">
        <f>IF(J994="","",MONTH(J994))</f>
        <v/>
      </c>
      <c r="W994">
        <f>IF(J994="","",YEAR(J994))</f>
        <v/>
      </c>
      <c r="X994" t="inlineStr">
        <is>
          <t>EntregaJá</t>
        </is>
      </c>
      <c r="Y994">
        <f>IFERROR(INDEX(Rastreio!$H$2:$H$200,MATCH(X994&amp;"|"&amp;U994,Rastreio!$A$2:$A$200,0)),"")</f>
        <v/>
      </c>
    </row>
    <row r="995">
      <c r="A995">
        <f>IFERROR(INDEX(STAs!$G$2:$G$61,MATCH(P995,STAs!$F$2:$F$61,0))&amp;"","")</f>
        <v/>
      </c>
      <c r="B995" t="n">
        <v>20010219</v>
      </c>
      <c r="C995" t="inlineStr">
        <is>
          <t>Não</t>
        </is>
      </c>
      <c r="D995" t="inlineStr">
        <is>
          <t>SP</t>
        </is>
      </c>
      <c r="E995" t="inlineStr">
        <is>
          <t>SUDESTE SP</t>
        </is>
      </c>
      <c r="F995" t="inlineStr">
        <is>
          <t>Cliente B - Chopeira</t>
        </is>
      </c>
      <c r="G995" t="inlineStr">
        <is>
          <t>Chopeiras</t>
        </is>
      </c>
      <c r="H995" s="10" t="n">
        <v>205</v>
      </c>
      <c r="I995" s="10">
        <f>IFERROR(T995*H995,0)</f>
        <v/>
      </c>
      <c r="J995" s="11" t="n">
        <v>46088</v>
      </c>
      <c r="K995" s="11" t="n">
        <v>46142</v>
      </c>
      <c r="L995" t="inlineStr">
        <is>
          <t>Ok. Devolvida</t>
        </is>
      </c>
      <c r="M995">
        <f>IF(L995="","",IFERROR(VLOOKUP(L995,mapGrupoStatus,2,0),"Outros"))</f>
        <v/>
      </c>
      <c r="N995">
        <f>IF(O995="","",IF(O995&lt;=30,"0-30 dias",IF(O995&lt;=60,"31-60 dias",IF(O995&lt;=90,"61-90 dias","Mais de 90 dias"))))</f>
        <v/>
      </c>
      <c r="O995">
        <f>IF(OR(M995="Pendente",M995="Em andamento"),IF(J995="","",TODAY()-J995),"")</f>
        <v/>
      </c>
      <c r="P995" t="n">
        <v>11710</v>
      </c>
      <c r="Q995" t="inlineStr">
        <is>
          <t>Brisa &amp; Cia (11710)</t>
        </is>
      </c>
      <c r="R995" t="inlineStr">
        <is>
          <t>PC-0031</t>
        </is>
      </c>
      <c r="S995" t="inlineStr">
        <is>
          <t>Serpentina modelo 03</t>
        </is>
      </c>
      <c r="T995" t="n">
        <v>1</v>
      </c>
      <c r="U995" t="n">
        <v>120</v>
      </c>
      <c r="V995">
        <f>IF(J995="","",MONTH(J995))</f>
        <v/>
      </c>
      <c r="W995">
        <f>IF(J995="","",YEAR(J995))</f>
        <v/>
      </c>
      <c r="X995" t="inlineStr">
        <is>
          <t>CargoMax</t>
        </is>
      </c>
      <c r="Y995">
        <f>IFERROR(INDEX(Rastreio!$H$2:$H$200,MATCH(X995&amp;"|"&amp;U995,Rastreio!$A$2:$A$200,0)),"")</f>
        <v/>
      </c>
    </row>
    <row r="996">
      <c r="A996">
        <f>IFERROR(INDEX(STAs!$G$2:$G$61,MATCH(P996,STAs!$F$2:$F$61,0))&amp;"","")</f>
        <v/>
      </c>
      <c r="B996" t="n">
        <v>20012467</v>
      </c>
      <c r="C996" t="inlineStr">
        <is>
          <t>Não</t>
        </is>
      </c>
      <c r="D996" t="inlineStr">
        <is>
          <t>RR</t>
        </is>
      </c>
      <c r="E996" t="inlineStr">
        <is>
          <t>NORTE</t>
        </is>
      </c>
      <c r="F996" t="inlineStr">
        <is>
          <t>Cliente B - Chopeira</t>
        </is>
      </c>
      <c r="G996" t="inlineStr">
        <is>
          <t>Refrigeradores</t>
        </is>
      </c>
      <c r="H996" s="10" t="n">
        <v>70</v>
      </c>
      <c r="I996" s="10">
        <f>IFERROR(T996*H996,0)</f>
        <v/>
      </c>
      <c r="J996" s="11" t="n">
        <v>46088</v>
      </c>
      <c r="K996" s="11" t="n"/>
      <c r="L996" t="inlineStr">
        <is>
          <t>Não Devolve-Norte</t>
        </is>
      </c>
      <c r="M996">
        <f>IF(L996="","",IFERROR(VLOOKUP(L996,mapGrupoStatus,2,0),"Outros"))</f>
        <v/>
      </c>
      <c r="N996">
        <f>IF(O996="","",IF(O996&lt;=30,"0-30 dias",IF(O996&lt;=60,"31-60 dias",IF(O996&lt;=90,"61-90 dias","Mais de 90 dias"))))</f>
        <v/>
      </c>
      <c r="O996">
        <f>IF(OR(M996="Pendente",M996="Em andamento"),IF(J996="","",TODAY()-J996),"")</f>
        <v/>
      </c>
      <c r="P996" t="n">
        <v>10468</v>
      </c>
      <c r="Q996" t="inlineStr">
        <is>
          <t>Clima Express (10468)</t>
        </is>
      </c>
      <c r="R996" t="inlineStr">
        <is>
          <t>PC-0009</t>
        </is>
      </c>
      <c r="S996" t="inlineStr">
        <is>
          <t>Ventilador modelo 03</t>
        </is>
      </c>
      <c r="T996" t="n">
        <v>2</v>
      </c>
      <c r="U996" t="inlineStr"/>
      <c r="V996">
        <f>IF(J996="","",MONTH(J996))</f>
        <v/>
      </c>
      <c r="W996">
        <f>IF(J996="","",YEAR(J996))</f>
        <v/>
      </c>
      <c r="X996" t="inlineStr"/>
      <c r="Y996">
        <f>IFERROR(INDEX(Rastreio!$H$2:$H$200,MATCH(X996&amp;"|"&amp;U996,Rastreio!$A$2:$A$200,0)),"")</f>
        <v/>
      </c>
    </row>
    <row r="997">
      <c r="A997">
        <f>IFERROR(INDEX(STAs!$G$2:$G$61,MATCH(P997,STAs!$F$2:$F$61,0))&amp;"","")</f>
        <v/>
      </c>
      <c r="B997" t="n">
        <v>20012789</v>
      </c>
      <c r="C997" t="inlineStr">
        <is>
          <t>Não</t>
        </is>
      </c>
      <c r="D997" t="inlineStr">
        <is>
          <t>RO</t>
        </is>
      </c>
      <c r="E997" t="inlineStr">
        <is>
          <t>NORTE</t>
        </is>
      </c>
      <c r="F997" t="inlineStr">
        <is>
          <t>Cliente C - Misturador</t>
        </is>
      </c>
      <c r="G997" t="inlineStr">
        <is>
          <t>Chopeiras</t>
        </is>
      </c>
      <c r="H997" s="10" t="n">
        <v>100</v>
      </c>
      <c r="I997" s="10">
        <f>IFERROR(T997*H997,0)</f>
        <v/>
      </c>
      <c r="J997" s="11" t="n">
        <v>46088</v>
      </c>
      <c r="K997" s="11" t="n"/>
      <c r="L997" t="inlineStr">
        <is>
          <t>Não Devolve-Norte</t>
        </is>
      </c>
      <c r="M997">
        <f>IF(L997="","",IFERROR(VLOOKUP(L997,mapGrupoStatus,2,0),"Outros"))</f>
        <v/>
      </c>
      <c r="N997">
        <f>IF(O997="","",IF(O997&lt;=30,"0-30 dias",IF(O997&lt;=60,"31-60 dias",IF(O997&lt;=90,"61-90 dias","Mais de 90 dias"))))</f>
        <v/>
      </c>
      <c r="O997">
        <f>IF(OR(M997="Pendente",M997="Em andamento"),IF(J997="","",TODAY()-J997),"")</f>
        <v/>
      </c>
      <c r="P997" t="n">
        <v>12019</v>
      </c>
      <c r="Q997" t="inlineStr">
        <is>
          <t>Ártico Serviços (12019)</t>
        </is>
      </c>
      <c r="R997" t="inlineStr">
        <is>
          <t>PC-0027</t>
        </is>
      </c>
      <c r="S997" t="inlineStr">
        <is>
          <t>Torneira de chopp modelo 02</t>
        </is>
      </c>
      <c r="T997" t="n">
        <v>1</v>
      </c>
      <c r="U997" t="inlineStr"/>
      <c r="V997">
        <f>IF(J997="","",MONTH(J997))</f>
        <v/>
      </c>
      <c r="W997">
        <f>IF(J997="","",YEAR(J997))</f>
        <v/>
      </c>
      <c r="X997" t="inlineStr"/>
      <c r="Y997">
        <f>IFERROR(INDEX(Rastreio!$H$2:$H$200,MATCH(X997&amp;"|"&amp;U997,Rastreio!$A$2:$A$200,0)),"")</f>
        <v/>
      </c>
    </row>
    <row r="998">
      <c r="A998">
        <f>IFERROR(INDEX(STAs!$G$2:$G$61,MATCH(P998,STAs!$F$2:$F$61,0))&amp;"","")</f>
        <v/>
      </c>
      <c r="B998" t="n">
        <v>20014504</v>
      </c>
      <c r="C998" t="inlineStr">
        <is>
          <t>Não</t>
        </is>
      </c>
      <c r="D998" t="inlineStr">
        <is>
          <t>PI</t>
        </is>
      </c>
      <c r="E998" t="inlineStr">
        <is>
          <t>NORDESTE</t>
        </is>
      </c>
      <c r="F998" t="inlineStr">
        <is>
          <t>Cliente B - Chopeira</t>
        </is>
      </c>
      <c r="G998" t="inlineStr">
        <is>
          <t>Chopeiras</t>
        </is>
      </c>
      <c r="H998" s="10" t="n">
        <v>85</v>
      </c>
      <c r="I998" s="10">
        <f>IFERROR(T998*H998,0)</f>
        <v/>
      </c>
      <c r="J998" s="11" t="n">
        <v>46088</v>
      </c>
      <c r="K998" s="11" t="n">
        <v>46095</v>
      </c>
      <c r="L998" t="inlineStr">
        <is>
          <t>Ok. Devolvida</t>
        </is>
      </c>
      <c r="M998">
        <f>IF(L998="","",IFERROR(VLOOKUP(L998,mapGrupoStatus,2,0),"Outros"))</f>
        <v/>
      </c>
      <c r="N998">
        <f>IF(O998="","",IF(O998&lt;=30,"0-30 dias",IF(O998&lt;=60,"31-60 dias",IF(O998&lt;=90,"61-90 dias","Mais de 90 dias"))))</f>
        <v/>
      </c>
      <c r="O998">
        <f>IF(OR(M998="Pendente",M998="Em andamento"),IF(J998="","",TODAY()-J998),"")</f>
        <v/>
      </c>
      <c r="P998" t="n">
        <v>12936</v>
      </c>
      <c r="Q998" t="inlineStr">
        <is>
          <t>Frigo Técnica (12936)</t>
        </is>
      </c>
      <c r="R998" t="inlineStr">
        <is>
          <t>PC-0035</t>
        </is>
      </c>
      <c r="S998" t="inlineStr">
        <is>
          <t>Válvula extratora modelo 01</t>
        </is>
      </c>
      <c r="T998" t="n">
        <v>1</v>
      </c>
      <c r="U998" t="n">
        <v>127</v>
      </c>
      <c r="V998">
        <f>IF(J998="","",MONTH(J998))</f>
        <v/>
      </c>
      <c r="W998">
        <f>IF(J998="","",YEAR(J998))</f>
        <v/>
      </c>
      <c r="X998" t="inlineStr">
        <is>
          <t>CargoMax</t>
        </is>
      </c>
      <c r="Y998">
        <f>IFERROR(INDEX(Rastreio!$H$2:$H$200,MATCH(X998&amp;"|"&amp;U998,Rastreio!$A$2:$A$200,0)),"")</f>
        <v/>
      </c>
    </row>
    <row r="999">
      <c r="A999">
        <f>IFERROR(INDEX(STAs!$G$2:$G$61,MATCH(P999,STAs!$F$2:$F$61,0))&amp;"","")</f>
        <v/>
      </c>
      <c r="B999" t="n">
        <v>20016055</v>
      </c>
      <c r="C999" t="inlineStr">
        <is>
          <t>Não</t>
        </is>
      </c>
      <c r="D999" t="inlineStr">
        <is>
          <t>MG</t>
        </is>
      </c>
      <c r="E999" t="inlineStr">
        <is>
          <t>SUDESTE MG</t>
        </is>
      </c>
      <c r="F999" t="inlineStr">
        <is>
          <t>Cliente C - Misturador</t>
        </is>
      </c>
      <c r="G999" t="inlineStr">
        <is>
          <t>Misturadores</t>
        </is>
      </c>
      <c r="H999" s="10" t="n">
        <v>200</v>
      </c>
      <c r="I999" s="10">
        <f>IFERROR(T999*H999,0)</f>
        <v/>
      </c>
      <c r="J999" s="11" t="n">
        <v>46088</v>
      </c>
      <c r="K999" s="11" t="n">
        <v>46134</v>
      </c>
      <c r="L999" t="inlineStr">
        <is>
          <t>Ok. Devolvida</t>
        </is>
      </c>
      <c r="M999">
        <f>IF(L999="","",IFERROR(VLOOKUP(L999,mapGrupoStatus,2,0),"Outros"))</f>
        <v/>
      </c>
      <c r="N999">
        <f>IF(O999="","",IF(O999&lt;=30,"0-30 dias",IF(O999&lt;=60,"31-60 dias",IF(O999&lt;=90,"61-90 dias","Mais de 90 dias"))))</f>
        <v/>
      </c>
      <c r="O999">
        <f>IF(OR(M999="Pendente",M999="Em andamento"),IF(J999="","",TODAY()-J999),"")</f>
        <v/>
      </c>
      <c r="P999" t="n">
        <v>11487</v>
      </c>
      <c r="Q999" t="inlineStr">
        <is>
          <t>Assistência Técnica Manutenção (11487)</t>
        </is>
      </c>
      <c r="R999" t="inlineStr">
        <is>
          <t>PC-0040</t>
        </is>
      </c>
      <c r="S999" t="inlineStr">
        <is>
          <t>Motor agitador modelo 01</t>
        </is>
      </c>
      <c r="T999" t="n">
        <v>1</v>
      </c>
      <c r="U999" t="n">
        <v>128</v>
      </c>
      <c r="V999">
        <f>IF(J999="","",MONTH(J999))</f>
        <v/>
      </c>
      <c r="W999">
        <f>IF(J999="","",YEAR(J999))</f>
        <v/>
      </c>
      <c r="X999" t="inlineStr">
        <is>
          <t>CargoMax</t>
        </is>
      </c>
      <c r="Y999">
        <f>IFERROR(INDEX(Rastreio!$H$2:$H$200,MATCH(X999&amp;"|"&amp;U999,Rastreio!$A$2:$A$200,0)),"")</f>
        <v/>
      </c>
    </row>
    <row r="1000">
      <c r="A1000">
        <f>IFERROR(INDEX(STAs!$G$2:$G$61,MATCH(P1000,STAs!$F$2:$F$61,0))&amp;"","")</f>
        <v/>
      </c>
      <c r="B1000" t="n">
        <v>20024486</v>
      </c>
      <c r="C1000" t="inlineStr">
        <is>
          <t>Não</t>
        </is>
      </c>
      <c r="D1000" t="inlineStr">
        <is>
          <t>RJ</t>
        </is>
      </c>
      <c r="E1000" t="inlineStr">
        <is>
          <t>SUDESTE RJ e ES</t>
        </is>
      </c>
      <c r="F1000" t="inlineStr">
        <is>
          <t>Cliente A - Refrigerador</t>
        </is>
      </c>
      <c r="G1000" t="inlineStr">
        <is>
          <t>Chopeiras</t>
        </is>
      </c>
      <c r="H1000" s="10" t="n">
        <v>85</v>
      </c>
      <c r="I1000" s="10">
        <f>IFERROR(T1000*H1000,0)</f>
        <v/>
      </c>
      <c r="J1000" s="11" t="n">
        <v>46088</v>
      </c>
      <c r="K1000" s="11" t="n">
        <v>46138</v>
      </c>
      <c r="L1000" t="inlineStr">
        <is>
          <t>Ok. Devolvida</t>
        </is>
      </c>
      <c r="M1000">
        <f>IF(L1000="","",IFERROR(VLOOKUP(L1000,mapGrupoStatus,2,0),"Outros"))</f>
        <v/>
      </c>
      <c r="N1000">
        <f>IF(O1000="","",IF(O1000&lt;=30,"0-30 dias",IF(O1000&lt;=60,"31-60 dias",IF(O1000&lt;=90,"61-90 dias","Mais de 90 dias"))))</f>
        <v/>
      </c>
      <c r="O1000">
        <f>IF(OR(M1000="Pendente",M1000="Em andamento"),IF(J1000="","",TODAY()-J1000),"")</f>
        <v/>
      </c>
      <c r="P1000" t="n">
        <v>12811</v>
      </c>
      <c r="Q1000" t="inlineStr">
        <is>
          <t>Norte Frio Técnica (12811)</t>
        </is>
      </c>
      <c r="R1000" t="inlineStr">
        <is>
          <t>PC-0036</t>
        </is>
      </c>
      <c r="S1000" t="inlineStr">
        <is>
          <t>Válvula extratora modelo 02</t>
        </is>
      </c>
      <c r="T1000" t="n">
        <v>1</v>
      </c>
      <c r="U1000" t="n">
        <v>145</v>
      </c>
      <c r="V1000">
        <f>IF(J1000="","",MONTH(J1000))</f>
        <v/>
      </c>
      <c r="W1000">
        <f>IF(J1000="","",YEAR(J1000))</f>
        <v/>
      </c>
      <c r="X1000" t="inlineStr">
        <is>
          <t>LogExpress</t>
        </is>
      </c>
      <c r="Y1000">
        <f>IFERROR(INDEX(Rastreio!$H$2:$H$200,MATCH(X1000&amp;"|"&amp;U1000,Rastreio!$A$2:$A$200,0)),"")</f>
        <v/>
      </c>
    </row>
    <row r="1001">
      <c r="A1001">
        <f>IFERROR(INDEX(STAs!$G$2:$G$61,MATCH(P1001,STAs!$F$2:$F$61,0))&amp;"","")</f>
        <v/>
      </c>
      <c r="B1001" t="n">
        <v>20022139</v>
      </c>
      <c r="C1001" t="inlineStr">
        <is>
          <t>Sim</t>
        </is>
      </c>
      <c r="D1001" t="inlineStr">
        <is>
          <t>PR</t>
        </is>
      </c>
      <c r="E1001" t="inlineStr">
        <is>
          <t>SUL</t>
        </is>
      </c>
      <c r="F1001" t="inlineStr">
        <is>
          <t>Cliente C - Misturador</t>
        </is>
      </c>
      <c r="G1001" t="inlineStr">
        <is>
          <t>Misturadores</t>
        </is>
      </c>
      <c r="H1001" s="10" t="n">
        <v>40</v>
      </c>
      <c r="I1001" s="10">
        <f>IFERROR(T1001*H1001,0)</f>
        <v/>
      </c>
      <c r="J1001" s="11" t="n">
        <v>46089</v>
      </c>
      <c r="K1001" s="11" t="n">
        <v>46107</v>
      </c>
      <c r="L1001" t="inlineStr">
        <is>
          <t>Ok. Devolvida</t>
        </is>
      </c>
      <c r="M1001">
        <f>IF(L1001="","",IFERROR(VLOOKUP(L1001,mapGrupoStatus,2,0),"Outros"))</f>
        <v/>
      </c>
      <c r="N1001">
        <f>IF(O1001="","",IF(O1001&lt;=30,"0-30 dias",IF(O1001&lt;=60,"31-60 dias",IF(O1001&lt;=90,"61-90 dias","Mais de 90 dias"))))</f>
        <v/>
      </c>
      <c r="O1001">
        <f>IF(OR(M1001="Pendente",M1001="Em andamento"),IF(J1001="","",TODAY()-J1001),"")</f>
        <v/>
      </c>
      <c r="P1001" t="n">
        <v>10913</v>
      </c>
      <c r="Q1001" t="inlineStr">
        <is>
          <t>Ice Tech &amp; Cia (10913)</t>
        </is>
      </c>
      <c r="R1001" t="inlineStr">
        <is>
          <t>PC-0042</t>
        </is>
      </c>
      <c r="S1001" t="inlineStr">
        <is>
          <t>Bico dosador modelo 01</t>
        </is>
      </c>
      <c r="T1001" t="n">
        <v>1</v>
      </c>
      <c r="U1001" t="n">
        <v>135</v>
      </c>
      <c r="V1001">
        <f>IF(J1001="","",MONTH(J1001))</f>
        <v/>
      </c>
      <c r="W1001">
        <f>IF(J1001="","",YEAR(J1001))</f>
        <v/>
      </c>
      <c r="X1001" t="inlineStr">
        <is>
          <t>RotaSul</t>
        </is>
      </c>
      <c r="Y1001">
        <f>IFERROR(INDEX(Rastreio!$H$2:$H$200,MATCH(X1001&amp;"|"&amp;U1001,Rastreio!$A$2:$A$200,0)),"")</f>
        <v/>
      </c>
    </row>
    <row r="1002">
      <c r="A1002">
        <f>IFERROR(INDEX(STAs!$G$2:$G$61,MATCH(P1002,STAs!$F$2:$F$61,0))&amp;"","")</f>
        <v/>
      </c>
      <c r="B1002" t="n">
        <v>20023382</v>
      </c>
      <c r="C1002" t="inlineStr">
        <is>
          <t>Não</t>
        </is>
      </c>
      <c r="D1002" t="inlineStr">
        <is>
          <t>PA</t>
        </is>
      </c>
      <c r="E1002" t="inlineStr">
        <is>
          <t>NORTE</t>
        </is>
      </c>
      <c r="F1002" t="inlineStr">
        <is>
          <t>Cliente A - Refrigerador</t>
        </is>
      </c>
      <c r="G1002" t="inlineStr">
        <is>
          <t>Misturadores</t>
        </is>
      </c>
      <c r="H1002" s="10" t="n">
        <v>40</v>
      </c>
      <c r="I1002" s="10">
        <f>IFERROR(T1002*H1002,0)</f>
        <v/>
      </c>
      <c r="J1002" s="11" t="n">
        <v>46089</v>
      </c>
      <c r="K1002" s="11" t="n"/>
      <c r="L1002" t="inlineStr">
        <is>
          <t>Não Devolve-Norte</t>
        </is>
      </c>
      <c r="M1002">
        <f>IF(L1002="","",IFERROR(VLOOKUP(L1002,mapGrupoStatus,2,0),"Outros"))</f>
        <v/>
      </c>
      <c r="N1002">
        <f>IF(O1002="","",IF(O1002&lt;=30,"0-30 dias",IF(O1002&lt;=60,"31-60 dias",IF(O1002&lt;=90,"61-90 dias","Mais de 90 dias"))))</f>
        <v/>
      </c>
      <c r="O1002">
        <f>IF(OR(M1002="Pendente",M1002="Em andamento"),IF(J1002="","",TODAY()-J1002),"")</f>
        <v/>
      </c>
      <c r="P1002" t="n">
        <v>11986</v>
      </c>
      <c r="Q1002" t="inlineStr">
        <is>
          <t>Polar Serviços (11986)</t>
        </is>
      </c>
      <c r="R1002" t="inlineStr">
        <is>
          <t>PC-0042</t>
        </is>
      </c>
      <c r="S1002" t="inlineStr">
        <is>
          <t>Bico dosador modelo 01</t>
        </is>
      </c>
      <c r="T1002" t="n">
        <v>1</v>
      </c>
      <c r="U1002" t="inlineStr"/>
      <c r="V1002">
        <f>IF(J1002="","",MONTH(J1002))</f>
        <v/>
      </c>
      <c r="W1002">
        <f>IF(J1002="","",YEAR(J1002))</f>
        <v/>
      </c>
      <c r="X1002" t="inlineStr"/>
      <c r="Y1002">
        <f>IFERROR(INDEX(Rastreio!$H$2:$H$200,MATCH(X1002&amp;"|"&amp;U1002,Rastreio!$A$2:$A$200,0)),"")</f>
        <v/>
      </c>
    </row>
    <row r="1003">
      <c r="A1003">
        <f>IFERROR(INDEX(STAs!$G$2:$G$61,MATCH(P1003,STAs!$F$2:$F$61,0))&amp;"","")</f>
        <v/>
      </c>
      <c r="B1003" t="n">
        <v>20037104</v>
      </c>
      <c r="C1003" t="inlineStr">
        <is>
          <t>Não</t>
        </is>
      </c>
      <c r="D1003" t="inlineStr">
        <is>
          <t>PR</t>
        </is>
      </c>
      <c r="E1003" t="inlineStr">
        <is>
          <t>SUL</t>
        </is>
      </c>
      <c r="F1003" t="inlineStr">
        <is>
          <t>Cliente A - Refrigerador</t>
        </is>
      </c>
      <c r="G1003" t="inlineStr">
        <is>
          <t>Refrigeradores</t>
        </is>
      </c>
      <c r="H1003" s="10" t="n">
        <v>50</v>
      </c>
      <c r="I1003" s="10">
        <f>IFERROR(T1003*H1003,0)</f>
        <v/>
      </c>
      <c r="J1003" s="11" t="n">
        <v>46089</v>
      </c>
      <c r="K1003" s="11" t="n">
        <v>46147</v>
      </c>
      <c r="L1003" t="inlineStr">
        <is>
          <t>Ok. Devolvida</t>
        </is>
      </c>
      <c r="M1003">
        <f>IF(L1003="","",IFERROR(VLOOKUP(L1003,mapGrupoStatus,2,0),"Outros"))</f>
        <v/>
      </c>
      <c r="N1003">
        <f>IF(O1003="","",IF(O1003&lt;=30,"0-30 dias",IF(O1003&lt;=60,"31-60 dias",IF(O1003&lt;=90,"61-90 dias","Mais de 90 dias"))))</f>
        <v/>
      </c>
      <c r="O1003">
        <f>IF(OR(M1003="Pendente",M1003="Em andamento"),IF(J1003="","",TODAY()-J1003),"")</f>
        <v/>
      </c>
      <c r="P1003" t="n">
        <v>12089</v>
      </c>
      <c r="Q1003" t="inlineStr">
        <is>
          <t>Termotec Serviços (12089)</t>
        </is>
      </c>
      <c r="R1003" t="inlineStr">
        <is>
          <t>PC-0006</t>
        </is>
      </c>
      <c r="S1003" t="inlineStr">
        <is>
          <t>Termostato modelo 03</t>
        </is>
      </c>
      <c r="T1003" t="n">
        <v>1</v>
      </c>
      <c r="U1003" t="n">
        <v>165</v>
      </c>
      <c r="V1003">
        <f>IF(J1003="","",MONTH(J1003))</f>
        <v/>
      </c>
      <c r="W1003">
        <f>IF(J1003="","",YEAR(J1003))</f>
        <v/>
      </c>
      <c r="X1003" t="inlineStr">
        <is>
          <t>TransNorte</t>
        </is>
      </c>
      <c r="Y1003">
        <f>IFERROR(INDEX(Rastreio!$H$2:$H$200,MATCH(X1003&amp;"|"&amp;U1003,Rastreio!$A$2:$A$200,0)),"")</f>
        <v/>
      </c>
    </row>
    <row r="1004">
      <c r="A1004">
        <f>IFERROR(INDEX(STAs!$G$2:$G$61,MATCH(P1004,STAs!$F$2:$F$61,0))&amp;"","")</f>
        <v/>
      </c>
      <c r="B1004" t="n">
        <v>20039029</v>
      </c>
      <c r="C1004" t="inlineStr">
        <is>
          <t>Não</t>
        </is>
      </c>
      <c r="D1004" t="inlineStr">
        <is>
          <t>MS</t>
        </is>
      </c>
      <c r="E1004" t="inlineStr">
        <is>
          <t>CENTRO OESTE</t>
        </is>
      </c>
      <c r="F1004" t="inlineStr">
        <is>
          <t>Cliente A - Refrigerador</t>
        </is>
      </c>
      <c r="G1004" t="inlineStr">
        <is>
          <t>Chopeiras</t>
        </is>
      </c>
      <c r="H1004" s="10" t="n">
        <v>215</v>
      </c>
      <c r="I1004" s="10">
        <f>IFERROR(T1004*H1004,0)</f>
        <v/>
      </c>
      <c r="J1004" s="11" t="n">
        <v>46089</v>
      </c>
      <c r="K1004" s="11" t="n"/>
      <c r="L1004" t="inlineStr">
        <is>
          <t>Aguardando Transporte</t>
        </is>
      </c>
      <c r="M1004">
        <f>IF(L1004="","",IFERROR(VLOOKUP(L1004,mapGrupoStatus,2,0),"Outros"))</f>
        <v/>
      </c>
      <c r="N1004">
        <f>IF(O1004="","",IF(O1004&lt;=30,"0-30 dias",IF(O1004&lt;=60,"31-60 dias",IF(O1004&lt;=90,"61-90 dias","Mais de 90 dias"))))</f>
        <v/>
      </c>
      <c r="O1004">
        <f>IF(OR(M1004="Pendente",M1004="Em andamento"),IF(J1004="","",TODAY()-J1004),"")</f>
        <v/>
      </c>
      <c r="P1004" t="n">
        <v>12280</v>
      </c>
      <c r="Q1004" t="inlineStr">
        <is>
          <t>Termotec &amp; Cia (12280)</t>
        </is>
      </c>
      <c r="R1004" t="inlineStr">
        <is>
          <t>PC-0030</t>
        </is>
      </c>
      <c r="S1004" t="inlineStr">
        <is>
          <t>Serpentina modelo 02</t>
        </is>
      </c>
      <c r="T1004" t="n">
        <v>1</v>
      </c>
      <c r="U1004" t="n">
        <v>168</v>
      </c>
      <c r="V1004">
        <f>IF(J1004="","",MONTH(J1004))</f>
        <v/>
      </c>
      <c r="W1004">
        <f>IF(J1004="","",YEAR(J1004))</f>
        <v/>
      </c>
      <c r="X1004" t="inlineStr">
        <is>
          <t>TransNorte</t>
        </is>
      </c>
      <c r="Y1004">
        <f>IFERROR(INDEX(Rastreio!$H$2:$H$200,MATCH(X1004&amp;"|"&amp;U1004,Rastreio!$A$2:$A$200,0)),"")</f>
        <v/>
      </c>
    </row>
    <row r="1005">
      <c r="A1005">
        <f>IFERROR(INDEX(STAs!$G$2:$G$61,MATCH(P1005,STAs!$F$2:$F$61,0))&amp;"","")</f>
        <v/>
      </c>
      <c r="B1005" t="n">
        <v>20016507</v>
      </c>
      <c r="C1005" t="inlineStr">
        <is>
          <t>Não</t>
        </is>
      </c>
      <c r="D1005" t="inlineStr">
        <is>
          <t>RR</t>
        </is>
      </c>
      <c r="E1005" t="inlineStr">
        <is>
          <t>NORTE</t>
        </is>
      </c>
      <c r="F1005" t="inlineStr">
        <is>
          <t>Cliente B - Chopeira</t>
        </is>
      </c>
      <c r="G1005" t="inlineStr">
        <is>
          <t>Misturadores</t>
        </is>
      </c>
      <c r="H1005" s="10" t="n">
        <v>60</v>
      </c>
      <c r="I1005" s="10">
        <f>IFERROR(T1005*H1005,0)</f>
        <v/>
      </c>
      <c r="J1005" s="11" t="n">
        <v>46090</v>
      </c>
      <c r="K1005" s="11" t="n"/>
      <c r="L1005" t="inlineStr">
        <is>
          <t>Não Devolve-Norte</t>
        </is>
      </c>
      <c r="M1005">
        <f>IF(L1005="","",IFERROR(VLOOKUP(L1005,mapGrupoStatus,2,0),"Outros"))</f>
        <v/>
      </c>
      <c r="N1005">
        <f>IF(O1005="","",IF(O1005&lt;=30,"0-30 dias",IF(O1005&lt;=60,"31-60 dias",IF(O1005&lt;=90,"61-90 dias","Mais de 90 dias"))))</f>
        <v/>
      </c>
      <c r="O1005">
        <f>IF(OR(M1005="Pendente",M1005="Em andamento"),IF(J1005="","",TODAY()-J1005),"")</f>
        <v/>
      </c>
      <c r="P1005" t="n">
        <v>10468</v>
      </c>
      <c r="Q1005" t="inlineStr">
        <is>
          <t>Clima Express (10468)</t>
        </is>
      </c>
      <c r="R1005" t="inlineStr">
        <is>
          <t>PC-0046</t>
        </is>
      </c>
      <c r="S1005" t="inlineStr">
        <is>
          <t>Sensor de nível modelo 02</t>
        </is>
      </c>
      <c r="T1005" t="n">
        <v>1</v>
      </c>
      <c r="U1005" t="inlineStr"/>
      <c r="V1005">
        <f>IF(J1005="","",MONTH(J1005))</f>
        <v/>
      </c>
      <c r="W1005">
        <f>IF(J1005="","",YEAR(J1005))</f>
        <v/>
      </c>
      <c r="X1005" t="inlineStr"/>
      <c r="Y1005">
        <f>IFERROR(INDEX(Rastreio!$H$2:$H$200,MATCH(X1005&amp;"|"&amp;U1005,Rastreio!$A$2:$A$200,0)),"")</f>
        <v/>
      </c>
    </row>
    <row r="1006">
      <c r="A1006">
        <f>IFERROR(INDEX(STAs!$G$2:$G$61,MATCH(P1006,STAs!$F$2:$F$61,0))&amp;"","")</f>
        <v/>
      </c>
      <c r="B1006" t="n">
        <v>20035436</v>
      </c>
      <c r="C1006" t="inlineStr">
        <is>
          <t>Sim</t>
        </is>
      </c>
      <c r="D1006" t="inlineStr">
        <is>
          <t>PR</t>
        </is>
      </c>
      <c r="E1006" t="inlineStr">
        <is>
          <t>SUL</t>
        </is>
      </c>
      <c r="F1006" t="inlineStr">
        <is>
          <t>Cliente A - Refrigerador</t>
        </is>
      </c>
      <c r="G1006" t="inlineStr">
        <is>
          <t>Chopeiras</t>
        </is>
      </c>
      <c r="H1006" s="10" t="n">
        <v>85</v>
      </c>
      <c r="I1006" s="10">
        <f>IFERROR(T1006*H1006,0)</f>
        <v/>
      </c>
      <c r="J1006" s="11" t="n">
        <v>46090</v>
      </c>
      <c r="K1006" s="11" t="n">
        <v>46104</v>
      </c>
      <c r="L1006" t="inlineStr">
        <is>
          <t>Ok. Devolvida</t>
        </is>
      </c>
      <c r="M1006">
        <f>IF(L1006="","",IFERROR(VLOOKUP(L1006,mapGrupoStatus,2,0),"Outros"))</f>
        <v/>
      </c>
      <c r="N1006">
        <f>IF(O1006="","",IF(O1006&lt;=30,"0-30 dias",IF(O1006&lt;=60,"31-60 dias",IF(O1006&lt;=90,"61-90 dias","Mais de 90 dias"))))</f>
        <v/>
      </c>
      <c r="O1006">
        <f>IF(OR(M1006="Pendente",M1006="Em andamento"),IF(J1006="","",TODAY()-J1006),"")</f>
        <v/>
      </c>
      <c r="P1006" t="n">
        <v>10753</v>
      </c>
      <c r="Q1006" t="inlineStr">
        <is>
          <t>Refrigel &amp; Cia (10753)</t>
        </is>
      </c>
      <c r="R1006" t="inlineStr">
        <is>
          <t>PC-0028</t>
        </is>
      </c>
      <c r="S1006" t="inlineStr">
        <is>
          <t>Torneira de chopp modelo 03</t>
        </is>
      </c>
      <c r="T1006" t="n">
        <v>1</v>
      </c>
      <c r="U1006" t="n">
        <v>164</v>
      </c>
      <c r="V1006">
        <f>IF(J1006="","",MONTH(J1006))</f>
        <v/>
      </c>
      <c r="W1006">
        <f>IF(J1006="","",YEAR(J1006))</f>
        <v/>
      </c>
      <c r="X1006" t="inlineStr">
        <is>
          <t>RotaSul</t>
        </is>
      </c>
      <c r="Y1006">
        <f>IFERROR(INDEX(Rastreio!$H$2:$H$200,MATCH(X1006&amp;"|"&amp;U1006,Rastreio!$A$2:$A$200,0)),"")</f>
        <v/>
      </c>
    </row>
    <row r="1007">
      <c r="A1007">
        <f>IFERROR(INDEX(STAs!$G$2:$G$61,MATCH(P1007,STAs!$F$2:$F$61,0))&amp;"","")</f>
        <v/>
      </c>
      <c r="B1007" t="n">
        <v>20036010</v>
      </c>
      <c r="C1007" t="inlineStr">
        <is>
          <t>Sim</t>
        </is>
      </c>
      <c r="D1007" t="inlineStr">
        <is>
          <t>PR</t>
        </is>
      </c>
      <c r="E1007" t="inlineStr">
        <is>
          <t>SUL</t>
        </is>
      </c>
      <c r="F1007" t="inlineStr">
        <is>
          <t>Cliente B - Chopeira</t>
        </is>
      </c>
      <c r="G1007" t="inlineStr">
        <is>
          <t>Refrigeradores</t>
        </is>
      </c>
      <c r="H1007" s="10" t="n">
        <v>155</v>
      </c>
      <c r="I1007" s="10">
        <f>IFERROR(T1007*H1007,0)</f>
        <v/>
      </c>
      <c r="J1007" s="11" t="n">
        <v>46090</v>
      </c>
      <c r="K1007" s="11" t="n">
        <v>46103</v>
      </c>
      <c r="L1007" t="inlineStr">
        <is>
          <t>Ok. Devolvida</t>
        </is>
      </c>
      <c r="M1007">
        <f>IF(L1007="","",IFERROR(VLOOKUP(L1007,mapGrupoStatus,2,0),"Outros"))</f>
        <v/>
      </c>
      <c r="N1007">
        <f>IF(O1007="","",IF(O1007&lt;=30,"0-30 dias",IF(O1007&lt;=60,"31-60 dias",IF(O1007&lt;=90,"61-90 dias","Mais de 90 dias"))))</f>
        <v/>
      </c>
      <c r="O1007">
        <f>IF(OR(M1007="Pendente",M1007="Em andamento"),IF(J1007="","",TODAY()-J1007),"")</f>
        <v/>
      </c>
      <c r="P1007" t="n">
        <v>12724</v>
      </c>
      <c r="Q1007" t="inlineStr">
        <is>
          <t>Cool Service &amp; Cia (12724)</t>
        </is>
      </c>
      <c r="R1007" t="inlineStr">
        <is>
          <t>PC-0022</t>
        </is>
      </c>
      <c r="S1007" t="inlineStr">
        <is>
          <t>Controlador digital modelo 02</t>
        </is>
      </c>
      <c r="T1007" t="n">
        <v>2</v>
      </c>
      <c r="U1007" t="n">
        <v>162</v>
      </c>
      <c r="V1007">
        <f>IF(J1007="","",MONTH(J1007))</f>
        <v/>
      </c>
      <c r="W1007">
        <f>IF(J1007="","",YEAR(J1007))</f>
        <v/>
      </c>
      <c r="X1007" t="inlineStr">
        <is>
          <t>CargoMax</t>
        </is>
      </c>
      <c r="Y1007">
        <f>IFERROR(INDEX(Rastreio!$H$2:$H$200,MATCH(X1007&amp;"|"&amp;U1007,Rastreio!$A$2:$A$200,0)),"")</f>
        <v/>
      </c>
    </row>
    <row r="1008">
      <c r="A1008">
        <f>IFERROR(INDEX(STAs!$G$2:$G$61,MATCH(P1008,STAs!$F$2:$F$61,0))&amp;"","")</f>
        <v/>
      </c>
      <c r="B1008" t="n">
        <v>20019738</v>
      </c>
      <c r="C1008" t="inlineStr">
        <is>
          <t>Não</t>
        </is>
      </c>
      <c r="D1008" t="inlineStr">
        <is>
          <t>MG</t>
        </is>
      </c>
      <c r="E1008" t="inlineStr">
        <is>
          <t>SUDESTE MG</t>
        </is>
      </c>
      <c r="F1008" t="inlineStr">
        <is>
          <t>Cliente C - Misturador</t>
        </is>
      </c>
      <c r="G1008" t="inlineStr">
        <is>
          <t>Refrigeradores</t>
        </is>
      </c>
      <c r="H1008" s="10" t="n">
        <v>55</v>
      </c>
      <c r="I1008" s="10">
        <f>IFERROR(T1008*H1008,0)</f>
        <v/>
      </c>
      <c r="J1008" s="11" t="n">
        <v>46091</v>
      </c>
      <c r="K1008" s="11" t="n">
        <v>46128</v>
      </c>
      <c r="L1008" t="inlineStr">
        <is>
          <t>Ok. Devolvida</t>
        </is>
      </c>
      <c r="M1008">
        <f>IF(L1008="","",IFERROR(VLOOKUP(L1008,mapGrupoStatus,2,0),"Outros"))</f>
        <v/>
      </c>
      <c r="N1008">
        <f>IF(O1008="","",IF(O1008&lt;=30,"0-30 dias",IF(O1008&lt;=60,"31-60 dias",IF(O1008&lt;=90,"61-90 dias","Mais de 90 dias"))))</f>
        <v/>
      </c>
      <c r="O1008">
        <f>IF(OR(M1008="Pendente",M1008="Em andamento"),IF(J1008="","",TODAY()-J1008),"")</f>
        <v/>
      </c>
      <c r="P1008" t="n">
        <v>11619</v>
      </c>
      <c r="Q1008" t="inlineStr">
        <is>
          <t>Refrigeração Ltda (11619)</t>
        </is>
      </c>
      <c r="R1008" t="inlineStr">
        <is>
          <t>PC-0008</t>
        </is>
      </c>
      <c r="S1008" t="inlineStr">
        <is>
          <t>Ventilador modelo 02</t>
        </is>
      </c>
      <c r="T1008" t="n">
        <v>2</v>
      </c>
      <c r="U1008" t="n">
        <v>137</v>
      </c>
      <c r="V1008">
        <f>IF(J1008="","",MONTH(J1008))</f>
        <v/>
      </c>
      <c r="W1008">
        <f>IF(J1008="","",YEAR(J1008))</f>
        <v/>
      </c>
      <c r="X1008" t="inlineStr">
        <is>
          <t>ViaCargo</t>
        </is>
      </c>
      <c r="Y1008">
        <f>IFERROR(INDEX(Rastreio!$H$2:$H$200,MATCH(X1008&amp;"|"&amp;U1008,Rastreio!$A$2:$A$200,0)),"")</f>
        <v/>
      </c>
    </row>
    <row r="1009">
      <c r="A1009">
        <f>IFERROR(INDEX(STAs!$G$2:$G$61,MATCH(P1009,STAs!$F$2:$F$61,0))&amp;"","")</f>
        <v/>
      </c>
      <c r="B1009" t="n">
        <v>20023608</v>
      </c>
      <c r="C1009" t="inlineStr">
        <is>
          <t>Não</t>
        </is>
      </c>
      <c r="D1009" t="inlineStr">
        <is>
          <t>PR</t>
        </is>
      </c>
      <c r="E1009" t="inlineStr">
        <is>
          <t>SUL</t>
        </is>
      </c>
      <c r="F1009" t="inlineStr">
        <is>
          <t>Cliente C - Misturador</t>
        </is>
      </c>
      <c r="G1009" t="inlineStr">
        <is>
          <t>Misturadores</t>
        </is>
      </c>
      <c r="H1009" s="10" t="n">
        <v>40</v>
      </c>
      <c r="I1009" s="10">
        <f>IFERROR(T1009*H1009,0)</f>
        <v/>
      </c>
      <c r="J1009" s="11" t="n">
        <v>46091</v>
      </c>
      <c r="K1009" s="11" t="n"/>
      <c r="L1009" t="inlineStr">
        <is>
          <t>Em transporte</t>
        </is>
      </c>
      <c r="M1009">
        <f>IF(L1009="","",IFERROR(VLOOKUP(L1009,mapGrupoStatus,2,0),"Outros"))</f>
        <v/>
      </c>
      <c r="N1009">
        <f>IF(O1009="","",IF(O1009&lt;=30,"0-30 dias",IF(O1009&lt;=60,"31-60 dias",IF(O1009&lt;=90,"61-90 dias","Mais de 90 dias"))))</f>
        <v/>
      </c>
      <c r="O1009">
        <f>IF(OR(M1009="Pendente",M1009="Em andamento"),IF(J1009="","",TODAY()-J1009),"")</f>
        <v/>
      </c>
      <c r="P1009" t="n">
        <v>12089</v>
      </c>
      <c r="Q1009" t="inlineStr">
        <is>
          <t>Termotec Serviços (12089)</t>
        </is>
      </c>
      <c r="R1009" t="inlineStr">
        <is>
          <t>PC-0042</t>
        </is>
      </c>
      <c r="S1009" t="inlineStr">
        <is>
          <t>Bico dosador modelo 01</t>
        </is>
      </c>
      <c r="T1009" t="n">
        <v>1</v>
      </c>
      <c r="U1009" t="n">
        <v>136</v>
      </c>
      <c r="V1009">
        <f>IF(J1009="","",MONTH(J1009))</f>
        <v/>
      </c>
      <c r="W1009">
        <f>IF(J1009="","",YEAR(J1009))</f>
        <v/>
      </c>
      <c r="X1009" t="inlineStr">
        <is>
          <t>EntregaJá</t>
        </is>
      </c>
      <c r="Y1009">
        <f>IFERROR(INDEX(Rastreio!$H$2:$H$200,MATCH(X1009&amp;"|"&amp;U1009,Rastreio!$A$2:$A$200,0)),"")</f>
        <v/>
      </c>
    </row>
    <row r="1010">
      <c r="A1010">
        <f>IFERROR(INDEX(STAs!$G$2:$G$61,MATCH(P1010,STAs!$F$2:$F$61,0))&amp;"","")</f>
        <v/>
      </c>
      <c r="B1010" t="n">
        <v>20026461</v>
      </c>
      <c r="C1010" t="inlineStr">
        <is>
          <t>Não</t>
        </is>
      </c>
      <c r="D1010" t="inlineStr">
        <is>
          <t>MT</t>
        </is>
      </c>
      <c r="E1010" t="inlineStr">
        <is>
          <t>CENTRO OESTE</t>
        </is>
      </c>
      <c r="F1010" t="inlineStr">
        <is>
          <t>Cliente C - Misturador</t>
        </is>
      </c>
      <c r="G1010" t="inlineStr">
        <is>
          <t>Refrigeradores</t>
        </is>
      </c>
      <c r="H1010" s="10" t="n">
        <v>190</v>
      </c>
      <c r="I1010" s="10">
        <f>IFERROR(T1010*H1010,0)</f>
        <v/>
      </c>
      <c r="J1010" s="11" t="n">
        <v>46091</v>
      </c>
      <c r="K1010" s="11" t="n">
        <v>46116</v>
      </c>
      <c r="L1010" t="inlineStr">
        <is>
          <t>Ok. Devolvida</t>
        </is>
      </c>
      <c r="M1010">
        <f>IF(L1010="","",IFERROR(VLOOKUP(L1010,mapGrupoStatus,2,0),"Outros"))</f>
        <v/>
      </c>
      <c r="N1010">
        <f>IF(O1010="","",IF(O1010&lt;=30,"0-30 dias",IF(O1010&lt;=60,"31-60 dias",IF(O1010&lt;=90,"61-90 dias","Mais de 90 dias"))))</f>
        <v/>
      </c>
      <c r="O1010">
        <f>IF(OR(M1010="Pendente",M1010="Em andamento"),IF(J1010="","",TODAY()-J1010),"")</f>
        <v/>
      </c>
      <c r="P1010" t="n">
        <v>10227</v>
      </c>
      <c r="Q1010" t="inlineStr">
        <is>
          <t>Assistência Técnica ME (10227)</t>
        </is>
      </c>
      <c r="R1010" t="inlineStr">
        <is>
          <t>PC-0014</t>
        </is>
      </c>
      <c r="S1010" t="inlineStr">
        <is>
          <t>Placa eletrônica modelo 04</t>
        </is>
      </c>
      <c r="T1010" t="n">
        <v>1</v>
      </c>
      <c r="U1010" t="n">
        <v>148</v>
      </c>
      <c r="V1010">
        <f>IF(J1010="","",MONTH(J1010))</f>
        <v/>
      </c>
      <c r="W1010">
        <f>IF(J1010="","",YEAR(J1010))</f>
        <v/>
      </c>
      <c r="X1010" t="inlineStr">
        <is>
          <t>LogExpress</t>
        </is>
      </c>
      <c r="Y1010">
        <f>IFERROR(INDEX(Rastreio!$H$2:$H$200,MATCH(X1010&amp;"|"&amp;U1010,Rastreio!$A$2:$A$200,0)),"")</f>
        <v/>
      </c>
    </row>
    <row r="1011">
      <c r="A1011">
        <f>IFERROR(INDEX(STAs!$G$2:$G$61,MATCH(P1011,STAs!$F$2:$F$61,0))&amp;"","")</f>
        <v/>
      </c>
      <c r="B1011" t="n">
        <v>20002869</v>
      </c>
      <c r="C1011" t="inlineStr">
        <is>
          <t>Não</t>
        </is>
      </c>
      <c r="D1011" t="inlineStr">
        <is>
          <t>SP</t>
        </is>
      </c>
      <c r="E1011" t="inlineStr">
        <is>
          <t>SUDESTE SP</t>
        </is>
      </c>
      <c r="F1011" t="inlineStr">
        <is>
          <t>Cliente B - Chopeira</t>
        </is>
      </c>
      <c r="G1011" t="inlineStr">
        <is>
          <t>Misturadores</t>
        </is>
      </c>
      <c r="H1011" s="10" t="n">
        <v>185</v>
      </c>
      <c r="I1011" s="10">
        <f>IFERROR(T1011*H1011,0)</f>
        <v/>
      </c>
      <c r="J1011" s="11" t="n">
        <v>46092</v>
      </c>
      <c r="K1011" s="11" t="n">
        <v>46098</v>
      </c>
      <c r="L1011" t="inlineStr">
        <is>
          <t>Ok. Devolvida</t>
        </is>
      </c>
      <c r="M1011">
        <f>IF(L1011="","",IFERROR(VLOOKUP(L1011,mapGrupoStatus,2,0),"Outros"))</f>
        <v/>
      </c>
      <c r="N1011">
        <f>IF(O1011="","",IF(O1011&lt;=30,"0-30 dias",IF(O1011&lt;=60,"31-60 dias",IF(O1011&lt;=90,"61-90 dias","Mais de 90 dias"))))</f>
        <v/>
      </c>
      <c r="O1011">
        <f>IF(OR(M1011="Pendente",M1011="Em andamento"),IF(J1011="","",TODAY()-J1011),"")</f>
        <v/>
      </c>
      <c r="P1011" t="n">
        <v>10111</v>
      </c>
      <c r="Q1011" t="inlineStr">
        <is>
          <t>Refrigel Manutenção (10111)</t>
        </is>
      </c>
      <c r="R1011" t="inlineStr">
        <is>
          <t>PC-0041</t>
        </is>
      </c>
      <c r="S1011" t="inlineStr">
        <is>
          <t>Motor agitador modelo 02</t>
        </is>
      </c>
      <c r="T1011" t="n">
        <v>1</v>
      </c>
      <c r="U1011" t="n">
        <v>109</v>
      </c>
      <c r="V1011">
        <f>IF(J1011="","",MONTH(J1011))</f>
        <v/>
      </c>
      <c r="W1011">
        <f>IF(J1011="","",YEAR(J1011))</f>
        <v/>
      </c>
      <c r="X1011" t="inlineStr">
        <is>
          <t>ViaCargo</t>
        </is>
      </c>
      <c r="Y1011">
        <f>IFERROR(INDEX(Rastreio!$H$2:$H$200,MATCH(X1011&amp;"|"&amp;U1011,Rastreio!$A$2:$A$200,0)),"")</f>
        <v/>
      </c>
    </row>
    <row r="1012">
      <c r="A1012">
        <f>IFERROR(INDEX(STAs!$G$2:$G$61,MATCH(P1012,STAs!$F$2:$F$61,0))&amp;"","")</f>
        <v/>
      </c>
      <c r="B1012" t="n">
        <v>20004481</v>
      </c>
      <c r="C1012" t="inlineStr">
        <is>
          <t>Não</t>
        </is>
      </c>
      <c r="D1012" t="inlineStr">
        <is>
          <t>MG</t>
        </is>
      </c>
      <c r="E1012" t="inlineStr">
        <is>
          <t>SUDESTE MG</t>
        </is>
      </c>
      <c r="F1012" t="inlineStr">
        <is>
          <t>Cliente B - Chopeira</t>
        </is>
      </c>
      <c r="G1012" t="inlineStr">
        <is>
          <t>Misturadores</t>
        </is>
      </c>
      <c r="H1012" s="10" t="n">
        <v>40</v>
      </c>
      <c r="I1012" s="10">
        <f>IFERROR(T1012*H1012,0)</f>
        <v/>
      </c>
      <c r="J1012" s="11" t="n">
        <v>46092</v>
      </c>
      <c r="K1012" s="11" t="n"/>
      <c r="L1012" t="inlineStr">
        <is>
          <t>NPD</t>
        </is>
      </c>
      <c r="M1012">
        <f>IF(L1012="","",IFERROR(VLOOKUP(L1012,mapGrupoStatus,2,0),"Outros"))</f>
        <v/>
      </c>
      <c r="N1012">
        <f>IF(O1012="","",IF(O1012&lt;=30,"0-30 dias",IF(O1012&lt;=60,"31-60 dias",IF(O1012&lt;=90,"61-90 dias","Mais de 90 dias"))))</f>
        <v/>
      </c>
      <c r="O1012">
        <f>IF(OR(M1012="Pendente",M1012="Em andamento"),IF(J1012="","",TODAY()-J1012),"")</f>
        <v/>
      </c>
      <c r="P1012" t="n">
        <v>12158</v>
      </c>
      <c r="Q1012" t="inlineStr">
        <is>
          <t>Gelo Serviços (12158)</t>
        </is>
      </c>
      <c r="R1012" t="inlineStr">
        <is>
          <t>PC-0042</t>
        </is>
      </c>
      <c r="S1012" t="inlineStr">
        <is>
          <t>Bico dosador modelo 01</t>
        </is>
      </c>
      <c r="T1012" t="n">
        <v>1</v>
      </c>
      <c r="U1012" t="inlineStr"/>
      <c r="V1012">
        <f>IF(J1012="","",MONTH(J1012))</f>
        <v/>
      </c>
      <c r="W1012">
        <f>IF(J1012="","",YEAR(J1012))</f>
        <v/>
      </c>
      <c r="X1012" t="inlineStr"/>
      <c r="Y1012">
        <f>IFERROR(INDEX(Rastreio!$H$2:$H$200,MATCH(X1012&amp;"|"&amp;U1012,Rastreio!$A$2:$A$200,0)),"")</f>
        <v/>
      </c>
    </row>
    <row r="1013">
      <c r="A1013">
        <f>IFERROR(INDEX(STAs!$G$2:$G$61,MATCH(P1013,STAs!$F$2:$F$61,0))&amp;"","")</f>
        <v/>
      </c>
      <c r="B1013" t="n">
        <v>20005774</v>
      </c>
      <c r="C1013" t="inlineStr">
        <is>
          <t>Não</t>
        </is>
      </c>
      <c r="D1013" t="inlineStr">
        <is>
          <t>PB</t>
        </is>
      </c>
      <c r="E1013" t="inlineStr">
        <is>
          <t>NORDESTE</t>
        </is>
      </c>
      <c r="F1013" t="inlineStr">
        <is>
          <t>Cliente C - Misturador</t>
        </is>
      </c>
      <c r="G1013" t="inlineStr">
        <is>
          <t>Refrigeradores</t>
        </is>
      </c>
      <c r="H1013" s="10" t="n">
        <v>25</v>
      </c>
      <c r="I1013" s="10">
        <f>IFERROR(T1013*H1013,0)</f>
        <v/>
      </c>
      <c r="J1013" s="11" t="n">
        <v>46092</v>
      </c>
      <c r="K1013" s="11" t="n">
        <v>46146</v>
      </c>
      <c r="L1013" t="inlineStr">
        <is>
          <t>Ok. Devolvida</t>
        </is>
      </c>
      <c r="M1013">
        <f>IF(L1013="","",IFERROR(VLOOKUP(L1013,mapGrupoStatus,2,0),"Outros"))</f>
        <v/>
      </c>
      <c r="N1013">
        <f>IF(O1013="","",IF(O1013&lt;=30,"0-30 dias",IF(O1013&lt;=60,"31-60 dias",IF(O1013&lt;=90,"61-90 dias","Mais de 90 dias"))))</f>
        <v/>
      </c>
      <c r="O1013">
        <f>IF(OR(M1013="Pendente",M1013="Em andamento"),IF(J1013="","",TODAY()-J1013),"")</f>
        <v/>
      </c>
      <c r="P1013" t="n">
        <v>11741</v>
      </c>
      <c r="Q1013" t="inlineStr">
        <is>
          <t>Clima Refrigeração (11741)</t>
        </is>
      </c>
      <c r="R1013" t="inlineStr">
        <is>
          <t>PC-0015</t>
        </is>
      </c>
      <c r="S1013" t="inlineStr">
        <is>
          <t>Filtro secador modelo 01</t>
        </is>
      </c>
      <c r="T1013" t="n">
        <v>1</v>
      </c>
      <c r="U1013" t="n">
        <v>110</v>
      </c>
      <c r="V1013">
        <f>IF(J1013="","",MONTH(J1013))</f>
        <v/>
      </c>
      <c r="W1013">
        <f>IF(J1013="","",YEAR(J1013))</f>
        <v/>
      </c>
      <c r="X1013" t="inlineStr">
        <is>
          <t>EntregaJá</t>
        </is>
      </c>
      <c r="Y1013">
        <f>IFERROR(INDEX(Rastreio!$H$2:$H$200,MATCH(X1013&amp;"|"&amp;U1013,Rastreio!$A$2:$A$200,0)),"")</f>
        <v/>
      </c>
    </row>
    <row r="1014">
      <c r="A1014">
        <f>IFERROR(INDEX(STAs!$G$2:$G$61,MATCH(P1014,STAs!$F$2:$F$61,0))&amp;"","")</f>
        <v/>
      </c>
      <c r="B1014" t="n">
        <v>20008602</v>
      </c>
      <c r="C1014" t="inlineStr">
        <is>
          <t>Não</t>
        </is>
      </c>
      <c r="D1014" t="inlineStr">
        <is>
          <t>SP</t>
        </is>
      </c>
      <c r="E1014" t="inlineStr">
        <is>
          <t>SUDESTE SP</t>
        </is>
      </c>
      <c r="F1014" t="inlineStr">
        <is>
          <t>Cliente B - Chopeira</t>
        </is>
      </c>
      <c r="G1014" t="inlineStr">
        <is>
          <t>Chopeiras</t>
        </is>
      </c>
      <c r="H1014" s="10" t="n">
        <v>85</v>
      </c>
      <c r="I1014" s="10">
        <f>IFERROR(T1014*H1014,0)</f>
        <v/>
      </c>
      <c r="J1014" s="11" t="n">
        <v>46092</v>
      </c>
      <c r="K1014" s="11" t="n"/>
      <c r="L1014" t="inlineStr">
        <is>
          <t>Debitar do STA</t>
        </is>
      </c>
      <c r="M1014">
        <f>IF(L1014="","",IFERROR(VLOOKUP(L1014,mapGrupoStatus,2,0),"Outros"))</f>
        <v/>
      </c>
      <c r="N1014">
        <f>IF(O1014="","",IF(O1014&lt;=30,"0-30 dias",IF(O1014&lt;=60,"31-60 dias",IF(O1014&lt;=90,"61-90 dias","Mais de 90 dias"))))</f>
        <v/>
      </c>
      <c r="O1014">
        <f>IF(OR(M1014="Pendente",M1014="Em andamento"),IF(J1014="","",TODAY()-J1014),"")</f>
        <v/>
      </c>
      <c r="P1014" t="n">
        <v>10111</v>
      </c>
      <c r="Q1014" t="inlineStr">
        <is>
          <t>Refrigel Manutenção (10111)</t>
        </is>
      </c>
      <c r="R1014" t="inlineStr">
        <is>
          <t>PC-0035</t>
        </is>
      </c>
      <c r="S1014" t="inlineStr">
        <is>
          <t>Válvula extratora modelo 01</t>
        </is>
      </c>
      <c r="T1014" t="n">
        <v>1</v>
      </c>
      <c r="U1014" t="inlineStr"/>
      <c r="V1014">
        <f>IF(J1014="","",MONTH(J1014))</f>
        <v/>
      </c>
      <c r="W1014">
        <f>IF(J1014="","",YEAR(J1014))</f>
        <v/>
      </c>
      <c r="X1014" t="inlineStr"/>
      <c r="Y1014">
        <f>IFERROR(INDEX(Rastreio!$H$2:$H$200,MATCH(X1014&amp;"|"&amp;U1014,Rastreio!$A$2:$A$200,0)),"")</f>
        <v/>
      </c>
    </row>
    <row r="1015">
      <c r="A1015">
        <f>IFERROR(INDEX(STAs!$G$2:$G$61,MATCH(P1015,STAs!$F$2:$F$61,0))&amp;"","")</f>
        <v/>
      </c>
      <c r="B1015" t="n">
        <v>20021308</v>
      </c>
      <c r="C1015" t="inlineStr">
        <is>
          <t>Não</t>
        </is>
      </c>
      <c r="D1015" t="inlineStr">
        <is>
          <t>MG</t>
        </is>
      </c>
      <c r="E1015" t="inlineStr">
        <is>
          <t>SUDESTE MG</t>
        </is>
      </c>
      <c r="F1015" t="inlineStr">
        <is>
          <t>Cliente B - Chopeira</t>
        </is>
      </c>
      <c r="G1015" t="inlineStr">
        <is>
          <t>Refrigeradores</t>
        </is>
      </c>
      <c r="H1015" s="10" t="n">
        <v>30</v>
      </c>
      <c r="I1015" s="10">
        <f>IFERROR(T1015*H1015,0)</f>
        <v/>
      </c>
      <c r="J1015" s="11" t="n">
        <v>46092</v>
      </c>
      <c r="K1015" s="11" t="n">
        <v>46126</v>
      </c>
      <c r="L1015" t="inlineStr">
        <is>
          <t>Ok. Devolvida</t>
        </is>
      </c>
      <c r="M1015">
        <f>IF(L1015="","",IFERROR(VLOOKUP(L1015,mapGrupoStatus,2,0),"Outros"))</f>
        <v/>
      </c>
      <c r="N1015">
        <f>IF(O1015="","",IF(O1015&lt;=30,"0-30 dias",IF(O1015&lt;=60,"31-60 dias",IF(O1015&lt;=90,"61-90 dias","Mais de 90 dias"))))</f>
        <v/>
      </c>
      <c r="O1015">
        <f>IF(OR(M1015="Pendente",M1015="Em andamento"),IF(J1015="","",TODAY()-J1015),"")</f>
        <v/>
      </c>
      <c r="P1015" t="n">
        <v>11619</v>
      </c>
      <c r="Q1015" t="inlineStr">
        <is>
          <t>Refrigeração Ltda (11619)</t>
        </is>
      </c>
      <c r="R1015" t="inlineStr">
        <is>
          <t>PC-0025</t>
        </is>
      </c>
      <c r="S1015" t="inlineStr">
        <is>
          <t>Relé de partida modelo 03</t>
        </is>
      </c>
      <c r="T1015" t="n">
        <v>1</v>
      </c>
      <c r="U1015" t="n">
        <v>132</v>
      </c>
      <c r="V1015">
        <f>IF(J1015="","",MONTH(J1015))</f>
        <v/>
      </c>
      <c r="W1015">
        <f>IF(J1015="","",YEAR(J1015))</f>
        <v/>
      </c>
      <c r="X1015" t="inlineStr">
        <is>
          <t>TransNorte</t>
        </is>
      </c>
      <c r="Y1015">
        <f>IFERROR(INDEX(Rastreio!$H$2:$H$200,MATCH(X1015&amp;"|"&amp;U1015,Rastreio!$A$2:$A$200,0)),"")</f>
        <v/>
      </c>
    </row>
    <row r="1016">
      <c r="A1016">
        <f>IFERROR(INDEX(STAs!$G$2:$G$61,MATCH(P1016,STAs!$F$2:$F$61,0))&amp;"","")</f>
        <v/>
      </c>
      <c r="B1016" t="n">
        <v>20022047</v>
      </c>
      <c r="C1016" t="inlineStr">
        <is>
          <t>Não</t>
        </is>
      </c>
      <c r="D1016" t="inlineStr">
        <is>
          <t>GO</t>
        </is>
      </c>
      <c r="E1016" t="inlineStr">
        <is>
          <t>CENTRO OESTE</t>
        </is>
      </c>
      <c r="F1016" t="inlineStr">
        <is>
          <t>Cliente A - Refrigerador</t>
        </is>
      </c>
      <c r="G1016" t="inlineStr">
        <is>
          <t>Refrigeradores</t>
        </is>
      </c>
      <c r="H1016" s="10" t="n">
        <v>185</v>
      </c>
      <c r="I1016" s="10">
        <f>IFERROR(T1016*H1016,0)</f>
        <v/>
      </c>
      <c r="J1016" s="11" t="n">
        <v>46092</v>
      </c>
      <c r="K1016" s="11" t="n"/>
      <c r="L1016" t="inlineStr">
        <is>
          <t>NF Vencida</t>
        </is>
      </c>
      <c r="M1016">
        <f>IF(L1016="","",IFERROR(VLOOKUP(L1016,mapGrupoStatus,2,0),"Outros"))</f>
        <v/>
      </c>
      <c r="N1016">
        <f>IF(O1016="","",IF(O1016&lt;=30,"0-30 dias",IF(O1016&lt;=60,"31-60 dias",IF(O1016&lt;=90,"61-90 dias","Mais de 90 dias"))))</f>
        <v/>
      </c>
      <c r="O1016">
        <f>IF(OR(M1016="Pendente",M1016="Em andamento"),IF(J1016="","",TODAY()-J1016),"")</f>
        <v/>
      </c>
      <c r="P1016" t="n">
        <v>11293</v>
      </c>
      <c r="Q1016" t="inlineStr">
        <is>
          <t>Assistência Técnica Ltda (11293)</t>
        </is>
      </c>
      <c r="R1016" t="inlineStr">
        <is>
          <t>PC-0013</t>
        </is>
      </c>
      <c r="S1016" t="inlineStr">
        <is>
          <t>Placa eletrônica modelo 03</t>
        </is>
      </c>
      <c r="T1016" t="n">
        <v>1</v>
      </c>
      <c r="U1016" t="inlineStr"/>
      <c r="V1016">
        <f>IF(J1016="","",MONTH(J1016))</f>
        <v/>
      </c>
      <c r="W1016">
        <f>IF(J1016="","",YEAR(J1016))</f>
        <v/>
      </c>
      <c r="X1016" t="inlineStr"/>
      <c r="Y1016">
        <f>IFERROR(INDEX(Rastreio!$H$2:$H$200,MATCH(X1016&amp;"|"&amp;U1016,Rastreio!$A$2:$A$200,0)),"")</f>
        <v/>
      </c>
    </row>
    <row r="1017">
      <c r="A1017">
        <f>IFERROR(INDEX(STAs!$G$2:$G$61,MATCH(P1017,STAs!$F$2:$F$61,0))&amp;"","")</f>
        <v/>
      </c>
      <c r="B1017" t="n">
        <v>20026378</v>
      </c>
      <c r="C1017" t="inlineStr">
        <is>
          <t>Não</t>
        </is>
      </c>
      <c r="D1017" t="inlineStr">
        <is>
          <t>PI</t>
        </is>
      </c>
      <c r="E1017" t="inlineStr">
        <is>
          <t>NORDESTE</t>
        </is>
      </c>
      <c r="F1017" t="inlineStr">
        <is>
          <t>Cliente A - Refrigerador</t>
        </is>
      </c>
      <c r="G1017" t="inlineStr">
        <is>
          <t>Misturadores</t>
        </is>
      </c>
      <c r="H1017" s="10" t="n">
        <v>255</v>
      </c>
      <c r="I1017" s="10">
        <f>IFERROR(T1017*H1017,0)</f>
        <v/>
      </c>
      <c r="J1017" s="11" t="n">
        <v>46092</v>
      </c>
      <c r="K1017" s="11" t="n"/>
      <c r="L1017" t="inlineStr">
        <is>
          <t>NF Vencida</t>
        </is>
      </c>
      <c r="M1017">
        <f>IF(L1017="","",IFERROR(VLOOKUP(L1017,mapGrupoStatus,2,0),"Outros"))</f>
        <v/>
      </c>
      <c r="N1017">
        <f>IF(O1017="","",IF(O1017&lt;=30,"0-30 dias",IF(O1017&lt;=60,"31-60 dias",IF(O1017&lt;=90,"61-90 dias","Mais de 90 dias"))))</f>
        <v/>
      </c>
      <c r="O1017">
        <f>IF(OR(M1017="Pendente",M1017="Em andamento"),IF(J1017="","",TODAY()-J1017),"")</f>
        <v/>
      </c>
      <c r="P1017" t="n">
        <v>10562</v>
      </c>
      <c r="Q1017" t="inlineStr">
        <is>
          <t>Clima &amp; Cia (10562)</t>
        </is>
      </c>
      <c r="R1017" t="inlineStr">
        <is>
          <t>PC-0037</t>
        </is>
      </c>
      <c r="S1017" t="inlineStr">
        <is>
          <t>Bomba de recirculação modelo 01</t>
        </is>
      </c>
      <c r="T1017" t="n">
        <v>1</v>
      </c>
      <c r="U1017" t="inlineStr"/>
      <c r="V1017">
        <f>IF(J1017="","",MONTH(J1017))</f>
        <v/>
      </c>
      <c r="W1017">
        <f>IF(J1017="","",YEAR(J1017))</f>
        <v/>
      </c>
      <c r="X1017" t="inlineStr"/>
      <c r="Y1017">
        <f>IFERROR(INDEX(Rastreio!$H$2:$H$200,MATCH(X1017&amp;"|"&amp;U1017,Rastreio!$A$2:$A$200,0)),"")</f>
        <v/>
      </c>
    </row>
    <row r="1018">
      <c r="A1018">
        <f>IFERROR(INDEX(STAs!$G$2:$G$61,MATCH(P1018,STAs!$F$2:$F$61,0))&amp;"","")</f>
        <v/>
      </c>
      <c r="B1018" t="n">
        <v>20032715</v>
      </c>
      <c r="C1018" t="inlineStr">
        <is>
          <t>Não</t>
        </is>
      </c>
      <c r="D1018" t="inlineStr">
        <is>
          <t>SC</t>
        </is>
      </c>
      <c r="E1018" t="inlineStr">
        <is>
          <t>SUL</t>
        </is>
      </c>
      <c r="F1018" t="inlineStr">
        <is>
          <t>Cliente C - Misturador</t>
        </is>
      </c>
      <c r="G1018" t="inlineStr">
        <is>
          <t>Refrigeradores</t>
        </is>
      </c>
      <c r="H1018" s="10" t="n">
        <v>30</v>
      </c>
      <c r="I1018" s="10">
        <f>IFERROR(T1018*H1018,0)</f>
        <v/>
      </c>
      <c r="J1018" s="11" t="n">
        <v>46092</v>
      </c>
      <c r="K1018" s="11" t="n">
        <v>46124</v>
      </c>
      <c r="L1018" t="inlineStr">
        <is>
          <t>Ok. Devolvida</t>
        </is>
      </c>
      <c r="M1018">
        <f>IF(L1018="","",IFERROR(VLOOKUP(L1018,mapGrupoStatus,2,0),"Outros"))</f>
        <v/>
      </c>
      <c r="N1018">
        <f>IF(O1018="","",IF(O1018&lt;=30,"0-30 dias",IF(O1018&lt;=60,"31-60 dias",IF(O1018&lt;=90,"61-90 dias","Mais de 90 dias"))))</f>
        <v/>
      </c>
      <c r="O1018">
        <f>IF(OR(M1018="Pendente",M1018="Em andamento"),IF(J1018="","",TODAY()-J1018),"")</f>
        <v/>
      </c>
      <c r="P1018" t="n">
        <v>12138</v>
      </c>
      <c r="Q1018" t="inlineStr">
        <is>
          <t>Refrigeração Serviços (12138)</t>
        </is>
      </c>
      <c r="R1018" t="inlineStr">
        <is>
          <t>PC-0017</t>
        </is>
      </c>
      <c r="S1018" t="inlineStr">
        <is>
          <t>Filtro secador modelo 03</t>
        </is>
      </c>
      <c r="T1018" t="n">
        <v>1</v>
      </c>
      <c r="U1018" t="n">
        <v>157</v>
      </c>
      <c r="V1018">
        <f>IF(J1018="","",MONTH(J1018))</f>
        <v/>
      </c>
      <c r="W1018">
        <f>IF(J1018="","",YEAR(J1018))</f>
        <v/>
      </c>
      <c r="X1018" t="inlineStr">
        <is>
          <t>RotaSul</t>
        </is>
      </c>
      <c r="Y1018">
        <f>IFERROR(INDEX(Rastreio!$H$2:$H$200,MATCH(X1018&amp;"|"&amp;U1018,Rastreio!$A$2:$A$200,0)),"")</f>
        <v/>
      </c>
    </row>
    <row r="1019">
      <c r="A1019">
        <f>IFERROR(INDEX(STAs!$G$2:$G$61,MATCH(P1019,STAs!$F$2:$F$61,0))&amp;"","")</f>
        <v/>
      </c>
      <c r="B1019" t="n">
        <v>20034830</v>
      </c>
      <c r="C1019" t="inlineStr">
        <is>
          <t>Não</t>
        </is>
      </c>
      <c r="D1019" t="inlineStr">
        <is>
          <t>RR</t>
        </is>
      </c>
      <c r="E1019" t="inlineStr">
        <is>
          <t>NORTE</t>
        </is>
      </c>
      <c r="F1019" t="inlineStr">
        <is>
          <t>Cliente A - Refrigerador</t>
        </is>
      </c>
      <c r="G1019" t="inlineStr">
        <is>
          <t>Misturadores</t>
        </is>
      </c>
      <c r="H1019" s="10" t="n">
        <v>255</v>
      </c>
      <c r="I1019" s="10">
        <f>IFERROR(T1019*H1019,0)</f>
        <v/>
      </c>
      <c r="J1019" s="11" t="n">
        <v>46092</v>
      </c>
      <c r="K1019" s="11" t="n"/>
      <c r="L1019" t="inlineStr">
        <is>
          <t>Aguardando devolução</t>
        </is>
      </c>
      <c r="M1019">
        <f>IF(L1019="","",IFERROR(VLOOKUP(L1019,mapGrupoStatus,2,0),"Outros"))</f>
        <v/>
      </c>
      <c r="N1019">
        <f>IF(O1019="","",IF(O1019&lt;=30,"0-30 dias",IF(O1019&lt;=60,"31-60 dias",IF(O1019&lt;=90,"61-90 dias","Mais de 90 dias"))))</f>
        <v/>
      </c>
      <c r="O1019">
        <f>IF(OR(M1019="Pendente",M1019="Em andamento"),IF(J1019="","",TODAY()-J1019),"")</f>
        <v/>
      </c>
      <c r="P1019" t="n">
        <v>12422</v>
      </c>
      <c r="Q1019" t="inlineStr">
        <is>
          <t>Assistência Técnica Refrigeração (12422)</t>
        </is>
      </c>
      <c r="R1019" t="inlineStr">
        <is>
          <t>PC-0037</t>
        </is>
      </c>
      <c r="S1019" t="inlineStr">
        <is>
          <t>Bomba de recirculação modelo 01</t>
        </is>
      </c>
      <c r="T1019" t="n">
        <v>1</v>
      </c>
      <c r="U1019" t="inlineStr"/>
      <c r="V1019">
        <f>IF(J1019="","",MONTH(J1019))</f>
        <v/>
      </c>
      <c r="W1019">
        <f>IF(J1019="","",YEAR(J1019))</f>
        <v/>
      </c>
      <c r="X1019" t="inlineStr"/>
      <c r="Y1019">
        <f>IFERROR(INDEX(Rastreio!$H$2:$H$200,MATCH(X1019&amp;"|"&amp;U1019,Rastreio!$A$2:$A$200,0)),"")</f>
        <v/>
      </c>
    </row>
    <row r="1020">
      <c r="A1020">
        <f>IFERROR(INDEX(STAs!$G$2:$G$61,MATCH(P1020,STAs!$F$2:$F$61,0))&amp;"","")</f>
        <v/>
      </c>
      <c r="B1020" t="n">
        <v>20034904</v>
      </c>
      <c r="C1020" t="inlineStr">
        <is>
          <t>Não</t>
        </is>
      </c>
      <c r="D1020" t="inlineStr">
        <is>
          <t>SP</t>
        </is>
      </c>
      <c r="E1020" t="inlineStr">
        <is>
          <t>SUDESTE SP</t>
        </is>
      </c>
      <c r="F1020" t="inlineStr">
        <is>
          <t>Cliente A - Refrigerador</t>
        </is>
      </c>
      <c r="G1020" t="inlineStr">
        <is>
          <t>Refrigeradores</t>
        </is>
      </c>
      <c r="H1020" s="10" t="n">
        <v>65</v>
      </c>
      <c r="I1020" s="10">
        <f>IFERROR(T1020*H1020,0)</f>
        <v/>
      </c>
      <c r="J1020" s="11" t="n">
        <v>46092</v>
      </c>
      <c r="K1020" s="11" t="n"/>
      <c r="L1020" t="inlineStr">
        <is>
          <t>Em transporte</t>
        </is>
      </c>
      <c r="M1020">
        <f>IF(L1020="","",IFERROR(VLOOKUP(L1020,mapGrupoStatus,2,0),"Outros"))</f>
        <v/>
      </c>
      <c r="N1020">
        <f>IF(O1020="","",IF(O1020&lt;=30,"0-30 dias",IF(O1020&lt;=60,"31-60 dias",IF(O1020&lt;=90,"61-90 dias","Mais de 90 dias"))))</f>
        <v/>
      </c>
      <c r="O1020">
        <f>IF(OR(M1020="Pendente",M1020="Em andamento"),IF(J1020="","",TODAY()-J1020),"")</f>
        <v/>
      </c>
      <c r="P1020" t="n">
        <v>12901</v>
      </c>
      <c r="Q1020" t="inlineStr">
        <is>
          <t>Frio Serviços (12901)</t>
        </is>
      </c>
      <c r="R1020" t="inlineStr">
        <is>
          <t>PC-0010</t>
        </is>
      </c>
      <c r="S1020" t="inlineStr">
        <is>
          <t>Ventilador modelo 04</t>
        </is>
      </c>
      <c r="T1020" t="n">
        <v>1</v>
      </c>
      <c r="U1020" t="n">
        <v>159</v>
      </c>
      <c r="V1020">
        <f>IF(J1020="","",MONTH(J1020))</f>
        <v/>
      </c>
      <c r="W1020">
        <f>IF(J1020="","",YEAR(J1020))</f>
        <v/>
      </c>
      <c r="X1020" t="inlineStr">
        <is>
          <t>RotaSul</t>
        </is>
      </c>
      <c r="Y1020">
        <f>IFERROR(INDEX(Rastreio!$H$2:$H$200,MATCH(X1020&amp;"|"&amp;U1020,Rastreio!$A$2:$A$200,0)),"")</f>
        <v/>
      </c>
    </row>
    <row r="1021">
      <c r="A1021">
        <f>IFERROR(INDEX(STAs!$G$2:$G$61,MATCH(P1021,STAs!$F$2:$F$61,0))&amp;"","")</f>
        <v/>
      </c>
      <c r="B1021" t="n">
        <v>20006228</v>
      </c>
      <c r="C1021" t="inlineStr">
        <is>
          <t>Sim</t>
        </is>
      </c>
      <c r="D1021" t="inlineStr">
        <is>
          <t>PR</t>
        </is>
      </c>
      <c r="E1021" t="inlineStr">
        <is>
          <t>SUL</t>
        </is>
      </c>
      <c r="F1021" t="inlineStr">
        <is>
          <t>Cliente C - Misturador</t>
        </is>
      </c>
      <c r="G1021" t="inlineStr">
        <is>
          <t>Misturadores</t>
        </is>
      </c>
      <c r="H1021" s="10" t="n">
        <v>185</v>
      </c>
      <c r="I1021" s="10">
        <f>IFERROR(T1021*H1021,0)</f>
        <v/>
      </c>
      <c r="J1021" s="11" t="n">
        <v>46093</v>
      </c>
      <c r="K1021" s="11" t="n">
        <v>46138</v>
      </c>
      <c r="L1021" t="inlineStr">
        <is>
          <t>Ok. Devolvida</t>
        </is>
      </c>
      <c r="M1021">
        <f>IF(L1021="","",IFERROR(VLOOKUP(L1021,mapGrupoStatus,2,0),"Outros"))</f>
        <v/>
      </c>
      <c r="N1021">
        <f>IF(O1021="","",IF(O1021&lt;=30,"0-30 dias",IF(O1021&lt;=60,"31-60 dias",IF(O1021&lt;=90,"61-90 dias","Mais de 90 dias"))))</f>
        <v/>
      </c>
      <c r="O1021">
        <f>IF(OR(M1021="Pendente",M1021="Em andamento"),IF(J1021="","",TODAY()-J1021),"")</f>
        <v/>
      </c>
      <c r="P1021" t="n">
        <v>10913</v>
      </c>
      <c r="Q1021" t="inlineStr">
        <is>
          <t>Ice Tech &amp; Cia (10913)</t>
        </is>
      </c>
      <c r="R1021" t="inlineStr">
        <is>
          <t>PC-0041</t>
        </is>
      </c>
      <c r="S1021" t="inlineStr">
        <is>
          <t>Motor agitador modelo 02</t>
        </is>
      </c>
      <c r="T1021" t="n">
        <v>1</v>
      </c>
      <c r="U1021" t="n">
        <v>108</v>
      </c>
      <c r="V1021">
        <f>IF(J1021="","",MONTH(J1021))</f>
        <v/>
      </c>
      <c r="W1021">
        <f>IF(J1021="","",YEAR(J1021))</f>
        <v/>
      </c>
      <c r="X1021" t="inlineStr">
        <is>
          <t>LogExpress</t>
        </is>
      </c>
      <c r="Y1021">
        <f>IFERROR(INDEX(Rastreio!$H$2:$H$200,MATCH(X1021&amp;"|"&amp;U1021,Rastreio!$A$2:$A$200,0)),"")</f>
        <v/>
      </c>
    </row>
    <row r="1022">
      <c r="A1022">
        <f>IFERROR(INDEX(STAs!$G$2:$G$61,MATCH(P1022,STAs!$F$2:$F$61,0))&amp;"","")</f>
        <v/>
      </c>
      <c r="B1022" t="n">
        <v>20007707</v>
      </c>
      <c r="C1022" t="inlineStr">
        <is>
          <t>Não</t>
        </is>
      </c>
      <c r="D1022" t="inlineStr">
        <is>
          <t>GO</t>
        </is>
      </c>
      <c r="E1022" t="inlineStr">
        <is>
          <t>CENTRO OESTE</t>
        </is>
      </c>
      <c r="F1022" t="inlineStr">
        <is>
          <t>Cliente C - Misturador</t>
        </is>
      </c>
      <c r="G1022" t="inlineStr">
        <is>
          <t>Refrigeradores</t>
        </is>
      </c>
      <c r="H1022" s="10" t="n">
        <v>35</v>
      </c>
      <c r="I1022" s="10">
        <f>IFERROR(T1022*H1022,0)</f>
        <v/>
      </c>
      <c r="J1022" s="11" t="n">
        <v>46093</v>
      </c>
      <c r="K1022" s="11" t="n">
        <v>46128</v>
      </c>
      <c r="L1022" t="inlineStr">
        <is>
          <t>Ok. Devolvida</t>
        </is>
      </c>
      <c r="M1022">
        <f>IF(L1022="","",IFERROR(VLOOKUP(L1022,mapGrupoStatus,2,0),"Outros"))</f>
        <v/>
      </c>
      <c r="N1022">
        <f>IF(O1022="","",IF(O1022&lt;=30,"0-30 dias",IF(O1022&lt;=60,"31-60 dias",IF(O1022&lt;=90,"61-90 dias","Mais de 90 dias"))))</f>
        <v/>
      </c>
      <c r="O1022">
        <f>IF(OR(M1022="Pendente",M1022="Em andamento"),IF(J1022="","",TODAY()-J1022),"")</f>
        <v/>
      </c>
      <c r="P1022" t="n">
        <v>11293</v>
      </c>
      <c r="Q1022" t="inlineStr">
        <is>
          <t>Assistência Técnica Ltda (11293)</t>
        </is>
      </c>
      <c r="R1022" t="inlineStr">
        <is>
          <t>PC-0023</t>
        </is>
      </c>
      <c r="S1022" t="inlineStr">
        <is>
          <t>Relé de partida modelo 01</t>
        </is>
      </c>
      <c r="T1022" t="n">
        <v>1</v>
      </c>
      <c r="U1022" t="n">
        <v>113</v>
      </c>
      <c r="V1022">
        <f>IF(J1022="","",MONTH(J1022))</f>
        <v/>
      </c>
      <c r="W1022">
        <f>IF(J1022="","",YEAR(J1022))</f>
        <v/>
      </c>
      <c r="X1022" t="inlineStr">
        <is>
          <t>CargoMax</t>
        </is>
      </c>
      <c r="Y1022">
        <f>IFERROR(INDEX(Rastreio!$H$2:$H$200,MATCH(X1022&amp;"|"&amp;U1022,Rastreio!$A$2:$A$200,0)),"")</f>
        <v/>
      </c>
    </row>
    <row r="1023">
      <c r="A1023">
        <f>IFERROR(INDEX(STAs!$G$2:$G$61,MATCH(P1023,STAs!$F$2:$F$61,0))&amp;"","")</f>
        <v/>
      </c>
      <c r="B1023" t="n">
        <v>20012860</v>
      </c>
      <c r="C1023" t="inlineStr">
        <is>
          <t>Não</t>
        </is>
      </c>
      <c r="D1023" t="inlineStr">
        <is>
          <t>RR</t>
        </is>
      </c>
      <c r="E1023" t="inlineStr">
        <is>
          <t>NORTE</t>
        </is>
      </c>
      <c r="F1023" t="inlineStr">
        <is>
          <t>Cliente A - Refrigerador</t>
        </is>
      </c>
      <c r="G1023" t="inlineStr">
        <is>
          <t>Misturadores</t>
        </is>
      </c>
      <c r="H1023" s="10" t="n">
        <v>50</v>
      </c>
      <c r="I1023" s="10">
        <f>IFERROR(T1023*H1023,0)</f>
        <v/>
      </c>
      <c r="J1023" s="11" t="n">
        <v>46093</v>
      </c>
      <c r="K1023" s="11" t="n"/>
      <c r="L1023" t="inlineStr">
        <is>
          <t>Em transporte</t>
        </is>
      </c>
      <c r="M1023">
        <f>IF(L1023="","",IFERROR(VLOOKUP(L1023,mapGrupoStatus,2,0),"Outros"))</f>
        <v/>
      </c>
      <c r="N1023">
        <f>IF(O1023="","",IF(O1023&lt;=30,"0-30 dias",IF(O1023&lt;=60,"31-60 dias",IF(O1023&lt;=90,"61-90 dias","Mais de 90 dias"))))</f>
        <v/>
      </c>
      <c r="O1023">
        <f>IF(OR(M1023="Pendente",M1023="Em andamento"),IF(J1023="","",TODAY()-J1023),"")</f>
        <v/>
      </c>
      <c r="P1023" t="n">
        <v>10468</v>
      </c>
      <c r="Q1023" t="inlineStr">
        <is>
          <t>Clima Express (10468)</t>
        </is>
      </c>
      <c r="R1023" t="inlineStr">
        <is>
          <t>PC-0045</t>
        </is>
      </c>
      <c r="S1023" t="inlineStr">
        <is>
          <t>Sensor de nível modelo 01</t>
        </is>
      </c>
      <c r="T1023" t="n">
        <v>1</v>
      </c>
      <c r="U1023" t="n">
        <v>123</v>
      </c>
      <c r="V1023">
        <f>IF(J1023="","",MONTH(J1023))</f>
        <v/>
      </c>
      <c r="W1023">
        <f>IF(J1023="","",YEAR(J1023))</f>
        <v/>
      </c>
      <c r="X1023" t="inlineStr">
        <is>
          <t>LogExpress</t>
        </is>
      </c>
      <c r="Y1023">
        <f>IFERROR(INDEX(Rastreio!$H$2:$H$200,MATCH(X1023&amp;"|"&amp;U1023,Rastreio!$A$2:$A$200,0)),"")</f>
        <v/>
      </c>
    </row>
    <row r="1024">
      <c r="A1024">
        <f>IFERROR(INDEX(STAs!$G$2:$G$61,MATCH(P1024,STAs!$F$2:$F$61,0))&amp;"","")</f>
        <v/>
      </c>
      <c r="B1024" t="n">
        <v>20015478</v>
      </c>
      <c r="C1024" t="inlineStr">
        <is>
          <t>Não</t>
        </is>
      </c>
      <c r="D1024" t="inlineStr">
        <is>
          <t>RJ</t>
        </is>
      </c>
      <c r="E1024" t="inlineStr">
        <is>
          <t>SUDESTE RJ e ES</t>
        </is>
      </c>
      <c r="F1024" t="inlineStr">
        <is>
          <t>Cliente A - Refrigerador</t>
        </is>
      </c>
      <c r="G1024" t="inlineStr">
        <is>
          <t>Misturadores</t>
        </is>
      </c>
      <c r="H1024" s="10" t="n">
        <v>185</v>
      </c>
      <c r="I1024" s="10">
        <f>IFERROR(T1024*H1024,0)</f>
        <v/>
      </c>
      <c r="J1024" s="11" t="n">
        <v>46093</v>
      </c>
      <c r="K1024" s="11" t="n"/>
      <c r="L1024" t="inlineStr">
        <is>
          <t>Aguardando devolução</t>
        </is>
      </c>
      <c r="M1024">
        <f>IF(L1024="","",IFERROR(VLOOKUP(L1024,mapGrupoStatus,2,0),"Outros"))</f>
        <v/>
      </c>
      <c r="N1024">
        <f>IF(O1024="","",IF(O1024&lt;=30,"0-30 dias",IF(O1024&lt;=60,"31-60 dias",IF(O1024&lt;=90,"61-90 dias","Mais de 90 dias"))))</f>
        <v/>
      </c>
      <c r="O1024">
        <f>IF(OR(M1024="Pendente",M1024="Em andamento"),IF(J1024="","",TODAY()-J1024),"")</f>
        <v/>
      </c>
      <c r="P1024" t="n">
        <v>12336</v>
      </c>
      <c r="Q1024" t="inlineStr">
        <is>
          <t>Termotec ME (12336)</t>
        </is>
      </c>
      <c r="R1024" t="inlineStr">
        <is>
          <t>PC-0041</t>
        </is>
      </c>
      <c r="S1024" t="inlineStr">
        <is>
          <t>Motor agitador modelo 02</t>
        </is>
      </c>
      <c r="T1024" t="n">
        <v>2</v>
      </c>
      <c r="U1024" t="inlineStr"/>
      <c r="V1024">
        <f>IF(J1024="","",MONTH(J1024))</f>
        <v/>
      </c>
      <c r="W1024">
        <f>IF(J1024="","",YEAR(J1024))</f>
        <v/>
      </c>
      <c r="X1024" t="inlineStr"/>
      <c r="Y1024">
        <f>IFERROR(INDEX(Rastreio!$H$2:$H$200,MATCH(X1024&amp;"|"&amp;U1024,Rastreio!$A$2:$A$200,0)),"")</f>
        <v/>
      </c>
    </row>
    <row r="1025">
      <c r="A1025">
        <f>IFERROR(INDEX(STAs!$G$2:$G$61,MATCH(P1025,STAs!$F$2:$F$61,0))&amp;"","")</f>
        <v/>
      </c>
      <c r="B1025" t="n">
        <v>20026226</v>
      </c>
      <c r="C1025" t="inlineStr">
        <is>
          <t>Não</t>
        </is>
      </c>
      <c r="D1025" t="inlineStr">
        <is>
          <t>MT</t>
        </is>
      </c>
      <c r="E1025" t="inlineStr">
        <is>
          <t>CENTRO OESTE</t>
        </is>
      </c>
      <c r="F1025" t="inlineStr">
        <is>
          <t>Cliente C - Misturador</t>
        </is>
      </c>
      <c r="G1025" t="inlineStr">
        <is>
          <t>Refrigeradores</t>
        </is>
      </c>
      <c r="H1025" s="10" t="n">
        <v>190</v>
      </c>
      <c r="I1025" s="10">
        <f>IFERROR(T1025*H1025,0)</f>
        <v/>
      </c>
      <c r="J1025" s="11" t="n">
        <v>46093</v>
      </c>
      <c r="K1025" s="11" t="n"/>
      <c r="L1025" t="inlineStr">
        <is>
          <t>NF Vencida</t>
        </is>
      </c>
      <c r="M1025">
        <f>IF(L1025="","",IFERROR(VLOOKUP(L1025,mapGrupoStatus,2,0),"Outros"))</f>
        <v/>
      </c>
      <c r="N1025">
        <f>IF(O1025="","",IF(O1025&lt;=30,"0-30 dias",IF(O1025&lt;=60,"31-60 dias",IF(O1025&lt;=90,"61-90 dias","Mais de 90 dias"))))</f>
        <v/>
      </c>
      <c r="O1025">
        <f>IF(OR(M1025="Pendente",M1025="Em andamento"),IF(J1025="","",TODAY()-J1025),"")</f>
        <v/>
      </c>
      <c r="P1025" t="n">
        <v>10227</v>
      </c>
      <c r="Q1025" t="inlineStr">
        <is>
          <t>Assistência Técnica ME (10227)</t>
        </is>
      </c>
      <c r="R1025" t="inlineStr">
        <is>
          <t>PC-0014</t>
        </is>
      </c>
      <c r="S1025" t="inlineStr">
        <is>
          <t>Placa eletrônica modelo 04</t>
        </is>
      </c>
      <c r="T1025" t="n">
        <v>2</v>
      </c>
      <c r="U1025" t="inlineStr"/>
      <c r="V1025">
        <f>IF(J1025="","",MONTH(J1025))</f>
        <v/>
      </c>
      <c r="W1025">
        <f>IF(J1025="","",YEAR(J1025))</f>
        <v/>
      </c>
      <c r="X1025" t="inlineStr"/>
      <c r="Y1025">
        <f>IFERROR(INDEX(Rastreio!$H$2:$H$200,MATCH(X1025&amp;"|"&amp;U1025,Rastreio!$A$2:$A$200,0)),"")</f>
        <v/>
      </c>
    </row>
    <row r="1026">
      <c r="A1026">
        <f>IFERROR(INDEX(STAs!$G$2:$G$61,MATCH(P1026,STAs!$F$2:$F$61,0))&amp;"","")</f>
        <v/>
      </c>
      <c r="B1026" t="n">
        <v>20027966</v>
      </c>
      <c r="C1026" t="inlineStr">
        <is>
          <t>Não</t>
        </is>
      </c>
      <c r="D1026" t="inlineStr">
        <is>
          <t>PE</t>
        </is>
      </c>
      <c r="E1026" t="inlineStr">
        <is>
          <t>NORDESTE</t>
        </is>
      </c>
      <c r="F1026" t="inlineStr">
        <is>
          <t>Cliente C - Misturador</t>
        </is>
      </c>
      <c r="G1026" t="inlineStr">
        <is>
          <t>Refrigeradores</t>
        </is>
      </c>
      <c r="H1026" s="10" t="n">
        <v>40</v>
      </c>
      <c r="I1026" s="10">
        <f>IFERROR(T1026*H1026,0)</f>
        <v/>
      </c>
      <c r="J1026" s="11" t="n">
        <v>46093</v>
      </c>
      <c r="K1026" s="11" t="n"/>
      <c r="L1026" t="inlineStr">
        <is>
          <t>Não Devolve-Norte</t>
        </is>
      </c>
      <c r="M1026">
        <f>IF(L1026="","",IFERROR(VLOOKUP(L1026,mapGrupoStatus,2,0),"Outros"))</f>
        <v/>
      </c>
      <c r="N1026">
        <f>IF(O1026="","",IF(O1026&lt;=30,"0-30 dias",IF(O1026&lt;=60,"31-60 dias",IF(O1026&lt;=90,"61-90 dias","Mais de 90 dias"))))</f>
        <v/>
      </c>
      <c r="O1026">
        <f>IF(OR(M1026="Pendente",M1026="Em andamento"),IF(J1026="","",TODAY()-J1026),"")</f>
        <v/>
      </c>
      <c r="P1026" t="n">
        <v>11352</v>
      </c>
      <c r="Q1026" t="inlineStr">
        <is>
          <t>Frio Express (11352)</t>
        </is>
      </c>
      <c r="R1026" t="inlineStr">
        <is>
          <t>PC-0005</t>
        </is>
      </c>
      <c r="S1026" t="inlineStr">
        <is>
          <t>Termostato modelo 02</t>
        </is>
      </c>
      <c r="T1026" t="n">
        <v>1</v>
      </c>
      <c r="U1026" t="inlineStr"/>
      <c r="V1026">
        <f>IF(J1026="","",MONTH(J1026))</f>
        <v/>
      </c>
      <c r="W1026">
        <f>IF(J1026="","",YEAR(J1026))</f>
        <v/>
      </c>
      <c r="X1026" t="inlineStr"/>
      <c r="Y1026">
        <f>IFERROR(INDEX(Rastreio!$H$2:$H$200,MATCH(X1026&amp;"|"&amp;U1026,Rastreio!$A$2:$A$200,0)),"")</f>
        <v/>
      </c>
    </row>
    <row r="1027">
      <c r="A1027">
        <f>IFERROR(INDEX(STAs!$G$2:$G$61,MATCH(P1027,STAs!$F$2:$F$61,0))&amp;"","")</f>
        <v/>
      </c>
      <c r="B1027" t="n">
        <v>20029964</v>
      </c>
      <c r="C1027" t="inlineStr">
        <is>
          <t>Não</t>
        </is>
      </c>
      <c r="D1027" t="inlineStr">
        <is>
          <t>GO</t>
        </is>
      </c>
      <c r="E1027" t="inlineStr">
        <is>
          <t>CENTRO OESTE</t>
        </is>
      </c>
      <c r="F1027" t="inlineStr">
        <is>
          <t>Cliente C - Misturador</t>
        </is>
      </c>
      <c r="G1027" t="inlineStr">
        <is>
          <t>Misturadores</t>
        </is>
      </c>
      <c r="H1027" s="10" t="n">
        <v>255</v>
      </c>
      <c r="I1027" s="10">
        <f>IFERROR(T1027*H1027,0)</f>
        <v/>
      </c>
      <c r="J1027" s="11" t="n">
        <v>46093</v>
      </c>
      <c r="K1027" s="11" t="n">
        <v>46103</v>
      </c>
      <c r="L1027" t="inlineStr">
        <is>
          <t>Ok. Devolvida</t>
        </is>
      </c>
      <c r="M1027">
        <f>IF(L1027="","",IFERROR(VLOOKUP(L1027,mapGrupoStatus,2,0),"Outros"))</f>
        <v/>
      </c>
      <c r="N1027">
        <f>IF(O1027="","",IF(O1027&lt;=30,"0-30 dias",IF(O1027&lt;=60,"31-60 dias",IF(O1027&lt;=90,"61-90 dias","Mais de 90 dias"))))</f>
        <v/>
      </c>
      <c r="O1027">
        <f>IF(OR(M1027="Pendente",M1027="Em andamento"),IF(J1027="","",TODAY()-J1027),"")</f>
        <v/>
      </c>
      <c r="P1027" t="n">
        <v>12007</v>
      </c>
      <c r="Q1027" t="inlineStr">
        <is>
          <t>Refrigel Ltda (12007)</t>
        </is>
      </c>
      <c r="R1027" t="inlineStr">
        <is>
          <t>PC-0037</t>
        </is>
      </c>
      <c r="S1027" t="inlineStr">
        <is>
          <t>Bomba de recirculação modelo 01</t>
        </is>
      </c>
      <c r="T1027" t="n">
        <v>1</v>
      </c>
      <c r="U1027" t="n">
        <v>152</v>
      </c>
      <c r="V1027">
        <f>IF(J1027="","",MONTH(J1027))</f>
        <v/>
      </c>
      <c r="W1027">
        <f>IF(J1027="","",YEAR(J1027))</f>
        <v/>
      </c>
      <c r="X1027" t="inlineStr">
        <is>
          <t>TransNorte</t>
        </is>
      </c>
      <c r="Y1027">
        <f>IFERROR(INDEX(Rastreio!$H$2:$H$200,MATCH(X1027&amp;"|"&amp;U1027,Rastreio!$A$2:$A$200,0)),"")</f>
        <v/>
      </c>
    </row>
    <row r="1028">
      <c r="A1028">
        <f>IFERROR(INDEX(STAs!$G$2:$G$61,MATCH(P1028,STAs!$F$2:$F$61,0))&amp;"","")</f>
        <v/>
      </c>
      <c r="B1028" t="n">
        <v>20032824</v>
      </c>
      <c r="C1028" t="inlineStr">
        <is>
          <t>Sim</t>
        </is>
      </c>
      <c r="D1028" t="inlineStr">
        <is>
          <t>PR</t>
        </is>
      </c>
      <c r="E1028" t="inlineStr">
        <is>
          <t>SUL</t>
        </is>
      </c>
      <c r="F1028" t="inlineStr">
        <is>
          <t>Cliente C - Misturador</t>
        </is>
      </c>
      <c r="G1028" t="inlineStr">
        <is>
          <t>Misturadores</t>
        </is>
      </c>
      <c r="H1028" s="10" t="n">
        <v>255</v>
      </c>
      <c r="I1028" s="10">
        <f>IFERROR(T1028*H1028,0)</f>
        <v/>
      </c>
      <c r="J1028" s="11" t="n">
        <v>46093</v>
      </c>
      <c r="K1028" s="11" t="n">
        <v>46101</v>
      </c>
      <c r="L1028" t="inlineStr">
        <is>
          <t>Ok. Devolvida</t>
        </is>
      </c>
      <c r="M1028">
        <f>IF(L1028="","",IFERROR(VLOOKUP(L1028,mapGrupoStatus,2,0),"Outros"))</f>
        <v/>
      </c>
      <c r="N1028">
        <f>IF(O1028="","",IF(O1028&lt;=30,"0-30 dias",IF(O1028&lt;=60,"31-60 dias",IF(O1028&lt;=90,"61-90 dias","Mais de 90 dias"))))</f>
        <v/>
      </c>
      <c r="O1028">
        <f>IF(OR(M1028="Pendente",M1028="Em andamento"),IF(J1028="","",TODAY()-J1028),"")</f>
        <v/>
      </c>
      <c r="P1028" t="n">
        <v>10913</v>
      </c>
      <c r="Q1028" t="inlineStr">
        <is>
          <t>Ice Tech &amp; Cia (10913)</t>
        </is>
      </c>
      <c r="R1028" t="inlineStr">
        <is>
          <t>PC-0039</t>
        </is>
      </c>
      <c r="S1028" t="inlineStr">
        <is>
          <t>Bomba de recirculação modelo 03</t>
        </is>
      </c>
      <c r="T1028" t="n">
        <v>1</v>
      </c>
      <c r="U1028" t="n">
        <v>146</v>
      </c>
      <c r="V1028">
        <f>IF(J1028="","",MONTH(J1028))</f>
        <v/>
      </c>
      <c r="W1028">
        <f>IF(J1028="","",YEAR(J1028))</f>
        <v/>
      </c>
      <c r="X1028" t="inlineStr">
        <is>
          <t>EntregaJá</t>
        </is>
      </c>
      <c r="Y1028">
        <f>IFERROR(INDEX(Rastreio!$H$2:$H$200,MATCH(X1028&amp;"|"&amp;U1028,Rastreio!$A$2:$A$200,0)),"")</f>
        <v/>
      </c>
    </row>
    <row r="1029">
      <c r="A1029">
        <f>IFERROR(INDEX(STAs!$G$2:$G$61,MATCH(P1029,STAs!$F$2:$F$61,0))&amp;"","")</f>
        <v/>
      </c>
      <c r="B1029" t="n">
        <v>20018099</v>
      </c>
      <c r="C1029" t="inlineStr">
        <is>
          <t>Não</t>
        </is>
      </c>
      <c r="D1029" t="inlineStr">
        <is>
          <t>BA</t>
        </is>
      </c>
      <c r="E1029" t="inlineStr">
        <is>
          <t>NORDESTE</t>
        </is>
      </c>
      <c r="F1029" t="inlineStr">
        <is>
          <t>Cliente C - Misturador</t>
        </is>
      </c>
      <c r="G1029" t="inlineStr">
        <is>
          <t>Refrigeradores</t>
        </is>
      </c>
      <c r="H1029" s="10" t="n">
        <v>175</v>
      </c>
      <c r="I1029" s="10">
        <f>IFERROR(T1029*H1029,0)</f>
        <v/>
      </c>
      <c r="J1029" s="11" t="n">
        <v>46094</v>
      </c>
      <c r="K1029" s="11" t="n"/>
      <c r="L1029" t="inlineStr">
        <is>
          <t>Debitar do STA</t>
        </is>
      </c>
      <c r="M1029">
        <f>IF(L1029="","",IFERROR(VLOOKUP(L1029,mapGrupoStatus,2,0),"Outros"))</f>
        <v/>
      </c>
      <c r="N1029">
        <f>IF(O1029="","",IF(O1029&lt;=30,"0-30 dias",IF(O1029&lt;=60,"31-60 dias",IF(O1029&lt;=90,"61-90 dias","Mais de 90 dias"))))</f>
        <v/>
      </c>
      <c r="O1029">
        <f>IF(OR(M1029="Pendente",M1029="Em andamento"),IF(J1029="","",TODAY()-J1029),"")</f>
        <v/>
      </c>
      <c r="P1029" t="n">
        <v>11244</v>
      </c>
      <c r="Q1029" t="inlineStr">
        <is>
          <t>Refrigeração Manutenção (11244)</t>
        </is>
      </c>
      <c r="R1029" t="inlineStr">
        <is>
          <t>PC-0012</t>
        </is>
      </c>
      <c r="S1029" t="inlineStr">
        <is>
          <t>Placa eletrônica modelo 02</t>
        </is>
      </c>
      <c r="T1029" t="n">
        <v>1</v>
      </c>
      <c r="U1029" t="inlineStr"/>
      <c r="V1029">
        <f>IF(J1029="","",MONTH(J1029))</f>
        <v/>
      </c>
      <c r="W1029">
        <f>IF(J1029="","",YEAR(J1029))</f>
        <v/>
      </c>
      <c r="X1029" t="inlineStr"/>
      <c r="Y1029">
        <f>IFERROR(INDEX(Rastreio!$H$2:$H$200,MATCH(X1029&amp;"|"&amp;U1029,Rastreio!$A$2:$A$200,0)),"")</f>
        <v/>
      </c>
    </row>
    <row r="1030">
      <c r="A1030">
        <f>IFERROR(INDEX(STAs!$G$2:$G$61,MATCH(P1030,STAs!$F$2:$F$61,0))&amp;"","")</f>
        <v/>
      </c>
      <c r="B1030" t="n">
        <v>20019819</v>
      </c>
      <c r="C1030" t="inlineStr">
        <is>
          <t>Não</t>
        </is>
      </c>
      <c r="D1030" t="inlineStr">
        <is>
          <t>SC</t>
        </is>
      </c>
      <c r="E1030" t="inlineStr">
        <is>
          <t>SUL</t>
        </is>
      </c>
      <c r="F1030" t="inlineStr">
        <is>
          <t>Cliente C - Misturador</t>
        </is>
      </c>
      <c r="G1030" t="inlineStr">
        <is>
          <t>Misturadores</t>
        </is>
      </c>
      <c r="H1030" s="10" t="n">
        <v>255</v>
      </c>
      <c r="I1030" s="10">
        <f>IFERROR(T1030*H1030,0)</f>
        <v/>
      </c>
      <c r="J1030" s="11" t="n">
        <v>46094</v>
      </c>
      <c r="K1030" s="11" t="n">
        <v>46114</v>
      </c>
      <c r="L1030" t="inlineStr">
        <is>
          <t>Ok. Devolvida</t>
        </is>
      </c>
      <c r="M1030">
        <f>IF(L1030="","",IFERROR(VLOOKUP(L1030,mapGrupoStatus,2,0),"Outros"))</f>
        <v/>
      </c>
      <c r="N1030">
        <f>IF(O1030="","",IF(O1030&lt;=30,"0-30 dias",IF(O1030&lt;=60,"31-60 dias",IF(O1030&lt;=90,"61-90 dias","Mais de 90 dias"))))</f>
        <v/>
      </c>
      <c r="O1030">
        <f>IF(OR(M1030="Pendente",M1030="Em andamento"),IF(J1030="","",TODAY()-J1030),"")</f>
        <v/>
      </c>
      <c r="P1030" t="n">
        <v>12138</v>
      </c>
      <c r="Q1030" t="inlineStr">
        <is>
          <t>Refrigeração Serviços (12138)</t>
        </is>
      </c>
      <c r="R1030" t="inlineStr">
        <is>
          <t>PC-0037</t>
        </is>
      </c>
      <c r="S1030" t="inlineStr">
        <is>
          <t>Bomba de recirculação modelo 01</t>
        </is>
      </c>
      <c r="T1030" t="n">
        <v>1</v>
      </c>
      <c r="U1030" t="n">
        <v>133</v>
      </c>
      <c r="V1030">
        <f>IF(J1030="","",MONTH(J1030))</f>
        <v/>
      </c>
      <c r="W1030">
        <f>IF(J1030="","",YEAR(J1030))</f>
        <v/>
      </c>
      <c r="X1030" t="inlineStr">
        <is>
          <t>LogExpress</t>
        </is>
      </c>
      <c r="Y1030">
        <f>IFERROR(INDEX(Rastreio!$H$2:$H$200,MATCH(X1030&amp;"|"&amp;U1030,Rastreio!$A$2:$A$200,0)),"")</f>
        <v/>
      </c>
    </row>
    <row r="1031">
      <c r="A1031">
        <f>IFERROR(INDEX(STAs!$G$2:$G$61,MATCH(P1031,STAs!$F$2:$F$61,0))&amp;"","")</f>
        <v/>
      </c>
      <c r="B1031" t="n">
        <v>20023765</v>
      </c>
      <c r="C1031" t="inlineStr">
        <is>
          <t>Não</t>
        </is>
      </c>
      <c r="D1031" t="inlineStr">
        <is>
          <t>RO</t>
        </is>
      </c>
      <c r="E1031" t="inlineStr">
        <is>
          <t>NORTE</t>
        </is>
      </c>
      <c r="F1031" t="inlineStr">
        <is>
          <t>Cliente C - Misturador</t>
        </is>
      </c>
      <c r="G1031" t="inlineStr">
        <is>
          <t>Refrigeradores</t>
        </is>
      </c>
      <c r="H1031" s="10" t="n">
        <v>70</v>
      </c>
      <c r="I1031" s="10">
        <f>IFERROR(T1031*H1031,0)</f>
        <v/>
      </c>
      <c r="J1031" s="11" t="n">
        <v>46094</v>
      </c>
      <c r="K1031" s="11" t="n"/>
      <c r="L1031" t="inlineStr">
        <is>
          <t>Não Devolve-Norte</t>
        </is>
      </c>
      <c r="M1031">
        <f>IF(L1031="","",IFERROR(VLOOKUP(L1031,mapGrupoStatus,2,0),"Outros"))</f>
        <v/>
      </c>
      <c r="N1031">
        <f>IF(O1031="","",IF(O1031&lt;=30,"0-30 dias",IF(O1031&lt;=60,"31-60 dias",IF(O1031&lt;=90,"61-90 dias","Mais de 90 dias"))))</f>
        <v/>
      </c>
      <c r="O1031">
        <f>IF(OR(M1031="Pendente",M1031="Em andamento"),IF(J1031="","",TODAY()-J1031),"")</f>
        <v/>
      </c>
      <c r="P1031" t="n">
        <v>12019</v>
      </c>
      <c r="Q1031" t="inlineStr">
        <is>
          <t>Ártico Serviços (12019)</t>
        </is>
      </c>
      <c r="R1031" t="inlineStr">
        <is>
          <t>PC-0009</t>
        </is>
      </c>
      <c r="S1031" t="inlineStr">
        <is>
          <t>Ventilador modelo 03</t>
        </is>
      </c>
      <c r="T1031" t="n">
        <v>1</v>
      </c>
      <c r="U1031" t="inlineStr"/>
      <c r="V1031">
        <f>IF(J1031="","",MONTH(J1031))</f>
        <v/>
      </c>
      <c r="W1031">
        <f>IF(J1031="","",YEAR(J1031))</f>
        <v/>
      </c>
      <c r="X1031" t="inlineStr"/>
      <c r="Y1031">
        <f>IFERROR(INDEX(Rastreio!$H$2:$H$200,MATCH(X1031&amp;"|"&amp;U1031,Rastreio!$A$2:$A$200,0)),"")</f>
        <v/>
      </c>
    </row>
    <row r="1032">
      <c r="A1032">
        <f>IFERROR(INDEX(STAs!$G$2:$G$61,MATCH(P1032,STAs!$F$2:$F$61,0))&amp;"","")</f>
        <v/>
      </c>
      <c r="B1032" t="n">
        <v>20024999</v>
      </c>
      <c r="C1032" t="inlineStr">
        <is>
          <t>Não</t>
        </is>
      </c>
      <c r="D1032" t="inlineStr">
        <is>
          <t>AC</t>
        </is>
      </c>
      <c r="E1032" t="inlineStr">
        <is>
          <t>NORTE</t>
        </is>
      </c>
      <c r="F1032" t="inlineStr">
        <is>
          <t>Cliente C - Misturador</t>
        </is>
      </c>
      <c r="G1032" t="inlineStr">
        <is>
          <t>Misturadores</t>
        </is>
      </c>
      <c r="H1032" s="10" t="n">
        <v>50</v>
      </c>
      <c r="I1032" s="10">
        <f>IFERROR(T1032*H1032,0)</f>
        <v/>
      </c>
      <c r="J1032" s="11" t="n">
        <v>46094</v>
      </c>
      <c r="K1032" s="11" t="n"/>
      <c r="L1032" t="inlineStr">
        <is>
          <t>Aguardando Transporte</t>
        </is>
      </c>
      <c r="M1032">
        <f>IF(L1032="","",IFERROR(VLOOKUP(L1032,mapGrupoStatus,2,0),"Outros"))</f>
        <v/>
      </c>
      <c r="N1032">
        <f>IF(O1032="","",IF(O1032&lt;=30,"0-30 dias",IF(O1032&lt;=60,"31-60 dias",IF(O1032&lt;=90,"61-90 dias","Mais de 90 dias"))))</f>
        <v/>
      </c>
      <c r="O1032">
        <f>IF(OR(M1032="Pendente",M1032="Em andamento"),IF(J1032="","",TODAY()-J1032),"")</f>
        <v/>
      </c>
      <c r="P1032" t="n">
        <v>10372</v>
      </c>
      <c r="Q1032" t="inlineStr">
        <is>
          <t>Zero Grau ME (10372)</t>
        </is>
      </c>
      <c r="R1032" t="inlineStr">
        <is>
          <t>PC-0045</t>
        </is>
      </c>
      <c r="S1032" t="inlineStr">
        <is>
          <t>Sensor de nível modelo 01</t>
        </is>
      </c>
      <c r="T1032" t="n">
        <v>1</v>
      </c>
      <c r="U1032" t="n">
        <v>144</v>
      </c>
      <c r="V1032">
        <f>IF(J1032="","",MONTH(J1032))</f>
        <v/>
      </c>
      <c r="W1032">
        <f>IF(J1032="","",YEAR(J1032))</f>
        <v/>
      </c>
      <c r="X1032" t="inlineStr">
        <is>
          <t>RotaSul</t>
        </is>
      </c>
      <c r="Y1032">
        <f>IFERROR(INDEX(Rastreio!$H$2:$H$200,MATCH(X1032&amp;"|"&amp;U1032,Rastreio!$A$2:$A$200,0)),"")</f>
        <v/>
      </c>
    </row>
    <row r="1033">
      <c r="A1033">
        <f>IFERROR(INDEX(STAs!$G$2:$G$61,MATCH(P1033,STAs!$F$2:$F$61,0))&amp;"","")</f>
        <v/>
      </c>
      <c r="B1033" t="n">
        <v>20028094</v>
      </c>
      <c r="C1033" t="inlineStr">
        <is>
          <t>Não</t>
        </is>
      </c>
      <c r="D1033" t="inlineStr">
        <is>
          <t>RJ</t>
        </is>
      </c>
      <c r="E1033" t="inlineStr">
        <is>
          <t>SUDESTE RJ e ES</t>
        </is>
      </c>
      <c r="F1033" t="inlineStr">
        <is>
          <t>Cliente A - Refrigerador</t>
        </is>
      </c>
      <c r="G1033" t="inlineStr">
        <is>
          <t>Refrigeradores</t>
        </is>
      </c>
      <c r="H1033" s="10" t="n">
        <v>55</v>
      </c>
      <c r="I1033" s="10">
        <f>IFERROR(T1033*H1033,0)</f>
        <v/>
      </c>
      <c r="J1033" s="11" t="n">
        <v>46094</v>
      </c>
      <c r="K1033" s="11" t="n">
        <v>46139</v>
      </c>
      <c r="L1033" t="inlineStr">
        <is>
          <t>Ok. Devolvida</t>
        </is>
      </c>
      <c r="M1033">
        <f>IF(L1033="","",IFERROR(VLOOKUP(L1033,mapGrupoStatus,2,0),"Outros"))</f>
        <v/>
      </c>
      <c r="N1033">
        <f>IF(O1033="","",IF(O1033&lt;=30,"0-30 dias",IF(O1033&lt;=60,"31-60 dias",IF(O1033&lt;=90,"61-90 dias","Mais de 90 dias"))))</f>
        <v/>
      </c>
      <c r="O1033">
        <f>IF(OR(M1033="Pendente",M1033="Em andamento"),IF(J1033="","",TODAY()-J1033),"")</f>
        <v/>
      </c>
      <c r="P1033" t="n">
        <v>11059</v>
      </c>
      <c r="Q1033" t="inlineStr">
        <is>
          <t>Frio Ltda (11059)</t>
        </is>
      </c>
      <c r="R1033" t="inlineStr">
        <is>
          <t>PC-0007</t>
        </is>
      </c>
      <c r="S1033" t="inlineStr">
        <is>
          <t>Ventilador modelo 01</t>
        </is>
      </c>
      <c r="T1033" t="n">
        <v>1</v>
      </c>
      <c r="U1033" t="n">
        <v>148</v>
      </c>
      <c r="V1033">
        <f>IF(J1033="","",MONTH(J1033))</f>
        <v/>
      </c>
      <c r="W1033">
        <f>IF(J1033="","",YEAR(J1033))</f>
        <v/>
      </c>
      <c r="X1033" t="inlineStr">
        <is>
          <t>CargoMax</t>
        </is>
      </c>
      <c r="Y1033">
        <f>IFERROR(INDEX(Rastreio!$H$2:$H$200,MATCH(X1033&amp;"|"&amp;U1033,Rastreio!$A$2:$A$200,0)),"")</f>
        <v/>
      </c>
    </row>
    <row r="1034">
      <c r="A1034">
        <f>IFERROR(INDEX(STAs!$G$2:$G$61,MATCH(P1034,STAs!$F$2:$F$61,0))&amp;"","")</f>
        <v/>
      </c>
      <c r="B1034" t="n">
        <v>20032204</v>
      </c>
      <c r="C1034" t="inlineStr">
        <is>
          <t>Não</t>
        </is>
      </c>
      <c r="D1034" t="inlineStr">
        <is>
          <t>RJ</t>
        </is>
      </c>
      <c r="E1034" t="inlineStr">
        <is>
          <t>SUDESTE RJ e ES</t>
        </is>
      </c>
      <c r="F1034" t="inlineStr">
        <is>
          <t>Cliente B - Chopeira</t>
        </is>
      </c>
      <c r="G1034" t="inlineStr">
        <is>
          <t>Chopeiras</t>
        </is>
      </c>
      <c r="H1034" s="10" t="n">
        <v>115</v>
      </c>
      <c r="I1034" s="10">
        <f>IFERROR(T1034*H1034,0)</f>
        <v/>
      </c>
      <c r="J1034" s="11" t="n">
        <v>46094</v>
      </c>
      <c r="K1034" s="11" t="n"/>
      <c r="L1034" t="inlineStr">
        <is>
          <t>Aguardando devolução</t>
        </is>
      </c>
      <c r="M1034">
        <f>IF(L1034="","",IFERROR(VLOOKUP(L1034,mapGrupoStatus,2,0),"Outros"))</f>
        <v/>
      </c>
      <c r="N1034">
        <f>IF(O1034="","",IF(O1034&lt;=30,"0-30 dias",IF(O1034&lt;=60,"31-60 dias",IF(O1034&lt;=90,"61-90 dias","Mais de 90 dias"))))</f>
        <v/>
      </c>
      <c r="O1034">
        <f>IF(OR(M1034="Pendente",M1034="Em andamento"),IF(J1034="","",TODAY()-J1034),"")</f>
        <v/>
      </c>
      <c r="P1034" t="n">
        <v>11059</v>
      </c>
      <c r="Q1034" t="inlineStr">
        <is>
          <t>Frio Ltda (11059)</t>
        </is>
      </c>
      <c r="R1034" t="inlineStr">
        <is>
          <t>PC-0034</t>
        </is>
      </c>
      <c r="S1034" t="inlineStr">
        <is>
          <t>Regulador de pressão modelo 03</t>
        </is>
      </c>
      <c r="T1034" t="n">
        <v>1</v>
      </c>
      <c r="U1034" t="inlineStr"/>
      <c r="V1034">
        <f>IF(J1034="","",MONTH(J1034))</f>
        <v/>
      </c>
      <c r="W1034">
        <f>IF(J1034="","",YEAR(J1034))</f>
        <v/>
      </c>
      <c r="X1034" t="inlineStr"/>
      <c r="Y1034">
        <f>IFERROR(INDEX(Rastreio!$H$2:$H$200,MATCH(X1034&amp;"|"&amp;U1034,Rastreio!$A$2:$A$200,0)),"")</f>
        <v/>
      </c>
    </row>
    <row r="1035">
      <c r="A1035">
        <f>IFERROR(INDEX(STAs!$G$2:$G$61,MATCH(P1035,STAs!$F$2:$F$61,0))&amp;"","")</f>
        <v/>
      </c>
      <c r="B1035" t="n">
        <v>20001074</v>
      </c>
      <c r="C1035" t="inlineStr">
        <is>
          <t>Não</t>
        </is>
      </c>
      <c r="D1035" t="inlineStr">
        <is>
          <t>RS</t>
        </is>
      </c>
      <c r="E1035" t="inlineStr">
        <is>
          <t>SUL</t>
        </is>
      </c>
      <c r="F1035" t="inlineStr">
        <is>
          <t>Cliente C - Misturador</t>
        </is>
      </c>
      <c r="G1035" t="inlineStr">
        <is>
          <t>Refrigeradores</t>
        </is>
      </c>
      <c r="H1035" s="10" t="n">
        <v>155</v>
      </c>
      <c r="I1035" s="10">
        <f>IFERROR(T1035*H1035,0)</f>
        <v/>
      </c>
      <c r="J1035" s="11" t="n">
        <v>46095</v>
      </c>
      <c r="K1035" s="11" t="n"/>
      <c r="L1035" t="inlineStr">
        <is>
          <t>Debitar do STA</t>
        </is>
      </c>
      <c r="M1035">
        <f>IF(L1035="","",IFERROR(VLOOKUP(L1035,mapGrupoStatus,2,0),"Outros"))</f>
        <v/>
      </c>
      <c r="N1035">
        <f>IF(O1035="","",IF(O1035&lt;=30,"0-30 dias",IF(O1035&lt;=60,"31-60 dias",IF(O1035&lt;=90,"61-90 dias","Mais de 90 dias"))))</f>
        <v/>
      </c>
      <c r="O1035">
        <f>IF(OR(M1035="Pendente",M1035="Em andamento"),IF(J1035="","",TODAY()-J1035),"")</f>
        <v/>
      </c>
      <c r="P1035" t="n">
        <v>12617</v>
      </c>
      <c r="Q1035" t="inlineStr">
        <is>
          <t>Gelo Manutenção (12617)</t>
        </is>
      </c>
      <c r="R1035" t="inlineStr">
        <is>
          <t>PC-0022</t>
        </is>
      </c>
      <c r="S1035" t="inlineStr">
        <is>
          <t>Controlador digital modelo 02</t>
        </is>
      </c>
      <c r="T1035" t="n">
        <v>1</v>
      </c>
      <c r="U1035" t="inlineStr"/>
      <c r="V1035">
        <f>IF(J1035="","",MONTH(J1035))</f>
        <v/>
      </c>
      <c r="W1035">
        <f>IF(J1035="","",YEAR(J1035))</f>
        <v/>
      </c>
      <c r="X1035" t="inlineStr"/>
      <c r="Y1035">
        <f>IFERROR(INDEX(Rastreio!$H$2:$H$200,MATCH(X1035&amp;"|"&amp;U1035,Rastreio!$A$2:$A$200,0)),"")</f>
        <v/>
      </c>
    </row>
    <row r="1036">
      <c r="A1036">
        <f>IFERROR(INDEX(STAs!$G$2:$G$61,MATCH(P1036,STAs!$F$2:$F$61,0))&amp;"","")</f>
        <v/>
      </c>
      <c r="B1036" t="n">
        <v>20005299</v>
      </c>
      <c r="C1036" t="inlineStr">
        <is>
          <t>Não</t>
        </is>
      </c>
      <c r="D1036" t="inlineStr">
        <is>
          <t>MS</t>
        </is>
      </c>
      <c r="E1036" t="inlineStr">
        <is>
          <t>CENTRO OESTE</t>
        </is>
      </c>
      <c r="F1036" t="inlineStr">
        <is>
          <t>Cliente B - Chopeira</t>
        </is>
      </c>
      <c r="G1036" t="inlineStr">
        <is>
          <t>Refrigeradores</t>
        </is>
      </c>
      <c r="H1036" s="10" t="n">
        <v>45</v>
      </c>
      <c r="I1036" s="10">
        <f>IFERROR(T1036*H1036,0)</f>
        <v/>
      </c>
      <c r="J1036" s="11" t="n">
        <v>46095</v>
      </c>
      <c r="K1036" s="11" t="n"/>
      <c r="L1036" t="inlineStr">
        <is>
          <t>Aguardando Transporte</t>
        </is>
      </c>
      <c r="M1036">
        <f>IF(L1036="","",IFERROR(VLOOKUP(L1036,mapGrupoStatus,2,0),"Outros"))</f>
        <v/>
      </c>
      <c r="N1036">
        <f>IF(O1036="","",IF(O1036&lt;=30,"0-30 dias",IF(O1036&lt;=60,"31-60 dias",IF(O1036&lt;=90,"61-90 dias","Mais de 90 dias"))))</f>
        <v/>
      </c>
      <c r="O1036">
        <f>IF(OR(M1036="Pendente",M1036="Em andamento"),IF(J1036="","",TODAY()-J1036),"")</f>
        <v/>
      </c>
      <c r="P1036" t="n">
        <v>10302</v>
      </c>
      <c r="Q1036" t="inlineStr">
        <is>
          <t>Ice Tech Express (10302)</t>
        </is>
      </c>
      <c r="R1036" t="inlineStr">
        <is>
          <t>PC-0018</t>
        </is>
      </c>
      <c r="S1036" t="inlineStr">
        <is>
          <t>Gaxeta da porta modelo 01</t>
        </is>
      </c>
      <c r="T1036" t="n">
        <v>1</v>
      </c>
      <c r="U1036" t="n">
        <v>109</v>
      </c>
      <c r="V1036">
        <f>IF(J1036="","",MONTH(J1036))</f>
        <v/>
      </c>
      <c r="W1036">
        <f>IF(J1036="","",YEAR(J1036))</f>
        <v/>
      </c>
      <c r="X1036" t="inlineStr">
        <is>
          <t>EntregaJá</t>
        </is>
      </c>
      <c r="Y1036">
        <f>IFERROR(INDEX(Rastreio!$H$2:$H$200,MATCH(X1036&amp;"|"&amp;U1036,Rastreio!$A$2:$A$200,0)),"")</f>
        <v/>
      </c>
    </row>
    <row r="1037">
      <c r="A1037">
        <f>IFERROR(INDEX(STAs!$G$2:$G$61,MATCH(P1037,STAs!$F$2:$F$61,0))&amp;"","")</f>
        <v/>
      </c>
      <c r="B1037" t="n">
        <v>20005478</v>
      </c>
      <c r="C1037" t="inlineStr">
        <is>
          <t>Não</t>
        </is>
      </c>
      <c r="D1037" t="inlineStr">
        <is>
          <t>PE</t>
        </is>
      </c>
      <c r="E1037" t="inlineStr">
        <is>
          <t>NORDESTE</t>
        </is>
      </c>
      <c r="F1037" t="inlineStr">
        <is>
          <t>Cliente B - Chopeira</t>
        </is>
      </c>
      <c r="G1037" t="inlineStr">
        <is>
          <t>Refrigeradores</t>
        </is>
      </c>
      <c r="H1037" s="10" t="n">
        <v>155</v>
      </c>
      <c r="I1037" s="10">
        <f>IFERROR(T1037*H1037,0)</f>
        <v/>
      </c>
      <c r="J1037" s="11" t="n">
        <v>46095</v>
      </c>
      <c r="K1037" s="11" t="n"/>
      <c r="L1037" t="inlineStr">
        <is>
          <t>Aguardando devolução</t>
        </is>
      </c>
      <c r="M1037">
        <f>IF(L1037="","",IFERROR(VLOOKUP(L1037,mapGrupoStatus,2,0),"Outros"))</f>
        <v/>
      </c>
      <c r="N1037">
        <f>IF(O1037="","",IF(O1037&lt;=30,"0-30 dias",IF(O1037&lt;=60,"31-60 dias",IF(O1037&lt;=90,"61-90 dias","Mais de 90 dias"))))</f>
        <v/>
      </c>
      <c r="O1037">
        <f>IF(OR(M1037="Pendente",M1037="Em andamento"),IF(J1037="","",TODAY()-J1037),"")</f>
        <v/>
      </c>
      <c r="P1037" t="n">
        <v>11352</v>
      </c>
      <c r="Q1037" t="inlineStr">
        <is>
          <t>Frio Express (11352)</t>
        </is>
      </c>
      <c r="R1037" t="inlineStr">
        <is>
          <t>PC-0022</t>
        </is>
      </c>
      <c r="S1037" t="inlineStr">
        <is>
          <t>Controlador digital modelo 02</t>
        </is>
      </c>
      <c r="T1037" t="n">
        <v>1</v>
      </c>
      <c r="U1037" t="inlineStr"/>
      <c r="V1037">
        <f>IF(J1037="","",MONTH(J1037))</f>
        <v/>
      </c>
      <c r="W1037">
        <f>IF(J1037="","",YEAR(J1037))</f>
        <v/>
      </c>
      <c r="X1037" t="inlineStr"/>
      <c r="Y1037">
        <f>IFERROR(INDEX(Rastreio!$H$2:$H$200,MATCH(X1037&amp;"|"&amp;U1037,Rastreio!$A$2:$A$200,0)),"")</f>
        <v/>
      </c>
    </row>
    <row r="1038">
      <c r="A1038">
        <f>IFERROR(INDEX(STAs!$G$2:$G$61,MATCH(P1038,STAs!$F$2:$F$61,0))&amp;"","")</f>
        <v/>
      </c>
      <c r="B1038" t="n">
        <v>20014859</v>
      </c>
      <c r="C1038" t="inlineStr">
        <is>
          <t>Não</t>
        </is>
      </c>
      <c r="D1038" t="inlineStr">
        <is>
          <t>AM</t>
        </is>
      </c>
      <c r="E1038" t="inlineStr">
        <is>
          <t>NORTE</t>
        </is>
      </c>
      <c r="F1038" t="inlineStr">
        <is>
          <t>Cliente B - Chopeira</t>
        </is>
      </c>
      <c r="G1038" t="inlineStr">
        <is>
          <t>Chopeiras</t>
        </is>
      </c>
      <c r="H1038" s="10" t="n">
        <v>85</v>
      </c>
      <c r="I1038" s="10">
        <f>IFERROR(T1038*H1038,0)</f>
        <v/>
      </c>
      <c r="J1038" s="11" t="n">
        <v>46095</v>
      </c>
      <c r="K1038" s="11" t="n"/>
      <c r="L1038" t="inlineStr">
        <is>
          <t>Não Devolve-Norte</t>
        </is>
      </c>
      <c r="M1038">
        <f>IF(L1038="","",IFERROR(VLOOKUP(L1038,mapGrupoStatus,2,0),"Outros"))</f>
        <v/>
      </c>
      <c r="N1038">
        <f>IF(O1038="","",IF(O1038&lt;=30,"0-30 dias",IF(O1038&lt;=60,"31-60 dias",IF(O1038&lt;=90,"61-90 dias","Mais de 90 dias"))))</f>
        <v/>
      </c>
      <c r="O1038">
        <f>IF(OR(M1038="Pendente",M1038="Em andamento"),IF(J1038="","",TODAY()-J1038),"")</f>
        <v/>
      </c>
      <c r="P1038" t="n">
        <v>12269</v>
      </c>
      <c r="Q1038" t="inlineStr">
        <is>
          <t>Polar Técnica (12269)</t>
        </is>
      </c>
      <c r="R1038" t="inlineStr">
        <is>
          <t>PC-0035</t>
        </is>
      </c>
      <c r="S1038" t="inlineStr">
        <is>
          <t>Válvula extratora modelo 01</t>
        </is>
      </c>
      <c r="T1038" t="n">
        <v>1</v>
      </c>
      <c r="U1038" t="inlineStr"/>
      <c r="V1038">
        <f>IF(J1038="","",MONTH(J1038))</f>
        <v/>
      </c>
      <c r="W1038">
        <f>IF(J1038="","",YEAR(J1038))</f>
        <v/>
      </c>
      <c r="X1038" t="inlineStr"/>
      <c r="Y1038">
        <f>IFERROR(INDEX(Rastreio!$H$2:$H$200,MATCH(X1038&amp;"|"&amp;U1038,Rastreio!$A$2:$A$200,0)),"")</f>
        <v/>
      </c>
    </row>
    <row r="1039">
      <c r="A1039">
        <f>IFERROR(INDEX(STAs!$G$2:$G$61,MATCH(P1039,STAs!$F$2:$F$61,0))&amp;"","")</f>
        <v/>
      </c>
      <c r="B1039" t="n">
        <v>20035992</v>
      </c>
      <c r="C1039" t="inlineStr">
        <is>
          <t>Não</t>
        </is>
      </c>
      <c r="D1039" t="inlineStr">
        <is>
          <t>SP</t>
        </is>
      </c>
      <c r="E1039" t="inlineStr">
        <is>
          <t>SUDESTE SP</t>
        </is>
      </c>
      <c r="F1039" t="inlineStr">
        <is>
          <t>Cliente B - Chopeira</t>
        </is>
      </c>
      <c r="G1039" t="inlineStr">
        <is>
          <t>Refrigeradores</t>
        </is>
      </c>
      <c r="H1039" s="10" t="n">
        <v>30</v>
      </c>
      <c r="I1039" s="10">
        <f>IFERROR(T1039*H1039,0)</f>
        <v/>
      </c>
      <c r="J1039" s="11" t="n">
        <v>46095</v>
      </c>
      <c r="K1039" s="11" t="n">
        <v>46149</v>
      </c>
      <c r="L1039" t="inlineStr">
        <is>
          <t>Ok. Devolvida</t>
        </is>
      </c>
      <c r="M1039">
        <f>IF(L1039="","",IFERROR(VLOOKUP(L1039,mapGrupoStatus,2,0),"Outros"))</f>
        <v/>
      </c>
      <c r="N1039">
        <f>IF(O1039="","",IF(O1039&lt;=30,"0-30 dias",IF(O1039&lt;=60,"31-60 dias",IF(O1039&lt;=90,"61-90 dias","Mais de 90 dias"))))</f>
        <v/>
      </c>
      <c r="O1039">
        <f>IF(OR(M1039="Pendente",M1039="Em andamento"),IF(J1039="","",TODAY()-J1039),"")</f>
        <v/>
      </c>
      <c r="P1039" t="n">
        <v>10413</v>
      </c>
      <c r="Q1039" t="inlineStr">
        <is>
          <t>Polar Manutenção (10413)</t>
        </is>
      </c>
      <c r="R1039" t="inlineStr">
        <is>
          <t>PC-0025</t>
        </is>
      </c>
      <c r="S1039" t="inlineStr">
        <is>
          <t>Relé de partida modelo 03</t>
        </is>
      </c>
      <c r="T1039" t="n">
        <v>2</v>
      </c>
      <c r="U1039" t="n">
        <v>163</v>
      </c>
      <c r="V1039">
        <f>IF(J1039="","",MONTH(J1039))</f>
        <v/>
      </c>
      <c r="W1039">
        <f>IF(J1039="","",YEAR(J1039))</f>
        <v/>
      </c>
      <c r="X1039" t="inlineStr">
        <is>
          <t>LogExpress</t>
        </is>
      </c>
      <c r="Y1039">
        <f>IFERROR(INDEX(Rastreio!$H$2:$H$200,MATCH(X1039&amp;"|"&amp;U1039,Rastreio!$A$2:$A$200,0)),"")</f>
        <v/>
      </c>
    </row>
    <row r="1040">
      <c r="A1040">
        <f>IFERROR(INDEX(STAs!$G$2:$G$61,MATCH(P1040,STAs!$F$2:$F$61,0))&amp;"","")</f>
        <v/>
      </c>
      <c r="B1040" t="n">
        <v>20040608</v>
      </c>
      <c r="C1040" t="inlineStr">
        <is>
          <t>Não</t>
        </is>
      </c>
      <c r="D1040" t="inlineStr">
        <is>
          <t>SP</t>
        </is>
      </c>
      <c r="E1040" t="inlineStr">
        <is>
          <t>SUDESTE SP</t>
        </is>
      </c>
      <c r="F1040" t="inlineStr">
        <is>
          <t>Cliente B - Chopeira</t>
        </is>
      </c>
      <c r="G1040" t="inlineStr">
        <is>
          <t>Misturadores</t>
        </is>
      </c>
      <c r="H1040" s="10" t="n">
        <v>50</v>
      </c>
      <c r="I1040" s="10">
        <f>IFERROR(T1040*H1040,0)</f>
        <v/>
      </c>
      <c r="J1040" s="11" t="n">
        <v>46095</v>
      </c>
      <c r="K1040" s="11" t="n"/>
      <c r="L1040" t="inlineStr">
        <is>
          <t>NPD</t>
        </is>
      </c>
      <c r="M1040">
        <f>IF(L1040="","",IFERROR(VLOOKUP(L1040,mapGrupoStatus,2,0),"Outros"))</f>
        <v/>
      </c>
      <c r="N1040">
        <f>IF(O1040="","",IF(O1040&lt;=30,"0-30 dias",IF(O1040&lt;=60,"31-60 dias",IF(O1040&lt;=90,"61-90 dias","Mais de 90 dias"))))</f>
        <v/>
      </c>
      <c r="O1040">
        <f>IF(OR(M1040="Pendente",M1040="Em andamento"),IF(J1040="","",TODAY()-J1040),"")</f>
        <v/>
      </c>
      <c r="P1040" t="n">
        <v>10413</v>
      </c>
      <c r="Q1040" t="inlineStr">
        <is>
          <t>Polar Manutenção (10413)</t>
        </is>
      </c>
      <c r="R1040" t="inlineStr">
        <is>
          <t>PC-0045</t>
        </is>
      </c>
      <c r="S1040" t="inlineStr">
        <is>
          <t>Sensor de nível modelo 01</t>
        </is>
      </c>
      <c r="T1040" t="n">
        <v>1</v>
      </c>
      <c r="U1040" t="inlineStr"/>
      <c r="V1040">
        <f>IF(J1040="","",MONTH(J1040))</f>
        <v/>
      </c>
      <c r="W1040">
        <f>IF(J1040="","",YEAR(J1040))</f>
        <v/>
      </c>
      <c r="X1040" t="inlineStr"/>
      <c r="Y1040">
        <f>IFERROR(INDEX(Rastreio!$H$2:$H$200,MATCH(X1040&amp;"|"&amp;U1040,Rastreio!$A$2:$A$200,0)),"")</f>
        <v/>
      </c>
    </row>
    <row r="1041">
      <c r="A1041">
        <f>IFERROR(INDEX(STAs!$G$2:$G$61,MATCH(P1041,STAs!$F$2:$F$61,0))&amp;"","")</f>
        <v/>
      </c>
      <c r="B1041" t="n">
        <v>20009449</v>
      </c>
      <c r="C1041" t="inlineStr">
        <is>
          <t>Sim</t>
        </is>
      </c>
      <c r="D1041" t="inlineStr">
        <is>
          <t>GO</t>
        </is>
      </c>
      <c r="E1041" t="inlineStr">
        <is>
          <t>CENTRO OESTE</t>
        </is>
      </c>
      <c r="F1041" t="inlineStr">
        <is>
          <t>Cliente A - Refrigerador</t>
        </is>
      </c>
      <c r="G1041" t="inlineStr">
        <is>
          <t>Refrigeradores</t>
        </is>
      </c>
      <c r="H1041" s="10" t="n">
        <v>55</v>
      </c>
      <c r="I1041" s="10">
        <f>IFERROR(T1041*H1041,0)</f>
        <v/>
      </c>
      <c r="J1041" s="11" t="n">
        <v>46096</v>
      </c>
      <c r="K1041" s="11" t="n">
        <v>46143</v>
      </c>
      <c r="L1041" t="inlineStr">
        <is>
          <t>Ok. Devolvida</t>
        </is>
      </c>
      <c r="M1041">
        <f>IF(L1041="","",IFERROR(VLOOKUP(L1041,mapGrupoStatus,2,0),"Outros"))</f>
        <v/>
      </c>
      <c r="N1041">
        <f>IF(O1041="","",IF(O1041&lt;=30,"0-30 dias",IF(O1041&lt;=60,"31-60 dias",IF(O1041&lt;=90,"61-90 dias","Mais de 90 dias"))))</f>
        <v/>
      </c>
      <c r="O1041">
        <f>IF(OR(M1041="Pendente",M1041="Em andamento"),IF(J1041="","",TODAY()-J1041),"")</f>
        <v/>
      </c>
      <c r="P1041" t="n">
        <v>11677</v>
      </c>
      <c r="Q1041" t="inlineStr">
        <is>
          <t>Cool Service Manutenção (11677)</t>
        </is>
      </c>
      <c r="R1041" t="inlineStr">
        <is>
          <t>PC-0007</t>
        </is>
      </c>
      <c r="S1041" t="inlineStr">
        <is>
          <t>Ventilador modelo 01</t>
        </is>
      </c>
      <c r="T1041" t="n">
        <v>3</v>
      </c>
      <c r="U1041" t="n">
        <v>118</v>
      </c>
      <c r="V1041">
        <f>IF(J1041="","",MONTH(J1041))</f>
        <v/>
      </c>
      <c r="W1041">
        <f>IF(J1041="","",YEAR(J1041))</f>
        <v/>
      </c>
      <c r="X1041" t="inlineStr">
        <is>
          <t>LogExpress</t>
        </is>
      </c>
      <c r="Y1041">
        <f>IFERROR(INDEX(Rastreio!$H$2:$H$200,MATCH(X1041&amp;"|"&amp;U1041,Rastreio!$A$2:$A$200,0)),"")</f>
        <v/>
      </c>
    </row>
    <row r="1042">
      <c r="A1042">
        <f>IFERROR(INDEX(STAs!$G$2:$G$61,MATCH(P1042,STAs!$F$2:$F$61,0))&amp;"","")</f>
        <v/>
      </c>
      <c r="B1042" t="n">
        <v>20009751</v>
      </c>
      <c r="C1042" t="inlineStr">
        <is>
          <t>Não</t>
        </is>
      </c>
      <c r="D1042" t="inlineStr">
        <is>
          <t>SP</t>
        </is>
      </c>
      <c r="E1042" t="inlineStr">
        <is>
          <t>SUDESTE SP</t>
        </is>
      </c>
      <c r="F1042" t="inlineStr">
        <is>
          <t>Cliente A - Refrigerador</t>
        </is>
      </c>
      <c r="G1042" t="inlineStr">
        <is>
          <t>Misturadores</t>
        </is>
      </c>
      <c r="H1042" s="10" t="n">
        <v>50</v>
      </c>
      <c r="I1042" s="10">
        <f>IFERROR(T1042*H1042,0)</f>
        <v/>
      </c>
      <c r="J1042" s="11" t="n">
        <v>46096</v>
      </c>
      <c r="K1042" s="11" t="n"/>
      <c r="L1042" t="inlineStr">
        <is>
          <t>Debitar do STA</t>
        </is>
      </c>
      <c r="M1042">
        <f>IF(L1042="","",IFERROR(VLOOKUP(L1042,mapGrupoStatus,2,0),"Outros"))</f>
        <v/>
      </c>
      <c r="N1042">
        <f>IF(O1042="","",IF(O1042&lt;=30,"0-30 dias",IF(O1042&lt;=60,"31-60 dias",IF(O1042&lt;=90,"61-90 dias","Mais de 90 dias"))))</f>
        <v/>
      </c>
      <c r="O1042">
        <f>IF(OR(M1042="Pendente",M1042="Em andamento"),IF(J1042="","",TODAY()-J1042),"")</f>
        <v/>
      </c>
      <c r="P1042" t="n">
        <v>10111</v>
      </c>
      <c r="Q1042" t="inlineStr">
        <is>
          <t>Refrigel Manutenção (10111)</t>
        </is>
      </c>
      <c r="R1042" t="inlineStr">
        <is>
          <t>PC-0044</t>
        </is>
      </c>
      <c r="S1042" t="inlineStr">
        <is>
          <t>Bico dosador modelo 03</t>
        </is>
      </c>
      <c r="T1042" t="n">
        <v>1</v>
      </c>
      <c r="U1042" t="inlineStr"/>
      <c r="V1042">
        <f>IF(J1042="","",MONTH(J1042))</f>
        <v/>
      </c>
      <c r="W1042">
        <f>IF(J1042="","",YEAR(J1042))</f>
        <v/>
      </c>
      <c r="X1042" t="inlineStr"/>
      <c r="Y1042">
        <f>IFERROR(INDEX(Rastreio!$H$2:$H$200,MATCH(X1042&amp;"|"&amp;U1042,Rastreio!$A$2:$A$200,0)),"")</f>
        <v/>
      </c>
    </row>
    <row r="1043">
      <c r="A1043">
        <f>IFERROR(INDEX(STAs!$G$2:$G$61,MATCH(P1043,STAs!$F$2:$F$61,0))&amp;"","")</f>
        <v/>
      </c>
      <c r="B1043" t="n">
        <v>20021921</v>
      </c>
      <c r="C1043" t="inlineStr">
        <is>
          <t>Não</t>
        </is>
      </c>
      <c r="D1043" t="inlineStr">
        <is>
          <t>SP</t>
        </is>
      </c>
      <c r="E1043" t="inlineStr">
        <is>
          <t>SUDESTE SP</t>
        </is>
      </c>
      <c r="F1043" t="inlineStr">
        <is>
          <t>Cliente A - Refrigerador</t>
        </is>
      </c>
      <c r="G1043" t="inlineStr">
        <is>
          <t>Misturadores</t>
        </is>
      </c>
      <c r="H1043" s="10" t="n">
        <v>60</v>
      </c>
      <c r="I1043" s="10">
        <f>IFERROR(T1043*H1043,0)</f>
        <v/>
      </c>
      <c r="J1043" s="11" t="n">
        <v>46096</v>
      </c>
      <c r="K1043" s="11" t="n">
        <v>46126</v>
      </c>
      <c r="L1043" t="inlineStr">
        <is>
          <t>Ok. Devolvida</t>
        </is>
      </c>
      <c r="M1043">
        <f>IF(L1043="","",IFERROR(VLOOKUP(L1043,mapGrupoStatus,2,0),"Outros"))</f>
        <v/>
      </c>
      <c r="N1043">
        <f>IF(O1043="","",IF(O1043&lt;=30,"0-30 dias",IF(O1043&lt;=60,"31-60 dias",IF(O1043&lt;=90,"61-90 dias","Mais de 90 dias"))))</f>
        <v/>
      </c>
      <c r="O1043">
        <f>IF(OR(M1043="Pendente",M1043="Em andamento"),IF(J1043="","",TODAY()-J1043),"")</f>
        <v/>
      </c>
      <c r="P1043" t="n">
        <v>12052</v>
      </c>
      <c r="Q1043" t="inlineStr">
        <is>
          <t>Brisa Refrigeração (12052)</t>
        </is>
      </c>
      <c r="R1043" t="inlineStr">
        <is>
          <t>PC-0048</t>
        </is>
      </c>
      <c r="S1043" t="inlineStr">
        <is>
          <t>Sensor de nível modelo 04</t>
        </is>
      </c>
      <c r="T1043" t="n">
        <v>1</v>
      </c>
      <c r="U1043" t="n">
        <v>132</v>
      </c>
      <c r="V1043">
        <f>IF(J1043="","",MONTH(J1043))</f>
        <v/>
      </c>
      <c r="W1043">
        <f>IF(J1043="","",YEAR(J1043))</f>
        <v/>
      </c>
      <c r="X1043" t="inlineStr">
        <is>
          <t>TransNorte</t>
        </is>
      </c>
      <c r="Y1043">
        <f>IFERROR(INDEX(Rastreio!$H$2:$H$200,MATCH(X1043&amp;"|"&amp;U1043,Rastreio!$A$2:$A$200,0)),"")</f>
        <v/>
      </c>
    </row>
    <row r="1044">
      <c r="A1044">
        <f>IFERROR(INDEX(STAs!$G$2:$G$61,MATCH(P1044,STAs!$F$2:$F$61,0))&amp;"","")</f>
        <v/>
      </c>
      <c r="B1044" t="n">
        <v>20025898</v>
      </c>
      <c r="C1044" t="inlineStr">
        <is>
          <t>Não</t>
        </is>
      </c>
      <c r="D1044" t="inlineStr">
        <is>
          <t>PR</t>
        </is>
      </c>
      <c r="E1044" t="inlineStr">
        <is>
          <t>SUL</t>
        </is>
      </c>
      <c r="F1044" t="inlineStr">
        <is>
          <t>Cliente C - Misturador</t>
        </is>
      </c>
      <c r="G1044" t="inlineStr">
        <is>
          <t>Chopeiras</t>
        </is>
      </c>
      <c r="H1044" s="10" t="n">
        <v>85</v>
      </c>
      <c r="I1044" s="10">
        <f>IFERROR(T1044*H1044,0)</f>
        <v/>
      </c>
      <c r="J1044" s="11" t="n">
        <v>46096</v>
      </c>
      <c r="K1044" s="11" t="n">
        <v>46143</v>
      </c>
      <c r="L1044" t="inlineStr">
        <is>
          <t>Ok. Devolvida</t>
        </is>
      </c>
      <c r="M1044">
        <f>IF(L1044="","",IFERROR(VLOOKUP(L1044,mapGrupoStatus,2,0),"Outros"))</f>
        <v/>
      </c>
      <c r="N1044">
        <f>IF(O1044="","",IF(O1044&lt;=30,"0-30 dias",IF(O1044&lt;=60,"31-60 dias",IF(O1044&lt;=90,"61-90 dias","Mais de 90 dias"))))</f>
        <v/>
      </c>
      <c r="O1044">
        <f>IF(OR(M1044="Pendente",M1044="Em andamento"),IF(J1044="","",TODAY()-J1044),"")</f>
        <v/>
      </c>
      <c r="P1044" t="n">
        <v>10504</v>
      </c>
      <c r="Q1044" t="inlineStr">
        <is>
          <t>Zero Grau Ltda (10504)</t>
        </is>
      </c>
      <c r="R1044" t="inlineStr">
        <is>
          <t>PC-0035</t>
        </is>
      </c>
      <c r="S1044" t="inlineStr">
        <is>
          <t>Válvula extratora modelo 01</t>
        </is>
      </c>
      <c r="T1044" t="n">
        <v>1</v>
      </c>
      <c r="U1044" t="n">
        <v>138</v>
      </c>
      <c r="V1044">
        <f>IF(J1044="","",MONTH(J1044))</f>
        <v/>
      </c>
      <c r="W1044">
        <f>IF(J1044="","",YEAR(J1044))</f>
        <v/>
      </c>
      <c r="X1044" t="inlineStr">
        <is>
          <t>EntregaJá</t>
        </is>
      </c>
      <c r="Y1044">
        <f>IFERROR(INDEX(Rastreio!$H$2:$H$200,MATCH(X1044&amp;"|"&amp;U1044,Rastreio!$A$2:$A$200,0)),"")</f>
        <v/>
      </c>
    </row>
    <row r="1045">
      <c r="A1045">
        <f>IFERROR(INDEX(STAs!$G$2:$G$61,MATCH(P1045,STAs!$F$2:$F$61,0))&amp;"","")</f>
        <v/>
      </c>
      <c r="B1045" t="n">
        <v>20025975</v>
      </c>
      <c r="C1045" t="inlineStr">
        <is>
          <t>Não</t>
        </is>
      </c>
      <c r="D1045" t="inlineStr">
        <is>
          <t>MS</t>
        </is>
      </c>
      <c r="E1045" t="inlineStr">
        <is>
          <t>CENTRO OESTE</t>
        </is>
      </c>
      <c r="F1045" t="inlineStr">
        <is>
          <t>Cliente B - Chopeira</t>
        </is>
      </c>
      <c r="G1045" t="inlineStr">
        <is>
          <t>Chopeiras</t>
        </is>
      </c>
      <c r="H1045" s="10" t="n">
        <v>215</v>
      </c>
      <c r="I1045" s="10">
        <f>IFERROR(T1045*H1045,0)</f>
        <v/>
      </c>
      <c r="J1045" s="11" t="n">
        <v>46096</v>
      </c>
      <c r="K1045" s="11" t="n">
        <v>46155</v>
      </c>
      <c r="L1045" t="inlineStr">
        <is>
          <t>Ok. Devolvida</t>
        </is>
      </c>
      <c r="M1045">
        <f>IF(L1045="","",IFERROR(VLOOKUP(L1045,mapGrupoStatus,2,0),"Outros"))</f>
        <v/>
      </c>
      <c r="N1045">
        <f>IF(O1045="","",IF(O1045&lt;=30,"0-30 dias",IF(O1045&lt;=60,"31-60 dias",IF(O1045&lt;=90,"61-90 dias","Mais de 90 dias"))))</f>
        <v/>
      </c>
      <c r="O1045">
        <f>IF(OR(M1045="Pendente",M1045="Em andamento"),IF(J1045="","",TODAY()-J1045),"")</f>
        <v/>
      </c>
      <c r="P1045" t="n">
        <v>12280</v>
      </c>
      <c r="Q1045" t="inlineStr">
        <is>
          <t>Termotec &amp; Cia (12280)</t>
        </is>
      </c>
      <c r="R1045" t="inlineStr">
        <is>
          <t>PC-0030</t>
        </is>
      </c>
      <c r="S1045" t="inlineStr">
        <is>
          <t>Serpentina modelo 02</t>
        </is>
      </c>
      <c r="T1045" t="n">
        <v>3</v>
      </c>
      <c r="U1045" t="n">
        <v>145</v>
      </c>
      <c r="V1045">
        <f>IF(J1045="","",MONTH(J1045))</f>
        <v/>
      </c>
      <c r="W1045">
        <f>IF(J1045="","",YEAR(J1045))</f>
        <v/>
      </c>
      <c r="X1045" t="inlineStr">
        <is>
          <t>RotaSul</t>
        </is>
      </c>
      <c r="Y1045">
        <f>IFERROR(INDEX(Rastreio!$H$2:$H$200,MATCH(X1045&amp;"|"&amp;U1045,Rastreio!$A$2:$A$200,0)),"")</f>
        <v/>
      </c>
    </row>
    <row r="1046">
      <c r="A1046">
        <f>IFERROR(INDEX(STAs!$G$2:$G$61,MATCH(P1046,STAs!$F$2:$F$61,0))&amp;"","")</f>
        <v/>
      </c>
      <c r="B1046" t="n">
        <v>20039220</v>
      </c>
      <c r="C1046" t="inlineStr">
        <is>
          <t>Não</t>
        </is>
      </c>
      <c r="D1046" t="inlineStr">
        <is>
          <t>AC</t>
        </is>
      </c>
      <c r="E1046" t="inlineStr">
        <is>
          <t>NORTE</t>
        </is>
      </c>
      <c r="F1046" t="inlineStr">
        <is>
          <t>Cliente B - Chopeira</t>
        </is>
      </c>
      <c r="G1046" t="inlineStr">
        <is>
          <t>Misturadores</t>
        </is>
      </c>
      <c r="H1046" s="10" t="n">
        <v>255</v>
      </c>
      <c r="I1046" s="10">
        <f>IFERROR(T1046*H1046,0)</f>
        <v/>
      </c>
      <c r="J1046" s="11" t="n">
        <v>46096</v>
      </c>
      <c r="K1046" s="11" t="n"/>
      <c r="L1046" t="inlineStr">
        <is>
          <t>Não Devolve-Norte</t>
        </is>
      </c>
      <c r="M1046">
        <f>IF(L1046="","",IFERROR(VLOOKUP(L1046,mapGrupoStatus,2,0),"Outros"))</f>
        <v/>
      </c>
      <c r="N1046">
        <f>IF(O1046="","",IF(O1046&lt;=30,"0-30 dias",IF(O1046&lt;=60,"31-60 dias",IF(O1046&lt;=90,"61-90 dias","Mais de 90 dias"))))</f>
        <v/>
      </c>
      <c r="O1046">
        <f>IF(OR(M1046="Pendente",M1046="Em andamento"),IF(J1046="","",TODAY()-J1046),"")</f>
        <v/>
      </c>
      <c r="P1046" t="n">
        <v>10372</v>
      </c>
      <c r="Q1046" t="inlineStr">
        <is>
          <t>Zero Grau ME (10372)</t>
        </is>
      </c>
      <c r="R1046" t="inlineStr">
        <is>
          <t>PC-0039</t>
        </is>
      </c>
      <c r="S1046" t="inlineStr">
        <is>
          <t>Bomba de recirculação modelo 03</t>
        </is>
      </c>
      <c r="T1046" t="n">
        <v>1</v>
      </c>
      <c r="U1046" t="inlineStr"/>
      <c r="V1046">
        <f>IF(J1046="","",MONTH(J1046))</f>
        <v/>
      </c>
      <c r="W1046">
        <f>IF(J1046="","",YEAR(J1046))</f>
        <v/>
      </c>
      <c r="X1046" t="inlineStr"/>
      <c r="Y1046">
        <f>IFERROR(INDEX(Rastreio!$H$2:$H$200,MATCH(X1046&amp;"|"&amp;U1046,Rastreio!$A$2:$A$200,0)),"")</f>
        <v/>
      </c>
    </row>
    <row r="1047">
      <c r="A1047">
        <f>IFERROR(INDEX(STAs!$G$2:$G$61,MATCH(P1047,STAs!$F$2:$F$61,0))&amp;"","")</f>
        <v/>
      </c>
      <c r="B1047" t="n">
        <v>20000988</v>
      </c>
      <c r="C1047" t="inlineStr">
        <is>
          <t>Não</t>
        </is>
      </c>
      <c r="D1047" t="inlineStr">
        <is>
          <t>PR</t>
        </is>
      </c>
      <c r="E1047" t="inlineStr">
        <is>
          <t>SUL</t>
        </is>
      </c>
      <c r="F1047" t="inlineStr">
        <is>
          <t>Cliente C - Misturador</t>
        </is>
      </c>
      <c r="G1047" t="inlineStr">
        <is>
          <t>Refrigeradores</t>
        </is>
      </c>
      <c r="H1047" s="10" t="n">
        <v>35</v>
      </c>
      <c r="I1047" s="10">
        <f>IFERROR(T1047*H1047,0)</f>
        <v/>
      </c>
      <c r="J1047" s="11" t="n">
        <v>46097</v>
      </c>
      <c r="K1047" s="11" t="n">
        <v>46151</v>
      </c>
      <c r="L1047" t="inlineStr">
        <is>
          <t>Ok. Devolvida</t>
        </is>
      </c>
      <c r="M1047">
        <f>IF(L1047="","",IFERROR(VLOOKUP(L1047,mapGrupoStatus,2,0),"Outros"))</f>
        <v/>
      </c>
      <c r="N1047">
        <f>IF(O1047="","",IF(O1047&lt;=30,"0-30 dias",IF(O1047&lt;=60,"31-60 dias",IF(O1047&lt;=90,"61-90 dias","Mais de 90 dias"))))</f>
        <v/>
      </c>
      <c r="O1047">
        <f>IF(OR(M1047="Pendente",M1047="Em andamento"),IF(J1047="","",TODAY()-J1047),"")</f>
        <v/>
      </c>
      <c r="P1047" t="n">
        <v>12089</v>
      </c>
      <c r="Q1047" t="inlineStr">
        <is>
          <t>Termotec Serviços (12089)</t>
        </is>
      </c>
      <c r="R1047" t="inlineStr">
        <is>
          <t>PC-0016</t>
        </is>
      </c>
      <c r="S1047" t="inlineStr">
        <is>
          <t>Filtro secador modelo 02</t>
        </is>
      </c>
      <c r="T1047" t="n">
        <v>1</v>
      </c>
      <c r="U1047" t="n">
        <v>105</v>
      </c>
      <c r="V1047">
        <f>IF(J1047="","",MONTH(J1047))</f>
        <v/>
      </c>
      <c r="W1047">
        <f>IF(J1047="","",YEAR(J1047))</f>
        <v/>
      </c>
      <c r="X1047" t="inlineStr">
        <is>
          <t>RotaSul</t>
        </is>
      </c>
      <c r="Y1047">
        <f>IFERROR(INDEX(Rastreio!$H$2:$H$200,MATCH(X1047&amp;"|"&amp;U1047,Rastreio!$A$2:$A$200,0)),"")</f>
        <v/>
      </c>
    </row>
    <row r="1048">
      <c r="A1048">
        <f>IFERROR(INDEX(STAs!$G$2:$G$61,MATCH(P1048,STAs!$F$2:$F$61,0))&amp;"","")</f>
        <v/>
      </c>
      <c r="B1048" t="n">
        <v>20001210</v>
      </c>
      <c r="C1048" t="inlineStr">
        <is>
          <t>Não</t>
        </is>
      </c>
      <c r="D1048" t="inlineStr">
        <is>
          <t>RS</t>
        </is>
      </c>
      <c r="E1048" t="inlineStr">
        <is>
          <t>SUL</t>
        </is>
      </c>
      <c r="F1048" t="inlineStr">
        <is>
          <t>Cliente A - Refrigerador</t>
        </is>
      </c>
      <c r="G1048" t="inlineStr">
        <is>
          <t>Refrigeradores</t>
        </is>
      </c>
      <c r="H1048" s="10" t="n">
        <v>35</v>
      </c>
      <c r="I1048" s="10">
        <f>IFERROR(T1048*H1048,0)</f>
        <v/>
      </c>
      <c r="J1048" s="11" t="n">
        <v>46097</v>
      </c>
      <c r="K1048" s="11" t="n"/>
      <c r="L1048" t="inlineStr">
        <is>
          <t>Aguardando devolução</t>
        </is>
      </c>
      <c r="M1048">
        <f>IF(L1048="","",IFERROR(VLOOKUP(L1048,mapGrupoStatus,2,0),"Outros"))</f>
        <v/>
      </c>
      <c r="N1048">
        <f>IF(O1048="","",IF(O1048&lt;=30,"0-30 dias",IF(O1048&lt;=60,"31-60 dias",IF(O1048&lt;=90,"61-90 dias","Mais de 90 dias"))))</f>
        <v/>
      </c>
      <c r="O1048">
        <f>IF(OR(M1048="Pendente",M1048="Em andamento"),IF(J1048="","",TODAY()-J1048),"")</f>
        <v/>
      </c>
      <c r="P1048" t="n">
        <v>12617</v>
      </c>
      <c r="Q1048" t="inlineStr">
        <is>
          <t>Gelo Manutenção (12617)</t>
        </is>
      </c>
      <c r="R1048" t="inlineStr">
        <is>
          <t>PC-0020</t>
        </is>
      </c>
      <c r="S1048" t="inlineStr">
        <is>
          <t>Gaxeta da porta modelo 03</t>
        </is>
      </c>
      <c r="T1048" t="n">
        <v>1</v>
      </c>
      <c r="U1048" t="inlineStr"/>
      <c r="V1048">
        <f>IF(J1048="","",MONTH(J1048))</f>
        <v/>
      </c>
      <c r="W1048">
        <f>IF(J1048="","",YEAR(J1048))</f>
        <v/>
      </c>
      <c r="X1048" t="inlineStr"/>
      <c r="Y1048">
        <f>IFERROR(INDEX(Rastreio!$H$2:$H$200,MATCH(X1048&amp;"|"&amp;U1048,Rastreio!$A$2:$A$200,0)),"")</f>
        <v/>
      </c>
    </row>
    <row r="1049">
      <c r="A1049">
        <f>IFERROR(INDEX(STAs!$G$2:$G$61,MATCH(P1049,STAs!$F$2:$F$61,0))&amp;"","")</f>
        <v/>
      </c>
      <c r="B1049" t="n">
        <v>20006004</v>
      </c>
      <c r="C1049" t="inlineStr">
        <is>
          <t>Não</t>
        </is>
      </c>
      <c r="D1049" t="inlineStr">
        <is>
          <t>BA</t>
        </is>
      </c>
      <c r="E1049" t="inlineStr">
        <is>
          <t>NORDESTE</t>
        </is>
      </c>
      <c r="F1049" t="inlineStr">
        <is>
          <t>Cliente C - Misturador</t>
        </is>
      </c>
      <c r="G1049" t="inlineStr">
        <is>
          <t>Refrigeradores</t>
        </is>
      </c>
      <c r="H1049" s="10" t="n">
        <v>70</v>
      </c>
      <c r="I1049" s="10">
        <f>IFERROR(T1049*H1049,0)</f>
        <v/>
      </c>
      <c r="J1049" s="11" t="n">
        <v>46097</v>
      </c>
      <c r="K1049" s="11" t="n"/>
      <c r="L1049" t="inlineStr">
        <is>
          <t>Não Devolve-Norte</t>
        </is>
      </c>
      <c r="M1049">
        <f>IF(L1049="","",IFERROR(VLOOKUP(L1049,mapGrupoStatus,2,0),"Outros"))</f>
        <v/>
      </c>
      <c r="N1049">
        <f>IF(O1049="","",IF(O1049&lt;=30,"0-30 dias",IF(O1049&lt;=60,"31-60 dias",IF(O1049&lt;=90,"61-90 dias","Mais de 90 dias"))))</f>
        <v/>
      </c>
      <c r="O1049">
        <f>IF(OR(M1049="Pendente",M1049="Em andamento"),IF(J1049="","",TODAY()-J1049),"")</f>
        <v/>
      </c>
      <c r="P1049" t="n">
        <v>11538</v>
      </c>
      <c r="Q1049" t="inlineStr">
        <is>
          <t>Clima Manutenção (11538)</t>
        </is>
      </c>
      <c r="R1049" t="inlineStr">
        <is>
          <t>PC-0009</t>
        </is>
      </c>
      <c r="S1049" t="inlineStr">
        <is>
          <t>Ventilador modelo 03</t>
        </is>
      </c>
      <c r="T1049" t="n">
        <v>1</v>
      </c>
      <c r="U1049" t="inlineStr"/>
      <c r="V1049">
        <f>IF(J1049="","",MONTH(J1049))</f>
        <v/>
      </c>
      <c r="W1049">
        <f>IF(J1049="","",YEAR(J1049))</f>
        <v/>
      </c>
      <c r="X1049" t="inlineStr"/>
      <c r="Y1049">
        <f>IFERROR(INDEX(Rastreio!$H$2:$H$200,MATCH(X1049&amp;"|"&amp;U1049,Rastreio!$A$2:$A$200,0)),"")</f>
        <v/>
      </c>
    </row>
    <row r="1050">
      <c r="A1050">
        <f>IFERROR(INDEX(STAs!$G$2:$G$61,MATCH(P1050,STAs!$F$2:$F$61,0))&amp;"","")</f>
        <v/>
      </c>
      <c r="B1050" t="n">
        <v>20006394</v>
      </c>
      <c r="C1050" t="inlineStr">
        <is>
          <t>Não</t>
        </is>
      </c>
      <c r="D1050" t="inlineStr">
        <is>
          <t>MG</t>
        </is>
      </c>
      <c r="E1050" t="inlineStr">
        <is>
          <t>SUDESTE MG</t>
        </is>
      </c>
      <c r="F1050" t="inlineStr">
        <is>
          <t>Cliente B - Chopeira</t>
        </is>
      </c>
      <c r="G1050" t="inlineStr">
        <is>
          <t>Refrigeradores</t>
        </is>
      </c>
      <c r="H1050" s="10" t="n">
        <v>40</v>
      </c>
      <c r="I1050" s="10">
        <f>IFERROR(T1050*H1050,0)</f>
        <v/>
      </c>
      <c r="J1050" s="11" t="n">
        <v>46097</v>
      </c>
      <c r="K1050" s="11" t="n">
        <v>46153</v>
      </c>
      <c r="L1050" t="inlineStr">
        <is>
          <t>Ok. Devolvida</t>
        </is>
      </c>
      <c r="M1050">
        <f>IF(L1050="","",IFERROR(VLOOKUP(L1050,mapGrupoStatus,2,0),"Outros"))</f>
        <v/>
      </c>
      <c r="N1050">
        <f>IF(O1050="","",IF(O1050&lt;=30,"0-30 dias",IF(O1050&lt;=60,"31-60 dias",IF(O1050&lt;=90,"61-90 dias","Mais de 90 dias"))))</f>
        <v/>
      </c>
      <c r="O1050">
        <f>IF(OR(M1050="Pendente",M1050="Em andamento"),IF(J1050="","",TODAY()-J1050),"")</f>
        <v/>
      </c>
      <c r="P1050" t="n">
        <v>11494</v>
      </c>
      <c r="Q1050" t="inlineStr">
        <is>
          <t>Clima Técnica (11494)</t>
        </is>
      </c>
      <c r="R1050" t="inlineStr">
        <is>
          <t>PC-0005</t>
        </is>
      </c>
      <c r="S1050" t="inlineStr">
        <is>
          <t>Termostato modelo 02</t>
        </is>
      </c>
      <c r="T1050" t="n">
        <v>2</v>
      </c>
      <c r="U1050" t="n">
        <v>109</v>
      </c>
      <c r="V1050">
        <f>IF(J1050="","",MONTH(J1050))</f>
        <v/>
      </c>
      <c r="W1050">
        <f>IF(J1050="","",YEAR(J1050))</f>
        <v/>
      </c>
      <c r="X1050" t="inlineStr">
        <is>
          <t>LogExpress</t>
        </is>
      </c>
      <c r="Y1050">
        <f>IFERROR(INDEX(Rastreio!$H$2:$H$200,MATCH(X1050&amp;"|"&amp;U1050,Rastreio!$A$2:$A$200,0)),"")</f>
        <v/>
      </c>
    </row>
    <row r="1051">
      <c r="A1051">
        <f>IFERROR(INDEX(STAs!$G$2:$G$61,MATCH(P1051,STAs!$F$2:$F$61,0))&amp;"","")</f>
        <v/>
      </c>
      <c r="B1051" t="n">
        <v>20008035</v>
      </c>
      <c r="C1051" t="inlineStr">
        <is>
          <t>Sim</t>
        </is>
      </c>
      <c r="D1051" t="inlineStr">
        <is>
          <t>PR</t>
        </is>
      </c>
      <c r="E1051" t="inlineStr">
        <is>
          <t>SUL</t>
        </is>
      </c>
      <c r="F1051" t="inlineStr">
        <is>
          <t>Cliente A - Refrigerador</t>
        </is>
      </c>
      <c r="G1051" t="inlineStr">
        <is>
          <t>Chopeiras</t>
        </is>
      </c>
      <c r="H1051" s="10" t="n">
        <v>100</v>
      </c>
      <c r="I1051" s="10">
        <f>IFERROR(T1051*H1051,0)</f>
        <v/>
      </c>
      <c r="J1051" s="11" t="n">
        <v>46097</v>
      </c>
      <c r="K1051" s="11" t="n"/>
      <c r="L1051" t="inlineStr">
        <is>
          <t>Em andamento</t>
        </is>
      </c>
      <c r="M1051">
        <f>IF(L1051="","",IFERROR(VLOOKUP(L1051,mapGrupoStatus,2,0),"Outros"))</f>
        <v/>
      </c>
      <c r="N1051">
        <f>IF(O1051="","",IF(O1051&lt;=30,"0-30 dias",IF(O1051&lt;=60,"31-60 dias",IF(O1051&lt;=90,"61-90 dias","Mais de 90 dias"))))</f>
        <v/>
      </c>
      <c r="O1051">
        <f>IF(OR(M1051="Pendente",M1051="Em andamento"),IF(J1051="","",TODAY()-J1051),"")</f>
        <v/>
      </c>
      <c r="P1051" t="n">
        <v>12724</v>
      </c>
      <c r="Q1051" t="inlineStr">
        <is>
          <t>Cool Service &amp; Cia (12724)</t>
        </is>
      </c>
      <c r="R1051" t="inlineStr">
        <is>
          <t>PC-0027</t>
        </is>
      </c>
      <c r="S1051" t="inlineStr">
        <is>
          <t>Torneira de chopp modelo 02</t>
        </is>
      </c>
      <c r="T1051" t="n">
        <v>1</v>
      </c>
      <c r="U1051" t="n">
        <v>114</v>
      </c>
      <c r="V1051">
        <f>IF(J1051="","",MONTH(J1051))</f>
        <v/>
      </c>
      <c r="W1051">
        <f>IF(J1051="","",YEAR(J1051))</f>
        <v/>
      </c>
      <c r="X1051" t="inlineStr">
        <is>
          <t>CargoMax</t>
        </is>
      </c>
      <c r="Y1051">
        <f>IFERROR(INDEX(Rastreio!$H$2:$H$200,MATCH(X1051&amp;"|"&amp;U1051,Rastreio!$A$2:$A$200,0)),"")</f>
        <v/>
      </c>
    </row>
    <row r="1052">
      <c r="A1052">
        <f>IFERROR(INDEX(STAs!$G$2:$G$61,MATCH(P1052,STAs!$F$2:$F$61,0))&amp;"","")</f>
        <v/>
      </c>
      <c r="B1052" t="n">
        <v>20009318</v>
      </c>
      <c r="C1052" t="inlineStr">
        <is>
          <t>Sim</t>
        </is>
      </c>
      <c r="D1052" t="inlineStr">
        <is>
          <t>PR</t>
        </is>
      </c>
      <c r="E1052" t="inlineStr">
        <is>
          <t>SUL</t>
        </is>
      </c>
      <c r="F1052" t="inlineStr">
        <is>
          <t>Cliente B - Chopeira</t>
        </is>
      </c>
      <c r="G1052" t="inlineStr">
        <is>
          <t>Refrigeradores</t>
        </is>
      </c>
      <c r="H1052" s="10" t="n">
        <v>155</v>
      </c>
      <c r="I1052" s="10">
        <f>IFERROR(T1052*H1052,0)</f>
        <v/>
      </c>
      <c r="J1052" s="11" t="n">
        <v>46097</v>
      </c>
      <c r="K1052" s="11" t="n">
        <v>46140</v>
      </c>
      <c r="L1052" t="inlineStr">
        <is>
          <t>Ok. Devolvida</t>
        </is>
      </c>
      <c r="M1052">
        <f>IF(L1052="","",IFERROR(VLOOKUP(L1052,mapGrupoStatus,2,0),"Outros"))</f>
        <v/>
      </c>
      <c r="N1052">
        <f>IF(O1052="","",IF(O1052&lt;=30,"0-30 dias",IF(O1052&lt;=60,"31-60 dias",IF(O1052&lt;=90,"61-90 dias","Mais de 90 dias"))))</f>
        <v/>
      </c>
      <c r="O1052">
        <f>IF(OR(M1052="Pendente",M1052="Em andamento"),IF(J1052="","",TODAY()-J1052),"")</f>
        <v/>
      </c>
      <c r="P1052" t="n">
        <v>12724</v>
      </c>
      <c r="Q1052" t="inlineStr">
        <is>
          <t>Cool Service &amp; Cia (12724)</t>
        </is>
      </c>
      <c r="R1052" t="inlineStr">
        <is>
          <t>PC-0021</t>
        </is>
      </c>
      <c r="S1052" t="inlineStr">
        <is>
          <t>Controlador digital modelo 01</t>
        </is>
      </c>
      <c r="T1052" t="n">
        <v>1</v>
      </c>
      <c r="U1052" t="n">
        <v>118</v>
      </c>
      <c r="V1052">
        <f>IF(J1052="","",MONTH(J1052))</f>
        <v/>
      </c>
      <c r="W1052">
        <f>IF(J1052="","",YEAR(J1052))</f>
        <v/>
      </c>
      <c r="X1052" t="inlineStr">
        <is>
          <t>EntregaJá</t>
        </is>
      </c>
      <c r="Y1052">
        <f>IFERROR(INDEX(Rastreio!$H$2:$H$200,MATCH(X1052&amp;"|"&amp;U1052,Rastreio!$A$2:$A$200,0)),"")</f>
        <v/>
      </c>
    </row>
    <row r="1053">
      <c r="A1053">
        <f>IFERROR(INDEX(STAs!$G$2:$G$61,MATCH(P1053,STAs!$F$2:$F$61,0))&amp;"","")</f>
        <v/>
      </c>
      <c r="B1053" t="n">
        <v>20020846</v>
      </c>
      <c r="C1053" t="inlineStr">
        <is>
          <t>Não</t>
        </is>
      </c>
      <c r="D1053" t="inlineStr">
        <is>
          <t>PR</t>
        </is>
      </c>
      <c r="E1053" t="inlineStr">
        <is>
          <t>SUL</t>
        </is>
      </c>
      <c r="F1053" t="inlineStr">
        <is>
          <t>Cliente B - Chopeira</t>
        </is>
      </c>
      <c r="G1053" t="inlineStr">
        <is>
          <t>Refrigeradores</t>
        </is>
      </c>
      <c r="H1053" s="10" t="n">
        <v>325</v>
      </c>
      <c r="I1053" s="10">
        <f>IFERROR(T1053*H1053,0)</f>
        <v/>
      </c>
      <c r="J1053" s="11" t="n">
        <v>46097</v>
      </c>
      <c r="K1053" s="11" t="n">
        <v>46129</v>
      </c>
      <c r="L1053" t="inlineStr">
        <is>
          <t>Ok. Devolvida</t>
        </is>
      </c>
      <c r="M1053">
        <f>IF(L1053="","",IFERROR(VLOOKUP(L1053,mapGrupoStatus,2,0),"Outros"))</f>
        <v/>
      </c>
      <c r="N1053">
        <f>IF(O1053="","",IF(O1053&lt;=30,"0-30 dias",IF(O1053&lt;=60,"31-60 dias",IF(O1053&lt;=90,"61-90 dias","Mais de 90 dias"))))</f>
        <v/>
      </c>
      <c r="O1053">
        <f>IF(OR(M1053="Pendente",M1053="Em andamento"),IF(J1053="","",TODAY()-J1053),"")</f>
        <v/>
      </c>
      <c r="P1053" t="n">
        <v>11898</v>
      </c>
      <c r="Q1053" t="inlineStr">
        <is>
          <t>Refrigel Express (11898)</t>
        </is>
      </c>
      <c r="R1053" t="inlineStr">
        <is>
          <t>PC-0001</t>
        </is>
      </c>
      <c r="S1053" t="inlineStr">
        <is>
          <t>Compressor modelo 01</t>
        </is>
      </c>
      <c r="T1053" t="n">
        <v>1</v>
      </c>
      <c r="U1053" t="n">
        <v>138</v>
      </c>
      <c r="V1053">
        <f>IF(J1053="","",MONTH(J1053))</f>
        <v/>
      </c>
      <c r="W1053">
        <f>IF(J1053="","",YEAR(J1053))</f>
        <v/>
      </c>
      <c r="X1053" t="inlineStr">
        <is>
          <t>CargoMax</t>
        </is>
      </c>
      <c r="Y1053">
        <f>IFERROR(INDEX(Rastreio!$H$2:$H$200,MATCH(X1053&amp;"|"&amp;U1053,Rastreio!$A$2:$A$200,0)),"")</f>
        <v/>
      </c>
    </row>
    <row r="1054">
      <c r="A1054">
        <f>IFERROR(INDEX(STAs!$G$2:$G$61,MATCH(P1054,STAs!$F$2:$F$61,0))&amp;"","")</f>
        <v/>
      </c>
      <c r="B1054" t="n">
        <v>20022466</v>
      </c>
      <c r="C1054" t="inlineStr">
        <is>
          <t>Não</t>
        </is>
      </c>
      <c r="D1054" t="inlineStr">
        <is>
          <t>SP</t>
        </is>
      </c>
      <c r="E1054" t="inlineStr">
        <is>
          <t>SUDESTE SP</t>
        </is>
      </c>
      <c r="F1054" t="inlineStr">
        <is>
          <t>Cliente A - Refrigerador</t>
        </is>
      </c>
      <c r="G1054" t="inlineStr">
        <is>
          <t>Chopeiras</t>
        </is>
      </c>
      <c r="H1054" s="10" t="n">
        <v>85</v>
      </c>
      <c r="I1054" s="10">
        <f>IFERROR(T1054*H1054,0)</f>
        <v/>
      </c>
      <c r="J1054" s="11" t="n">
        <v>46097</v>
      </c>
      <c r="K1054" s="11" t="n">
        <v>46143</v>
      </c>
      <c r="L1054" t="inlineStr">
        <is>
          <t>Ok. Devolvida</t>
        </is>
      </c>
      <c r="M1054">
        <f>IF(L1054="","",IFERROR(VLOOKUP(L1054,mapGrupoStatus,2,0),"Outros"))</f>
        <v/>
      </c>
      <c r="N1054">
        <f>IF(O1054="","",IF(O1054&lt;=30,"0-30 dias",IF(O1054&lt;=60,"31-60 dias",IF(O1054&lt;=90,"61-90 dias","Mais de 90 dias"))))</f>
        <v/>
      </c>
      <c r="O1054">
        <f>IF(OR(M1054="Pendente",M1054="Em andamento"),IF(J1054="","",TODAY()-J1054),"")</f>
        <v/>
      </c>
      <c r="P1054" t="n">
        <v>11365</v>
      </c>
      <c r="Q1054" t="inlineStr">
        <is>
          <t>Ártico Express (11365)</t>
        </is>
      </c>
      <c r="R1054" t="inlineStr">
        <is>
          <t>PC-0026</t>
        </is>
      </c>
      <c r="S1054" t="inlineStr">
        <is>
          <t>Torneira de chopp modelo 01</t>
        </is>
      </c>
      <c r="T1054" t="n">
        <v>3</v>
      </c>
      <c r="U1054" t="n">
        <v>141</v>
      </c>
      <c r="V1054">
        <f>IF(J1054="","",MONTH(J1054))</f>
        <v/>
      </c>
      <c r="W1054">
        <f>IF(J1054="","",YEAR(J1054))</f>
        <v/>
      </c>
      <c r="X1054" t="inlineStr">
        <is>
          <t>CargoMax</t>
        </is>
      </c>
      <c r="Y1054">
        <f>IFERROR(INDEX(Rastreio!$H$2:$H$200,MATCH(X1054&amp;"|"&amp;U1054,Rastreio!$A$2:$A$200,0)),"")</f>
        <v/>
      </c>
    </row>
    <row r="1055">
      <c r="A1055">
        <f>IFERROR(INDEX(STAs!$G$2:$G$61,MATCH(P1055,STAs!$F$2:$F$61,0))&amp;"","")</f>
        <v/>
      </c>
      <c r="B1055" t="n">
        <v>20039490</v>
      </c>
      <c r="C1055" t="inlineStr">
        <is>
          <t>Não</t>
        </is>
      </c>
      <c r="D1055" t="inlineStr">
        <is>
          <t>PI</t>
        </is>
      </c>
      <c r="E1055" t="inlineStr">
        <is>
          <t>NORDESTE</t>
        </is>
      </c>
      <c r="F1055" t="inlineStr">
        <is>
          <t>Cliente A - Refrigerador</t>
        </is>
      </c>
      <c r="G1055" t="inlineStr">
        <is>
          <t>Refrigeradores</t>
        </is>
      </c>
      <c r="H1055" s="10" t="n">
        <v>50</v>
      </c>
      <c r="I1055" s="10">
        <f>IFERROR(T1055*H1055,0)</f>
        <v/>
      </c>
      <c r="J1055" s="11" t="n">
        <v>46097</v>
      </c>
      <c r="K1055" s="11" t="n">
        <v>46116</v>
      </c>
      <c r="L1055" t="inlineStr">
        <is>
          <t>Ok. Devolvida</t>
        </is>
      </c>
      <c r="M1055">
        <f>IF(L1055="","",IFERROR(VLOOKUP(L1055,mapGrupoStatus,2,0),"Outros"))</f>
        <v/>
      </c>
      <c r="N1055">
        <f>IF(O1055="","",IF(O1055&lt;=30,"0-30 dias",IF(O1055&lt;=60,"31-60 dias",IF(O1055&lt;=90,"61-90 dias","Mais de 90 dias"))))</f>
        <v/>
      </c>
      <c r="O1055">
        <f>IF(OR(M1055="Pendente",M1055="Em andamento"),IF(J1055="","",TODAY()-J1055),"")</f>
        <v/>
      </c>
      <c r="P1055" t="n">
        <v>10562</v>
      </c>
      <c r="Q1055" t="inlineStr">
        <is>
          <t>Clima &amp; Cia (10562)</t>
        </is>
      </c>
      <c r="R1055" t="inlineStr">
        <is>
          <t>PC-0006</t>
        </is>
      </c>
      <c r="S1055" t="inlineStr">
        <is>
          <t>Termostato modelo 03</t>
        </is>
      </c>
      <c r="T1055" t="n">
        <v>3</v>
      </c>
      <c r="U1055" t="n">
        <v>172</v>
      </c>
      <c r="V1055">
        <f>IF(J1055="","",MONTH(J1055))</f>
        <v/>
      </c>
      <c r="W1055">
        <f>IF(J1055="","",YEAR(J1055))</f>
        <v/>
      </c>
      <c r="X1055" t="inlineStr">
        <is>
          <t>LogExpress</t>
        </is>
      </c>
      <c r="Y1055">
        <f>IFERROR(INDEX(Rastreio!$H$2:$H$200,MATCH(X1055&amp;"|"&amp;U1055,Rastreio!$A$2:$A$200,0)),"")</f>
        <v/>
      </c>
    </row>
    <row r="1056">
      <c r="A1056">
        <f>IFERROR(INDEX(STAs!$G$2:$G$61,MATCH(P1056,STAs!$F$2:$F$61,0))&amp;"","")</f>
        <v/>
      </c>
      <c r="B1056" t="n">
        <v>20011890</v>
      </c>
      <c r="C1056" t="inlineStr">
        <is>
          <t>Não</t>
        </is>
      </c>
      <c r="D1056" t="inlineStr">
        <is>
          <t>MS</t>
        </is>
      </c>
      <c r="E1056" t="inlineStr">
        <is>
          <t>CENTRO OESTE</t>
        </is>
      </c>
      <c r="F1056" t="inlineStr">
        <is>
          <t>Cliente B - Chopeira</t>
        </is>
      </c>
      <c r="G1056" t="inlineStr">
        <is>
          <t>Misturadores</t>
        </is>
      </c>
      <c r="H1056" s="10" t="n">
        <v>60</v>
      </c>
      <c r="I1056" s="10">
        <f>IFERROR(T1056*H1056,0)</f>
        <v/>
      </c>
      <c r="J1056" s="11" t="n">
        <v>46098</v>
      </c>
      <c r="K1056" s="11" t="n"/>
      <c r="L1056" t="inlineStr">
        <is>
          <t>Aguardando devolução</t>
        </is>
      </c>
      <c r="M1056">
        <f>IF(L1056="","",IFERROR(VLOOKUP(L1056,mapGrupoStatus,2,0),"Outros"))</f>
        <v/>
      </c>
      <c r="N1056">
        <f>IF(O1056="","",IF(O1056&lt;=30,"0-30 dias",IF(O1056&lt;=60,"31-60 dias",IF(O1056&lt;=90,"61-90 dias","Mais de 90 dias"))))</f>
        <v/>
      </c>
      <c r="O1056">
        <f>IF(OR(M1056="Pendente",M1056="Em andamento"),IF(J1056="","",TODAY()-J1056),"")</f>
        <v/>
      </c>
      <c r="P1056" t="n">
        <v>12280</v>
      </c>
      <c r="Q1056" t="inlineStr">
        <is>
          <t>Termotec &amp; Cia (12280)</t>
        </is>
      </c>
      <c r="R1056" t="inlineStr">
        <is>
          <t>PC-0046</t>
        </is>
      </c>
      <c r="S1056" t="inlineStr">
        <is>
          <t>Sensor de nível modelo 02</t>
        </is>
      </c>
      <c r="T1056" t="n">
        <v>1</v>
      </c>
      <c r="U1056" t="inlineStr"/>
      <c r="V1056">
        <f>IF(J1056="","",MONTH(J1056))</f>
        <v/>
      </c>
      <c r="W1056">
        <f>IF(J1056="","",YEAR(J1056))</f>
        <v/>
      </c>
      <c r="X1056" t="inlineStr"/>
      <c r="Y1056">
        <f>IFERROR(INDEX(Rastreio!$H$2:$H$200,MATCH(X1056&amp;"|"&amp;U1056,Rastreio!$A$2:$A$200,0)),"")</f>
        <v/>
      </c>
    </row>
    <row r="1057">
      <c r="A1057">
        <f>IFERROR(INDEX(STAs!$G$2:$G$61,MATCH(P1057,STAs!$F$2:$F$61,0))&amp;"","")</f>
        <v/>
      </c>
      <c r="B1057" t="n">
        <v>20020263</v>
      </c>
      <c r="C1057" t="inlineStr">
        <is>
          <t>Não</t>
        </is>
      </c>
      <c r="D1057" t="inlineStr">
        <is>
          <t>BA</t>
        </is>
      </c>
      <c r="E1057" t="inlineStr">
        <is>
          <t>NORDESTE</t>
        </is>
      </c>
      <c r="F1057" t="inlineStr">
        <is>
          <t>Cliente B - Chopeira</t>
        </is>
      </c>
      <c r="G1057" t="inlineStr">
        <is>
          <t>Chopeiras</t>
        </is>
      </c>
      <c r="H1057" s="10" t="n">
        <v>115</v>
      </c>
      <c r="I1057" s="10">
        <f>IFERROR(T1057*H1057,0)</f>
        <v/>
      </c>
      <c r="J1057" s="11" t="n">
        <v>46098</v>
      </c>
      <c r="K1057" s="11" t="n"/>
      <c r="L1057" t="inlineStr">
        <is>
          <t>Debitar do STA</t>
        </is>
      </c>
      <c r="M1057">
        <f>IF(L1057="","",IFERROR(VLOOKUP(L1057,mapGrupoStatus,2,0),"Outros"))</f>
        <v/>
      </c>
      <c r="N1057">
        <f>IF(O1057="","",IF(O1057&lt;=30,"0-30 dias",IF(O1057&lt;=60,"31-60 dias",IF(O1057&lt;=90,"61-90 dias","Mais de 90 dias"))))</f>
        <v/>
      </c>
      <c r="O1057">
        <f>IF(OR(M1057="Pendente",M1057="Em andamento"),IF(J1057="","",TODAY()-J1057),"")</f>
        <v/>
      </c>
      <c r="P1057" t="n">
        <v>11538</v>
      </c>
      <c r="Q1057" t="inlineStr">
        <is>
          <t>Clima Manutenção (11538)</t>
        </is>
      </c>
      <c r="R1057" t="inlineStr">
        <is>
          <t>PC-0033</t>
        </is>
      </c>
      <c r="S1057" t="inlineStr">
        <is>
          <t>Regulador de pressão modelo 02</t>
        </is>
      </c>
      <c r="T1057" t="n">
        <v>1</v>
      </c>
      <c r="U1057" t="inlineStr"/>
      <c r="V1057">
        <f>IF(J1057="","",MONTH(J1057))</f>
        <v/>
      </c>
      <c r="W1057">
        <f>IF(J1057="","",YEAR(J1057))</f>
        <v/>
      </c>
      <c r="X1057" t="inlineStr"/>
      <c r="Y1057">
        <f>IFERROR(INDEX(Rastreio!$H$2:$H$200,MATCH(X1057&amp;"|"&amp;U1057,Rastreio!$A$2:$A$200,0)),"")</f>
        <v/>
      </c>
    </row>
    <row r="1058">
      <c r="A1058">
        <f>IFERROR(INDEX(STAs!$G$2:$G$61,MATCH(P1058,STAs!$F$2:$F$61,0))&amp;"","")</f>
        <v/>
      </c>
      <c r="B1058" t="n">
        <v>20021675</v>
      </c>
      <c r="C1058" t="inlineStr">
        <is>
          <t>Não</t>
        </is>
      </c>
      <c r="D1058" t="inlineStr">
        <is>
          <t>SP</t>
        </is>
      </c>
      <c r="E1058" t="inlineStr">
        <is>
          <t>SUDESTE SP</t>
        </is>
      </c>
      <c r="F1058" t="inlineStr">
        <is>
          <t>Cliente A - Refrigerador</t>
        </is>
      </c>
      <c r="G1058" t="inlineStr">
        <is>
          <t>Refrigeradores</t>
        </is>
      </c>
      <c r="H1058" s="10" t="n">
        <v>185</v>
      </c>
      <c r="I1058" s="10">
        <f>IFERROR(T1058*H1058,0)</f>
        <v/>
      </c>
      <c r="J1058" s="11" t="n">
        <v>46098</v>
      </c>
      <c r="K1058" s="11" t="n">
        <v>46117</v>
      </c>
      <c r="L1058" t="inlineStr">
        <is>
          <t>Ok. Devolvida</t>
        </is>
      </c>
      <c r="M1058">
        <f>IF(L1058="","",IFERROR(VLOOKUP(L1058,mapGrupoStatus,2,0),"Outros"))</f>
        <v/>
      </c>
      <c r="N1058">
        <f>IF(O1058="","",IF(O1058&lt;=30,"0-30 dias",IF(O1058&lt;=60,"31-60 dias",IF(O1058&lt;=90,"61-90 dias","Mais de 90 dias"))))</f>
        <v/>
      </c>
      <c r="O1058">
        <f>IF(OR(M1058="Pendente",M1058="Em andamento"),IF(J1058="","",TODAY()-J1058),"")</f>
        <v/>
      </c>
      <c r="P1058" t="n">
        <v>10538</v>
      </c>
      <c r="Q1058" t="inlineStr">
        <is>
          <t>Frio Refrigeração (10538)</t>
        </is>
      </c>
      <c r="R1058" t="inlineStr">
        <is>
          <t>PC-0013</t>
        </is>
      </c>
      <c r="S1058" t="inlineStr">
        <is>
          <t>Placa eletrônica modelo 03</t>
        </is>
      </c>
      <c r="T1058" t="n">
        <v>1</v>
      </c>
      <c r="U1058" t="n">
        <v>137</v>
      </c>
      <c r="V1058">
        <f>IF(J1058="","",MONTH(J1058))</f>
        <v/>
      </c>
      <c r="W1058">
        <f>IF(J1058="","",YEAR(J1058))</f>
        <v/>
      </c>
      <c r="X1058" t="inlineStr">
        <is>
          <t>ViaCargo</t>
        </is>
      </c>
      <c r="Y1058">
        <f>IFERROR(INDEX(Rastreio!$H$2:$H$200,MATCH(X1058&amp;"|"&amp;U1058,Rastreio!$A$2:$A$200,0)),"")</f>
        <v/>
      </c>
    </row>
    <row r="1059">
      <c r="A1059">
        <f>IFERROR(INDEX(STAs!$G$2:$G$61,MATCH(P1059,STAs!$F$2:$F$61,0))&amp;"","")</f>
        <v/>
      </c>
      <c r="B1059" t="n">
        <v>20022929</v>
      </c>
      <c r="C1059" t="inlineStr">
        <is>
          <t>Não</t>
        </is>
      </c>
      <c r="D1059" t="inlineStr">
        <is>
          <t>RS</t>
        </is>
      </c>
      <c r="E1059" t="inlineStr">
        <is>
          <t>SUL</t>
        </is>
      </c>
      <c r="F1059" t="inlineStr">
        <is>
          <t>Cliente C - Misturador</t>
        </is>
      </c>
      <c r="G1059" t="inlineStr">
        <is>
          <t>Misturadores</t>
        </is>
      </c>
      <c r="H1059" s="10" t="n">
        <v>50</v>
      </c>
      <c r="I1059" s="10">
        <f>IFERROR(T1059*H1059,0)</f>
        <v/>
      </c>
      <c r="J1059" s="11" t="n">
        <v>46098</v>
      </c>
      <c r="K1059" s="11" t="n">
        <v>46115</v>
      </c>
      <c r="L1059" t="inlineStr">
        <is>
          <t>Ok. Devolvida</t>
        </is>
      </c>
      <c r="M1059">
        <f>IF(L1059="","",IFERROR(VLOOKUP(L1059,mapGrupoStatus,2,0),"Outros"))</f>
        <v/>
      </c>
      <c r="N1059">
        <f>IF(O1059="","",IF(O1059&lt;=30,"0-30 dias",IF(O1059&lt;=60,"31-60 dias",IF(O1059&lt;=90,"61-90 dias","Mais de 90 dias"))))</f>
        <v/>
      </c>
      <c r="O1059">
        <f>IF(OR(M1059="Pendente",M1059="Em andamento"),IF(J1059="","",TODAY()-J1059),"")</f>
        <v/>
      </c>
      <c r="P1059" t="n">
        <v>12617</v>
      </c>
      <c r="Q1059" t="inlineStr">
        <is>
          <t>Gelo Manutenção (12617)</t>
        </is>
      </c>
      <c r="R1059" t="inlineStr">
        <is>
          <t>PC-0045</t>
        </is>
      </c>
      <c r="S1059" t="inlineStr">
        <is>
          <t>Sensor de nível modelo 01</t>
        </is>
      </c>
      <c r="T1059" t="n">
        <v>2</v>
      </c>
      <c r="U1059" t="n">
        <v>134</v>
      </c>
      <c r="V1059">
        <f>IF(J1059="","",MONTH(J1059))</f>
        <v/>
      </c>
      <c r="W1059">
        <f>IF(J1059="","",YEAR(J1059))</f>
        <v/>
      </c>
      <c r="X1059" t="inlineStr">
        <is>
          <t>EntregaJá</t>
        </is>
      </c>
      <c r="Y1059">
        <f>IFERROR(INDEX(Rastreio!$H$2:$H$200,MATCH(X1059&amp;"|"&amp;U1059,Rastreio!$A$2:$A$200,0)),"")</f>
        <v/>
      </c>
    </row>
    <row r="1060">
      <c r="A1060">
        <f>IFERROR(INDEX(STAs!$G$2:$G$61,MATCH(P1060,STAs!$F$2:$F$61,0))&amp;"","")</f>
        <v/>
      </c>
      <c r="B1060" t="n">
        <v>20033536</v>
      </c>
      <c r="C1060" t="inlineStr">
        <is>
          <t>Não</t>
        </is>
      </c>
      <c r="D1060" t="inlineStr">
        <is>
          <t>RR</t>
        </is>
      </c>
      <c r="E1060" t="inlineStr">
        <is>
          <t>NORTE</t>
        </is>
      </c>
      <c r="F1060" t="inlineStr">
        <is>
          <t>Cliente C - Misturador</t>
        </is>
      </c>
      <c r="G1060" t="inlineStr">
        <is>
          <t>Misturadores</t>
        </is>
      </c>
      <c r="H1060" s="10" t="n">
        <v>60</v>
      </c>
      <c r="I1060" s="10">
        <f>IFERROR(T1060*H1060,0)</f>
        <v/>
      </c>
      <c r="J1060" s="11" t="n">
        <v>46098</v>
      </c>
      <c r="K1060" s="11" t="n"/>
      <c r="L1060" t="inlineStr">
        <is>
          <t>Em andamento</t>
        </is>
      </c>
      <c r="M1060">
        <f>IF(L1060="","",IFERROR(VLOOKUP(L1060,mapGrupoStatus,2,0),"Outros"))</f>
        <v/>
      </c>
      <c r="N1060">
        <f>IF(O1060="","",IF(O1060&lt;=30,"0-30 dias",IF(O1060&lt;=60,"31-60 dias",IF(O1060&lt;=90,"61-90 dias","Mais de 90 dias"))))</f>
        <v/>
      </c>
      <c r="O1060">
        <f>IF(OR(M1060="Pendente",M1060="Em andamento"),IF(J1060="","",TODAY()-J1060),"")</f>
        <v/>
      </c>
      <c r="P1060" t="n">
        <v>11818</v>
      </c>
      <c r="Q1060" t="inlineStr">
        <is>
          <t>Termotec Ltda (11818)</t>
        </is>
      </c>
      <c r="R1060" t="inlineStr">
        <is>
          <t>PC-0048</t>
        </is>
      </c>
      <c r="S1060" t="inlineStr">
        <is>
          <t>Sensor de nível modelo 04</t>
        </is>
      </c>
      <c r="T1060" t="n">
        <v>1</v>
      </c>
      <c r="U1060" t="n">
        <v>161</v>
      </c>
      <c r="V1060">
        <f>IF(J1060="","",MONTH(J1060))</f>
        <v/>
      </c>
      <c r="W1060">
        <f>IF(J1060="","",YEAR(J1060))</f>
        <v/>
      </c>
      <c r="X1060" t="inlineStr">
        <is>
          <t>TransNorte</t>
        </is>
      </c>
      <c r="Y1060">
        <f>IFERROR(INDEX(Rastreio!$H$2:$H$200,MATCH(X1060&amp;"|"&amp;U1060,Rastreio!$A$2:$A$200,0)),"")</f>
        <v/>
      </c>
    </row>
    <row r="1061">
      <c r="A1061">
        <f>IFERROR(INDEX(STAs!$G$2:$G$61,MATCH(P1061,STAs!$F$2:$F$61,0))&amp;"","")</f>
        <v/>
      </c>
      <c r="B1061" t="n">
        <v>20039318</v>
      </c>
      <c r="C1061" t="inlineStr">
        <is>
          <t>Não</t>
        </is>
      </c>
      <c r="D1061" t="inlineStr">
        <is>
          <t>RO</t>
        </is>
      </c>
      <c r="E1061" t="inlineStr">
        <is>
          <t>NORTE</t>
        </is>
      </c>
      <c r="F1061" t="inlineStr">
        <is>
          <t>Cliente A - Refrigerador</t>
        </is>
      </c>
      <c r="G1061" t="inlineStr">
        <is>
          <t>Refrigeradores</t>
        </is>
      </c>
      <c r="H1061" s="10" t="n">
        <v>35</v>
      </c>
      <c r="I1061" s="10">
        <f>IFERROR(T1061*H1061,0)</f>
        <v/>
      </c>
      <c r="J1061" s="11" t="n">
        <v>46098</v>
      </c>
      <c r="K1061" s="11" t="n"/>
      <c r="L1061" t="inlineStr">
        <is>
          <t>NF Vencida</t>
        </is>
      </c>
      <c r="M1061">
        <f>IF(L1061="","",IFERROR(VLOOKUP(L1061,mapGrupoStatus,2,0),"Outros"))</f>
        <v/>
      </c>
      <c r="N1061">
        <f>IF(O1061="","",IF(O1061&lt;=30,"0-30 dias",IF(O1061&lt;=60,"31-60 dias",IF(O1061&lt;=90,"61-90 dias","Mais de 90 dias"))))</f>
        <v/>
      </c>
      <c r="O1061">
        <f>IF(OR(M1061="Pendente",M1061="Em andamento"),IF(J1061="","",TODAY()-J1061),"")</f>
        <v/>
      </c>
      <c r="P1061" t="n">
        <v>10172</v>
      </c>
      <c r="Q1061" t="inlineStr">
        <is>
          <t>Frigo Serviços (10172)</t>
        </is>
      </c>
      <c r="R1061" t="inlineStr">
        <is>
          <t>PC-0023</t>
        </is>
      </c>
      <c r="S1061" t="inlineStr">
        <is>
          <t>Relé de partida modelo 01</t>
        </is>
      </c>
      <c r="T1061" t="n">
        <v>1</v>
      </c>
      <c r="U1061" t="inlineStr"/>
      <c r="V1061">
        <f>IF(J1061="","",MONTH(J1061))</f>
        <v/>
      </c>
      <c r="W1061">
        <f>IF(J1061="","",YEAR(J1061))</f>
        <v/>
      </c>
      <c r="X1061" t="inlineStr"/>
      <c r="Y1061">
        <f>IFERROR(INDEX(Rastreio!$H$2:$H$200,MATCH(X1061&amp;"|"&amp;U1061,Rastreio!$A$2:$A$200,0)),"")</f>
        <v/>
      </c>
    </row>
    <row r="1062">
      <c r="A1062">
        <f>IFERROR(INDEX(STAs!$G$2:$G$61,MATCH(P1062,STAs!$F$2:$F$61,0))&amp;"","")</f>
        <v/>
      </c>
      <c r="B1062" t="n">
        <v>20018712</v>
      </c>
      <c r="C1062" t="inlineStr">
        <is>
          <t>Não</t>
        </is>
      </c>
      <c r="D1062" t="inlineStr">
        <is>
          <t>RS</t>
        </is>
      </c>
      <c r="E1062" t="inlineStr">
        <is>
          <t>SUL</t>
        </is>
      </c>
      <c r="F1062" t="inlineStr">
        <is>
          <t>Cliente B - Chopeira</t>
        </is>
      </c>
      <c r="G1062" t="inlineStr">
        <is>
          <t>Refrigeradores</t>
        </is>
      </c>
      <c r="H1062" s="10" t="n">
        <v>190</v>
      </c>
      <c r="I1062" s="10">
        <f>IFERROR(T1062*H1062,0)</f>
        <v/>
      </c>
      <c r="J1062" s="11" t="n">
        <v>46099</v>
      </c>
      <c r="K1062" s="11" t="n"/>
      <c r="L1062" t="inlineStr">
        <is>
          <t>Aguardando devolução</t>
        </is>
      </c>
      <c r="M1062">
        <f>IF(L1062="","",IFERROR(VLOOKUP(L1062,mapGrupoStatus,2,0),"Outros"))</f>
        <v/>
      </c>
      <c r="N1062">
        <f>IF(O1062="","",IF(O1062&lt;=30,"0-30 dias",IF(O1062&lt;=60,"31-60 dias",IF(O1062&lt;=90,"61-90 dias","Mais de 90 dias"))))</f>
        <v/>
      </c>
      <c r="O1062">
        <f>IF(OR(M1062="Pendente",M1062="Em andamento"),IF(J1062="","",TODAY()-J1062),"")</f>
        <v/>
      </c>
      <c r="P1062" t="n">
        <v>12617</v>
      </c>
      <c r="Q1062" t="inlineStr">
        <is>
          <t>Gelo Manutenção (12617)</t>
        </is>
      </c>
      <c r="R1062" t="inlineStr">
        <is>
          <t>PC-0014</t>
        </is>
      </c>
      <c r="S1062" t="inlineStr">
        <is>
          <t>Placa eletrônica modelo 04</t>
        </is>
      </c>
      <c r="T1062" t="n">
        <v>1</v>
      </c>
      <c r="U1062" t="inlineStr"/>
      <c r="V1062">
        <f>IF(J1062="","",MONTH(J1062))</f>
        <v/>
      </c>
      <c r="W1062">
        <f>IF(J1062="","",YEAR(J1062))</f>
        <v/>
      </c>
      <c r="X1062" t="inlineStr"/>
      <c r="Y1062">
        <f>IFERROR(INDEX(Rastreio!$H$2:$H$200,MATCH(X1062&amp;"|"&amp;U1062,Rastreio!$A$2:$A$200,0)),"")</f>
        <v/>
      </c>
    </row>
    <row r="1063">
      <c r="A1063">
        <f>IFERROR(INDEX(STAs!$G$2:$G$61,MATCH(P1063,STAs!$F$2:$F$61,0))&amp;"","")</f>
        <v/>
      </c>
      <c r="B1063" t="n">
        <v>20028397</v>
      </c>
      <c r="C1063" t="inlineStr">
        <is>
          <t>Não</t>
        </is>
      </c>
      <c r="D1063" t="inlineStr">
        <is>
          <t>MS</t>
        </is>
      </c>
      <c r="E1063" t="inlineStr">
        <is>
          <t>CENTRO OESTE</t>
        </is>
      </c>
      <c r="F1063" t="inlineStr">
        <is>
          <t>Cliente C - Misturador</t>
        </is>
      </c>
      <c r="G1063" t="inlineStr">
        <is>
          <t>Chopeiras</t>
        </is>
      </c>
      <c r="H1063" s="10" t="n">
        <v>205</v>
      </c>
      <c r="I1063" s="10">
        <f>IFERROR(T1063*H1063,0)</f>
        <v/>
      </c>
      <c r="J1063" s="11" t="n">
        <v>46099</v>
      </c>
      <c r="K1063" s="11" t="n"/>
      <c r="L1063" t="inlineStr">
        <is>
          <t>Aguardando devolução</t>
        </is>
      </c>
      <c r="M1063">
        <f>IF(L1063="","",IFERROR(VLOOKUP(L1063,mapGrupoStatus,2,0),"Outros"))</f>
        <v/>
      </c>
      <c r="N1063">
        <f>IF(O1063="","",IF(O1063&lt;=30,"0-30 dias",IF(O1063&lt;=60,"31-60 dias",IF(O1063&lt;=90,"61-90 dias","Mais de 90 dias"))))</f>
        <v/>
      </c>
      <c r="O1063">
        <f>IF(OR(M1063="Pendente",M1063="Em andamento"),IF(J1063="","",TODAY()-J1063),"")</f>
        <v/>
      </c>
      <c r="P1063" t="n">
        <v>11726</v>
      </c>
      <c r="Q1063" t="inlineStr">
        <is>
          <t>Norte Frio Refrigeração (11726)</t>
        </is>
      </c>
      <c r="R1063" t="inlineStr">
        <is>
          <t>PC-0031</t>
        </is>
      </c>
      <c r="S1063" t="inlineStr">
        <is>
          <t>Serpentina modelo 03</t>
        </is>
      </c>
      <c r="T1063" t="n">
        <v>1</v>
      </c>
      <c r="U1063" t="inlineStr"/>
      <c r="V1063">
        <f>IF(J1063="","",MONTH(J1063))</f>
        <v/>
      </c>
      <c r="W1063">
        <f>IF(J1063="","",YEAR(J1063))</f>
        <v/>
      </c>
      <c r="X1063" t="inlineStr"/>
      <c r="Y1063">
        <f>IFERROR(INDEX(Rastreio!$H$2:$H$200,MATCH(X1063&amp;"|"&amp;U1063,Rastreio!$A$2:$A$200,0)),"")</f>
        <v/>
      </c>
    </row>
    <row r="1064">
      <c r="A1064">
        <f>IFERROR(INDEX(STAs!$G$2:$G$61,MATCH(P1064,STAs!$F$2:$F$61,0))&amp;"","")</f>
        <v/>
      </c>
      <c r="B1064" t="n">
        <v>20031165</v>
      </c>
      <c r="C1064" t="inlineStr">
        <is>
          <t>Não</t>
        </is>
      </c>
      <c r="D1064" t="inlineStr">
        <is>
          <t>RR</t>
        </is>
      </c>
      <c r="E1064" t="inlineStr">
        <is>
          <t>NORTE</t>
        </is>
      </c>
      <c r="F1064" t="inlineStr">
        <is>
          <t>Cliente B - Chopeira</t>
        </is>
      </c>
      <c r="G1064" t="inlineStr">
        <is>
          <t>Refrigeradores</t>
        </is>
      </c>
      <c r="H1064" s="10" t="n">
        <v>45</v>
      </c>
      <c r="I1064" s="10">
        <f>IFERROR(T1064*H1064,0)</f>
        <v/>
      </c>
      <c r="J1064" s="11" t="n">
        <v>46099</v>
      </c>
      <c r="K1064" s="11" t="n"/>
      <c r="L1064" t="inlineStr">
        <is>
          <t>Não Devolve-Norte</t>
        </is>
      </c>
      <c r="M1064">
        <f>IF(L1064="","",IFERROR(VLOOKUP(L1064,mapGrupoStatus,2,0),"Outros"))</f>
        <v/>
      </c>
      <c r="N1064">
        <f>IF(O1064="","",IF(O1064&lt;=30,"0-30 dias",IF(O1064&lt;=60,"31-60 dias",IF(O1064&lt;=90,"61-90 dias","Mais de 90 dias"))))</f>
        <v/>
      </c>
      <c r="O1064">
        <f>IF(OR(M1064="Pendente",M1064="Em andamento"),IF(J1064="","",TODAY()-J1064),"")</f>
        <v/>
      </c>
      <c r="P1064" t="n">
        <v>10468</v>
      </c>
      <c r="Q1064" t="inlineStr">
        <is>
          <t>Clima Express (10468)</t>
        </is>
      </c>
      <c r="R1064" t="inlineStr">
        <is>
          <t>PC-0019</t>
        </is>
      </c>
      <c r="S1064" t="inlineStr">
        <is>
          <t>Gaxeta da porta modelo 02</t>
        </is>
      </c>
      <c r="T1064" t="n">
        <v>3</v>
      </c>
      <c r="U1064" t="inlineStr"/>
      <c r="V1064">
        <f>IF(J1064="","",MONTH(J1064))</f>
        <v/>
      </c>
      <c r="W1064">
        <f>IF(J1064="","",YEAR(J1064))</f>
        <v/>
      </c>
      <c r="X1064" t="inlineStr"/>
      <c r="Y1064">
        <f>IFERROR(INDEX(Rastreio!$H$2:$H$200,MATCH(X1064&amp;"|"&amp;U1064,Rastreio!$A$2:$A$200,0)),"")</f>
        <v/>
      </c>
    </row>
    <row r="1065">
      <c r="A1065">
        <f>IFERROR(INDEX(STAs!$G$2:$G$61,MATCH(P1065,STAs!$F$2:$F$61,0))&amp;"","")</f>
        <v/>
      </c>
      <c r="B1065" t="n">
        <v>20034465</v>
      </c>
      <c r="C1065" t="inlineStr">
        <is>
          <t>Não</t>
        </is>
      </c>
      <c r="D1065" t="inlineStr">
        <is>
          <t>RR</t>
        </is>
      </c>
      <c r="E1065" t="inlineStr">
        <is>
          <t>NORTE</t>
        </is>
      </c>
      <c r="F1065" t="inlineStr">
        <is>
          <t>Cliente B - Chopeira</t>
        </is>
      </c>
      <c r="G1065" t="inlineStr">
        <is>
          <t>Chopeiras</t>
        </is>
      </c>
      <c r="H1065" s="10" t="n">
        <v>85</v>
      </c>
      <c r="I1065" s="10">
        <f>IFERROR(T1065*H1065,0)</f>
        <v/>
      </c>
      <c r="J1065" s="11" t="n">
        <v>46099</v>
      </c>
      <c r="K1065" s="11" t="n"/>
      <c r="L1065" t="inlineStr">
        <is>
          <t>Aguardando Transporte</t>
        </is>
      </c>
      <c r="M1065">
        <f>IF(L1065="","",IFERROR(VLOOKUP(L1065,mapGrupoStatus,2,0),"Outros"))</f>
        <v/>
      </c>
      <c r="N1065">
        <f>IF(O1065="","",IF(O1065&lt;=30,"0-30 dias",IF(O1065&lt;=60,"31-60 dias",IF(O1065&lt;=90,"61-90 dias","Mais de 90 dias"))))</f>
        <v/>
      </c>
      <c r="O1065">
        <f>IF(OR(M1065="Pendente",M1065="Em andamento"),IF(J1065="","",TODAY()-J1065),"")</f>
        <v/>
      </c>
      <c r="P1065" t="n">
        <v>11818</v>
      </c>
      <c r="Q1065" t="inlineStr">
        <is>
          <t>Termotec Ltda (11818)</t>
        </is>
      </c>
      <c r="R1065" t="inlineStr">
        <is>
          <t>PC-0026</t>
        </is>
      </c>
      <c r="S1065" t="inlineStr">
        <is>
          <t>Torneira de chopp modelo 01</t>
        </is>
      </c>
      <c r="T1065" t="n">
        <v>1</v>
      </c>
      <c r="U1065" t="n">
        <v>154</v>
      </c>
      <c r="V1065">
        <f>IF(J1065="","",MONTH(J1065))</f>
        <v/>
      </c>
      <c r="W1065">
        <f>IF(J1065="","",YEAR(J1065))</f>
        <v/>
      </c>
      <c r="X1065" t="inlineStr">
        <is>
          <t>ViaCargo</t>
        </is>
      </c>
      <c r="Y1065">
        <f>IFERROR(INDEX(Rastreio!$H$2:$H$200,MATCH(X1065&amp;"|"&amp;U1065,Rastreio!$A$2:$A$200,0)),"")</f>
        <v/>
      </c>
    </row>
    <row r="1066">
      <c r="A1066">
        <f>IFERROR(INDEX(STAs!$G$2:$G$61,MATCH(P1066,STAs!$F$2:$F$61,0))&amp;"","")</f>
        <v/>
      </c>
      <c r="B1066" t="n">
        <v>20035609</v>
      </c>
      <c r="C1066" t="inlineStr">
        <is>
          <t>Não</t>
        </is>
      </c>
      <c r="D1066" t="inlineStr">
        <is>
          <t>TO</t>
        </is>
      </c>
      <c r="E1066" t="inlineStr">
        <is>
          <t>NORTE</t>
        </is>
      </c>
      <c r="F1066" t="inlineStr">
        <is>
          <t>Cliente B - Chopeira</t>
        </is>
      </c>
      <c r="G1066" t="inlineStr">
        <is>
          <t>Misturadores</t>
        </is>
      </c>
      <c r="H1066" s="10" t="n">
        <v>185</v>
      </c>
      <c r="I1066" s="10">
        <f>IFERROR(T1066*H1066,0)</f>
        <v/>
      </c>
      <c r="J1066" s="11" t="n">
        <v>46099</v>
      </c>
      <c r="K1066" s="11" t="n"/>
      <c r="L1066" t="inlineStr">
        <is>
          <t>NPD</t>
        </is>
      </c>
      <c r="M1066">
        <f>IF(L1066="","",IFERROR(VLOOKUP(L1066,mapGrupoStatus,2,0),"Outros"))</f>
        <v/>
      </c>
      <c r="N1066">
        <f>IF(O1066="","",IF(O1066&lt;=30,"0-30 dias",IF(O1066&lt;=60,"31-60 dias",IF(O1066&lt;=90,"61-90 dias","Mais de 90 dias"))))</f>
        <v/>
      </c>
      <c r="O1066">
        <f>IF(OR(M1066="Pendente",M1066="Em andamento"),IF(J1066="","",TODAY()-J1066),"")</f>
        <v/>
      </c>
      <c r="P1066" t="n">
        <v>10939</v>
      </c>
      <c r="Q1066" t="inlineStr">
        <is>
          <t>Zero Grau Manutenção (10939)</t>
        </is>
      </c>
      <c r="R1066" t="inlineStr">
        <is>
          <t>PC-0041</t>
        </is>
      </c>
      <c r="S1066" t="inlineStr">
        <is>
          <t>Motor agitador modelo 02</t>
        </is>
      </c>
      <c r="T1066" t="n">
        <v>1</v>
      </c>
      <c r="U1066" t="inlineStr"/>
      <c r="V1066">
        <f>IF(J1066="","",MONTH(J1066))</f>
        <v/>
      </c>
      <c r="W1066">
        <f>IF(J1066="","",YEAR(J1066))</f>
        <v/>
      </c>
      <c r="X1066" t="inlineStr"/>
      <c r="Y1066">
        <f>IFERROR(INDEX(Rastreio!$H$2:$H$200,MATCH(X1066&amp;"|"&amp;U1066,Rastreio!$A$2:$A$200,0)),"")</f>
        <v/>
      </c>
    </row>
    <row r="1067">
      <c r="A1067">
        <f>IFERROR(INDEX(STAs!$G$2:$G$61,MATCH(P1067,STAs!$F$2:$F$61,0))&amp;"","")</f>
        <v/>
      </c>
      <c r="B1067" t="n">
        <v>20005201</v>
      </c>
      <c r="C1067" t="inlineStr">
        <is>
          <t>Não</t>
        </is>
      </c>
      <c r="D1067" t="inlineStr">
        <is>
          <t>PB</t>
        </is>
      </c>
      <c r="E1067" t="inlineStr">
        <is>
          <t>NORDESTE</t>
        </is>
      </c>
      <c r="F1067" t="inlineStr">
        <is>
          <t>Cliente C - Misturador</t>
        </is>
      </c>
      <c r="G1067" t="inlineStr">
        <is>
          <t>Refrigeradores</t>
        </is>
      </c>
      <c r="H1067" s="10" t="n">
        <v>35</v>
      </c>
      <c r="I1067" s="10">
        <f>IFERROR(T1067*H1067,0)</f>
        <v/>
      </c>
      <c r="J1067" s="11" t="n">
        <v>46100</v>
      </c>
      <c r="K1067" s="11" t="n"/>
      <c r="L1067" t="inlineStr">
        <is>
          <t>Em andamento</t>
        </is>
      </c>
      <c r="M1067">
        <f>IF(L1067="","",IFERROR(VLOOKUP(L1067,mapGrupoStatus,2,0),"Outros"))</f>
        <v/>
      </c>
      <c r="N1067">
        <f>IF(O1067="","",IF(O1067&lt;=30,"0-30 dias",IF(O1067&lt;=60,"31-60 dias",IF(O1067&lt;=90,"61-90 dias","Mais de 90 dias"))))</f>
        <v/>
      </c>
      <c r="O1067">
        <f>IF(OR(M1067="Pendente",M1067="Em andamento"),IF(J1067="","",TODAY()-J1067),"")</f>
        <v/>
      </c>
      <c r="P1067" t="n">
        <v>11741</v>
      </c>
      <c r="Q1067" t="inlineStr">
        <is>
          <t>Clima Refrigeração (11741)</t>
        </is>
      </c>
      <c r="R1067" t="inlineStr">
        <is>
          <t>PC-0016</t>
        </is>
      </c>
      <c r="S1067" t="inlineStr">
        <is>
          <t>Filtro secador modelo 02</t>
        </is>
      </c>
      <c r="T1067" t="n">
        <v>1</v>
      </c>
      <c r="U1067" t="n">
        <v>107</v>
      </c>
      <c r="V1067">
        <f>IF(J1067="","",MONTH(J1067))</f>
        <v/>
      </c>
      <c r="W1067">
        <f>IF(J1067="","",YEAR(J1067))</f>
        <v/>
      </c>
      <c r="X1067" t="inlineStr">
        <is>
          <t>CargoMax</t>
        </is>
      </c>
      <c r="Y1067">
        <f>IFERROR(INDEX(Rastreio!$H$2:$H$200,MATCH(X1067&amp;"|"&amp;U1067,Rastreio!$A$2:$A$200,0)),"")</f>
        <v/>
      </c>
    </row>
    <row r="1068">
      <c r="A1068">
        <f>IFERROR(INDEX(STAs!$G$2:$G$61,MATCH(P1068,STAs!$F$2:$F$61,0))&amp;"","")</f>
        <v/>
      </c>
      <c r="B1068" t="n">
        <v>20009502</v>
      </c>
      <c r="C1068" t="inlineStr">
        <is>
          <t>Não</t>
        </is>
      </c>
      <c r="D1068" t="inlineStr">
        <is>
          <t>RJ</t>
        </is>
      </c>
      <c r="E1068" t="inlineStr">
        <is>
          <t>SUDESTE RJ e ES</t>
        </is>
      </c>
      <c r="F1068" t="inlineStr">
        <is>
          <t>Cliente C - Misturador</t>
        </is>
      </c>
      <c r="G1068" t="inlineStr">
        <is>
          <t>Misturadores</t>
        </is>
      </c>
      <c r="H1068" s="10" t="n">
        <v>60</v>
      </c>
      <c r="I1068" s="10">
        <f>IFERROR(T1068*H1068,0)</f>
        <v/>
      </c>
      <c r="J1068" s="11" t="n">
        <v>46100</v>
      </c>
      <c r="K1068" s="11" t="n">
        <v>46155</v>
      </c>
      <c r="L1068" t="inlineStr">
        <is>
          <t>Ok. Devolvida</t>
        </is>
      </c>
      <c r="M1068">
        <f>IF(L1068="","",IFERROR(VLOOKUP(L1068,mapGrupoStatus,2,0),"Outros"))</f>
        <v/>
      </c>
      <c r="N1068">
        <f>IF(O1068="","",IF(O1068&lt;=30,"0-30 dias",IF(O1068&lt;=60,"31-60 dias",IF(O1068&lt;=90,"61-90 dias","Mais de 90 dias"))))</f>
        <v/>
      </c>
      <c r="O1068">
        <f>IF(OR(M1068="Pendente",M1068="Em andamento"),IF(J1068="","",TODAY()-J1068),"")</f>
        <v/>
      </c>
      <c r="P1068" t="n">
        <v>10676</v>
      </c>
      <c r="Q1068" t="inlineStr">
        <is>
          <t>Clima Serviços (10676)</t>
        </is>
      </c>
      <c r="R1068" t="inlineStr">
        <is>
          <t>PC-0048</t>
        </is>
      </c>
      <c r="S1068" t="inlineStr">
        <is>
          <t>Sensor de nível modelo 04</t>
        </is>
      </c>
      <c r="T1068" t="n">
        <v>1</v>
      </c>
      <c r="U1068" t="n">
        <v>119</v>
      </c>
      <c r="V1068">
        <f>IF(J1068="","",MONTH(J1068))</f>
        <v/>
      </c>
      <c r="W1068">
        <f>IF(J1068="","",YEAR(J1068))</f>
        <v/>
      </c>
      <c r="X1068" t="inlineStr">
        <is>
          <t>EntregaJá</t>
        </is>
      </c>
      <c r="Y1068">
        <f>IFERROR(INDEX(Rastreio!$H$2:$H$200,MATCH(X1068&amp;"|"&amp;U1068,Rastreio!$A$2:$A$200,0)),"")</f>
        <v/>
      </c>
    </row>
    <row r="1069">
      <c r="A1069">
        <f>IFERROR(INDEX(STAs!$G$2:$G$61,MATCH(P1069,STAs!$F$2:$F$61,0))&amp;"","")</f>
        <v/>
      </c>
      <c r="B1069" t="n">
        <v>20021681</v>
      </c>
      <c r="C1069" t="inlineStr">
        <is>
          <t>Não</t>
        </is>
      </c>
      <c r="D1069" t="inlineStr">
        <is>
          <t>SP</t>
        </is>
      </c>
      <c r="E1069" t="inlineStr">
        <is>
          <t>SUDESTE SP</t>
        </is>
      </c>
      <c r="F1069" t="inlineStr">
        <is>
          <t>Cliente A - Refrigerador</t>
        </is>
      </c>
      <c r="G1069" t="inlineStr">
        <is>
          <t>Chopeiras</t>
        </is>
      </c>
      <c r="H1069" s="10" t="n">
        <v>205</v>
      </c>
      <c r="I1069" s="10">
        <f>IFERROR(T1069*H1069,0)</f>
        <v/>
      </c>
      <c r="J1069" s="11" t="n">
        <v>46100</v>
      </c>
      <c r="K1069" s="11" t="n"/>
      <c r="L1069" t="inlineStr">
        <is>
          <t>Debitar do STA</t>
        </is>
      </c>
      <c r="M1069">
        <f>IF(L1069="","",IFERROR(VLOOKUP(L1069,mapGrupoStatus,2,0),"Outros"))</f>
        <v/>
      </c>
      <c r="N1069">
        <f>IF(O1069="","",IF(O1069&lt;=30,"0-30 dias",IF(O1069&lt;=60,"31-60 dias",IF(O1069&lt;=90,"61-90 dias","Mais de 90 dias"))))</f>
        <v/>
      </c>
      <c r="O1069">
        <f>IF(OR(M1069="Pendente",M1069="Em andamento"),IF(J1069="","",TODAY()-J1069),"")</f>
        <v/>
      </c>
      <c r="P1069" t="n">
        <v>11365</v>
      </c>
      <c r="Q1069" t="inlineStr">
        <is>
          <t>Ártico Express (11365)</t>
        </is>
      </c>
      <c r="R1069" t="inlineStr">
        <is>
          <t>PC-0031</t>
        </is>
      </c>
      <c r="S1069" t="inlineStr">
        <is>
          <t>Serpentina modelo 03</t>
        </is>
      </c>
      <c r="T1069" t="n">
        <v>1</v>
      </c>
      <c r="U1069" t="inlineStr"/>
      <c r="V1069">
        <f>IF(J1069="","",MONTH(J1069))</f>
        <v/>
      </c>
      <c r="W1069">
        <f>IF(J1069="","",YEAR(J1069))</f>
        <v/>
      </c>
      <c r="X1069" t="inlineStr"/>
      <c r="Y1069">
        <f>IFERROR(INDEX(Rastreio!$H$2:$H$200,MATCH(X1069&amp;"|"&amp;U1069,Rastreio!$A$2:$A$200,0)),"")</f>
        <v/>
      </c>
    </row>
    <row r="1070">
      <c r="A1070">
        <f>IFERROR(INDEX(STAs!$G$2:$G$61,MATCH(P1070,STAs!$F$2:$F$61,0))&amp;"","")</f>
        <v/>
      </c>
      <c r="B1070" t="n">
        <v>20024537</v>
      </c>
      <c r="C1070" t="inlineStr">
        <is>
          <t>Não</t>
        </is>
      </c>
      <c r="D1070" t="inlineStr">
        <is>
          <t>MG</t>
        </is>
      </c>
      <c r="E1070" t="inlineStr">
        <is>
          <t>SUDESTE MG</t>
        </is>
      </c>
      <c r="F1070" t="inlineStr">
        <is>
          <t>Cliente A - Refrigerador</t>
        </is>
      </c>
      <c r="G1070" t="inlineStr">
        <is>
          <t>Refrigeradores</t>
        </is>
      </c>
      <c r="H1070" s="10" t="n">
        <v>30</v>
      </c>
      <c r="I1070" s="10">
        <f>IFERROR(T1070*H1070,0)</f>
        <v/>
      </c>
      <c r="J1070" s="11" t="n">
        <v>46100</v>
      </c>
      <c r="K1070" s="11" t="n">
        <v>46122</v>
      </c>
      <c r="L1070" t="inlineStr">
        <is>
          <t>Ok. Devolvida</t>
        </is>
      </c>
      <c r="M1070">
        <f>IF(L1070="","",IFERROR(VLOOKUP(L1070,mapGrupoStatus,2,0),"Outros"))</f>
        <v/>
      </c>
      <c r="N1070">
        <f>IF(O1070="","",IF(O1070&lt;=30,"0-30 dias",IF(O1070&lt;=60,"31-60 dias",IF(O1070&lt;=90,"61-90 dias","Mais de 90 dias"))))</f>
        <v/>
      </c>
      <c r="O1070">
        <f>IF(OR(M1070="Pendente",M1070="Em andamento"),IF(J1070="","",TODAY()-J1070),"")</f>
        <v/>
      </c>
      <c r="P1070" t="n">
        <v>11619</v>
      </c>
      <c r="Q1070" t="inlineStr">
        <is>
          <t>Refrigeração Ltda (11619)</t>
        </is>
      </c>
      <c r="R1070" t="inlineStr">
        <is>
          <t>PC-0025</t>
        </is>
      </c>
      <c r="S1070" t="inlineStr">
        <is>
          <t>Relé de partida modelo 03</t>
        </is>
      </c>
      <c r="T1070" t="n">
        <v>1</v>
      </c>
      <c r="U1070" t="n">
        <v>140</v>
      </c>
      <c r="V1070">
        <f>IF(J1070="","",MONTH(J1070))</f>
        <v/>
      </c>
      <c r="W1070">
        <f>IF(J1070="","",YEAR(J1070))</f>
        <v/>
      </c>
      <c r="X1070" t="inlineStr">
        <is>
          <t>TransNorte</t>
        </is>
      </c>
      <c r="Y1070">
        <f>IFERROR(INDEX(Rastreio!$H$2:$H$200,MATCH(X1070&amp;"|"&amp;U1070,Rastreio!$A$2:$A$200,0)),"")</f>
        <v/>
      </c>
    </row>
    <row r="1071">
      <c r="A1071">
        <f>IFERROR(INDEX(STAs!$G$2:$G$61,MATCH(P1071,STAs!$F$2:$F$61,0))&amp;"","")</f>
        <v/>
      </c>
      <c r="B1071" t="n">
        <v>20035235</v>
      </c>
      <c r="C1071" t="inlineStr">
        <is>
          <t>Não</t>
        </is>
      </c>
      <c r="D1071" t="inlineStr">
        <is>
          <t>ES</t>
        </is>
      </c>
      <c r="E1071" t="inlineStr">
        <is>
          <t>SUDESTE RJ e ES</t>
        </is>
      </c>
      <c r="F1071" t="inlineStr">
        <is>
          <t>Cliente B - Chopeira</t>
        </is>
      </c>
      <c r="G1071" t="inlineStr">
        <is>
          <t>Refrigeradores</t>
        </is>
      </c>
      <c r="H1071" s="10" t="n">
        <v>155</v>
      </c>
      <c r="I1071" s="10">
        <f>IFERROR(T1071*H1071,0)</f>
        <v/>
      </c>
      <c r="J1071" s="11" t="n">
        <v>46100</v>
      </c>
      <c r="K1071" s="11" t="n"/>
      <c r="L1071" t="inlineStr">
        <is>
          <t>Aguardando devolução</t>
        </is>
      </c>
      <c r="M1071">
        <f>IF(L1071="","",IFERROR(VLOOKUP(L1071,mapGrupoStatus,2,0),"Outros"))</f>
        <v/>
      </c>
      <c r="N1071">
        <f>IF(O1071="","",IF(O1071&lt;=30,"0-30 dias",IF(O1071&lt;=60,"31-60 dias",IF(O1071&lt;=90,"61-90 dias","Mais de 90 dias"))))</f>
        <v/>
      </c>
      <c r="O1071">
        <f>IF(OR(M1071="Pendente",M1071="Em andamento"),IF(J1071="","",TODAY()-J1071),"")</f>
        <v/>
      </c>
      <c r="P1071" t="n">
        <v>12555</v>
      </c>
      <c r="Q1071" t="inlineStr">
        <is>
          <t>Cool Service Serviços (12555)</t>
        </is>
      </c>
      <c r="R1071" t="inlineStr">
        <is>
          <t>PC-0022</t>
        </is>
      </c>
      <c r="S1071" t="inlineStr">
        <is>
          <t>Controlador digital modelo 02</t>
        </is>
      </c>
      <c r="T1071" t="n">
        <v>2</v>
      </c>
      <c r="U1071" t="inlineStr"/>
      <c r="V1071">
        <f>IF(J1071="","",MONTH(J1071))</f>
        <v/>
      </c>
      <c r="W1071">
        <f>IF(J1071="","",YEAR(J1071))</f>
        <v/>
      </c>
      <c r="X1071" t="inlineStr"/>
      <c r="Y1071">
        <f>IFERROR(INDEX(Rastreio!$H$2:$H$200,MATCH(X1071&amp;"|"&amp;U1071,Rastreio!$A$2:$A$200,0)),"")</f>
        <v/>
      </c>
    </row>
    <row r="1072">
      <c r="A1072">
        <f>IFERROR(INDEX(STAs!$G$2:$G$61,MATCH(P1072,STAs!$F$2:$F$61,0))&amp;"","")</f>
        <v/>
      </c>
      <c r="B1072" t="n">
        <v>20025213</v>
      </c>
      <c r="C1072" t="inlineStr">
        <is>
          <t>Não</t>
        </is>
      </c>
      <c r="D1072" t="inlineStr">
        <is>
          <t>MG</t>
        </is>
      </c>
      <c r="E1072" t="inlineStr">
        <is>
          <t>SUDESTE MG</t>
        </is>
      </c>
      <c r="F1072" t="inlineStr">
        <is>
          <t>Cliente A - Refrigerador</t>
        </is>
      </c>
      <c r="G1072" t="inlineStr">
        <is>
          <t>Refrigeradores</t>
        </is>
      </c>
      <c r="H1072" s="10" t="n">
        <v>185</v>
      </c>
      <c r="I1072" s="10">
        <f>IFERROR(T1072*H1072,0)</f>
        <v/>
      </c>
      <c r="J1072" s="11" t="n">
        <v>46101</v>
      </c>
      <c r="K1072" s="11" t="n"/>
      <c r="L1072" t="inlineStr">
        <is>
          <t>Aguardando Transporte</t>
        </is>
      </c>
      <c r="M1072">
        <f>IF(L1072="","",IFERROR(VLOOKUP(L1072,mapGrupoStatus,2,0),"Outros"))</f>
        <v/>
      </c>
      <c r="N1072">
        <f>IF(O1072="","",IF(O1072&lt;=30,"0-30 dias",IF(O1072&lt;=60,"31-60 dias",IF(O1072&lt;=90,"61-90 dias","Mais de 90 dias"))))</f>
        <v/>
      </c>
      <c r="O1072">
        <f>IF(OR(M1072="Pendente",M1072="Em andamento"),IF(J1072="","",TODAY()-J1072),"")</f>
        <v/>
      </c>
      <c r="P1072" t="n">
        <v>11619</v>
      </c>
      <c r="Q1072" t="inlineStr">
        <is>
          <t>Refrigeração Ltda (11619)</t>
        </is>
      </c>
      <c r="R1072" t="inlineStr">
        <is>
          <t>PC-0013</t>
        </is>
      </c>
      <c r="S1072" t="inlineStr">
        <is>
          <t>Placa eletrônica modelo 03</t>
        </is>
      </c>
      <c r="T1072" t="n">
        <v>1</v>
      </c>
      <c r="U1072" t="n">
        <v>143</v>
      </c>
      <c r="V1072">
        <f>IF(J1072="","",MONTH(J1072))</f>
        <v/>
      </c>
      <c r="W1072">
        <f>IF(J1072="","",YEAR(J1072))</f>
        <v/>
      </c>
      <c r="X1072" t="inlineStr">
        <is>
          <t>TransNorte</t>
        </is>
      </c>
      <c r="Y1072">
        <f>IFERROR(INDEX(Rastreio!$H$2:$H$200,MATCH(X1072&amp;"|"&amp;U1072,Rastreio!$A$2:$A$200,0)),"")</f>
        <v/>
      </c>
    </row>
    <row r="1073">
      <c r="A1073">
        <f>IFERROR(INDEX(STAs!$G$2:$G$61,MATCH(P1073,STAs!$F$2:$F$61,0))&amp;"","")</f>
        <v/>
      </c>
      <c r="B1073" t="n">
        <v>20026199</v>
      </c>
      <c r="C1073" t="inlineStr">
        <is>
          <t>Não</t>
        </is>
      </c>
      <c r="D1073" t="inlineStr">
        <is>
          <t>BA</t>
        </is>
      </c>
      <c r="E1073" t="inlineStr">
        <is>
          <t>NORDESTE</t>
        </is>
      </c>
      <c r="F1073" t="inlineStr">
        <is>
          <t>Cliente B - Chopeira</t>
        </is>
      </c>
      <c r="G1073" t="inlineStr">
        <is>
          <t>Refrigeradores</t>
        </is>
      </c>
      <c r="H1073" s="10" t="n">
        <v>35</v>
      </c>
      <c r="I1073" s="10">
        <f>IFERROR(T1073*H1073,0)</f>
        <v/>
      </c>
      <c r="J1073" s="11" t="n">
        <v>46101</v>
      </c>
      <c r="K1073" s="11" t="n">
        <v>46156</v>
      </c>
      <c r="L1073" t="inlineStr">
        <is>
          <t>Ok. Devolvida</t>
        </is>
      </c>
      <c r="M1073">
        <f>IF(L1073="","",IFERROR(VLOOKUP(L1073,mapGrupoStatus,2,0),"Outros"))</f>
        <v/>
      </c>
      <c r="N1073">
        <f>IF(O1073="","",IF(O1073&lt;=30,"0-30 dias",IF(O1073&lt;=60,"31-60 dias",IF(O1073&lt;=90,"61-90 dias","Mais de 90 dias"))))</f>
        <v/>
      </c>
      <c r="O1073">
        <f>IF(OR(M1073="Pendente",M1073="Em andamento"),IF(J1073="","",TODAY()-J1073),"")</f>
        <v/>
      </c>
      <c r="P1073" t="n">
        <v>11538</v>
      </c>
      <c r="Q1073" t="inlineStr">
        <is>
          <t>Clima Manutenção (11538)</t>
        </is>
      </c>
      <c r="R1073" t="inlineStr">
        <is>
          <t>PC-0024</t>
        </is>
      </c>
      <c r="S1073" t="inlineStr">
        <is>
          <t>Relé de partida modelo 02</t>
        </is>
      </c>
      <c r="T1073" t="n">
        <v>3</v>
      </c>
      <c r="U1073" t="n">
        <v>147</v>
      </c>
      <c r="V1073">
        <f>IF(J1073="","",MONTH(J1073))</f>
        <v/>
      </c>
      <c r="W1073">
        <f>IF(J1073="","",YEAR(J1073))</f>
        <v/>
      </c>
      <c r="X1073" t="inlineStr">
        <is>
          <t>LogExpress</t>
        </is>
      </c>
      <c r="Y1073">
        <f>IFERROR(INDEX(Rastreio!$H$2:$H$200,MATCH(X1073&amp;"|"&amp;U1073,Rastreio!$A$2:$A$200,0)),"")</f>
        <v/>
      </c>
    </row>
    <row r="1074">
      <c r="A1074">
        <f>IFERROR(INDEX(STAs!$G$2:$G$61,MATCH(P1074,STAs!$F$2:$F$61,0))&amp;"","")</f>
        <v/>
      </c>
      <c r="B1074" t="n">
        <v>20033887</v>
      </c>
      <c r="C1074" t="inlineStr">
        <is>
          <t>Não</t>
        </is>
      </c>
      <c r="D1074" t="inlineStr">
        <is>
          <t>MG</t>
        </is>
      </c>
      <c r="E1074" t="inlineStr">
        <is>
          <t>SUDESTE MG</t>
        </is>
      </c>
      <c r="F1074" t="inlineStr">
        <is>
          <t>Cliente C - Misturador</t>
        </is>
      </c>
      <c r="G1074" t="inlineStr">
        <is>
          <t>Refrigeradores</t>
        </is>
      </c>
      <c r="H1074" s="10" t="n">
        <v>190</v>
      </c>
      <c r="I1074" s="10">
        <f>IFERROR(T1074*H1074,0)</f>
        <v/>
      </c>
      <c r="J1074" s="11" t="n">
        <v>46101</v>
      </c>
      <c r="K1074" s="11" t="n"/>
      <c r="L1074" t="inlineStr">
        <is>
          <t>Aguardando devolução</t>
        </is>
      </c>
      <c r="M1074">
        <f>IF(L1074="","",IFERROR(VLOOKUP(L1074,mapGrupoStatus,2,0),"Outros"))</f>
        <v/>
      </c>
      <c r="N1074">
        <f>IF(O1074="","",IF(O1074&lt;=30,"0-30 dias",IF(O1074&lt;=60,"31-60 dias",IF(O1074&lt;=90,"61-90 dias","Mais de 90 dias"))))</f>
        <v/>
      </c>
      <c r="O1074">
        <f>IF(OR(M1074="Pendente",M1074="Em andamento"),IF(J1074="","",TODAY()-J1074),"")</f>
        <v/>
      </c>
      <c r="P1074" t="n">
        <v>11494</v>
      </c>
      <c r="Q1074" t="inlineStr">
        <is>
          <t>Clima Técnica (11494)</t>
        </is>
      </c>
      <c r="R1074" t="inlineStr">
        <is>
          <t>PC-0011</t>
        </is>
      </c>
      <c r="S1074" t="inlineStr">
        <is>
          <t>Placa eletrônica modelo 01</t>
        </is>
      </c>
      <c r="T1074" t="n">
        <v>1</v>
      </c>
      <c r="U1074" t="inlineStr"/>
      <c r="V1074">
        <f>IF(J1074="","",MONTH(J1074))</f>
        <v/>
      </c>
      <c r="W1074">
        <f>IF(J1074="","",YEAR(J1074))</f>
        <v/>
      </c>
      <c r="X1074" t="inlineStr"/>
      <c r="Y1074">
        <f>IFERROR(INDEX(Rastreio!$H$2:$H$200,MATCH(X1074&amp;"|"&amp;U1074,Rastreio!$A$2:$A$200,0)),"")</f>
        <v/>
      </c>
    </row>
    <row r="1075">
      <c r="A1075">
        <f>IFERROR(INDEX(STAs!$G$2:$G$61,MATCH(P1075,STAs!$F$2:$F$61,0))&amp;"","")</f>
        <v/>
      </c>
      <c r="B1075" t="n">
        <v>20000002</v>
      </c>
      <c r="C1075" t="inlineStr">
        <is>
          <t>Não</t>
        </is>
      </c>
      <c r="D1075" t="inlineStr">
        <is>
          <t>PR</t>
        </is>
      </c>
      <c r="E1075" t="inlineStr">
        <is>
          <t>SUL</t>
        </is>
      </c>
      <c r="F1075" t="inlineStr">
        <is>
          <t>Cliente C - Misturador</t>
        </is>
      </c>
      <c r="G1075" t="inlineStr">
        <is>
          <t>Chopeiras</t>
        </is>
      </c>
      <c r="H1075" s="10" t="n">
        <v>85</v>
      </c>
      <c r="I1075" s="10">
        <f>IFERROR(T1075*H1075,0)</f>
        <v/>
      </c>
      <c r="J1075" s="11" t="n">
        <v>46102</v>
      </c>
      <c r="K1075" s="11" t="n"/>
      <c r="L1075" t="inlineStr">
        <is>
          <t>Em transporte</t>
        </is>
      </c>
      <c r="M1075">
        <f>IF(L1075="","",IFERROR(VLOOKUP(L1075,mapGrupoStatus,2,0),"Outros"))</f>
        <v/>
      </c>
      <c r="N1075">
        <f>IF(O1075="","",IF(O1075&lt;=30,"0-30 dias",IF(O1075&lt;=60,"31-60 dias",IF(O1075&lt;=90,"61-90 dias","Mais de 90 dias"))))</f>
        <v/>
      </c>
      <c r="O1075">
        <f>IF(OR(M1075="Pendente",M1075="Em andamento"),IF(J1075="","",TODAY()-J1075),"")</f>
        <v/>
      </c>
      <c r="P1075" t="n">
        <v>11898</v>
      </c>
      <c r="Q1075" t="inlineStr">
        <is>
          <t>Refrigel Express (11898)</t>
        </is>
      </c>
      <c r="R1075" t="inlineStr">
        <is>
          <t>PC-0035</t>
        </is>
      </c>
      <c r="S1075" t="inlineStr">
        <is>
          <t>Válvula extratora modelo 01</t>
        </is>
      </c>
      <c r="T1075" t="n">
        <v>1</v>
      </c>
      <c r="U1075" t="n">
        <v>101</v>
      </c>
      <c r="V1075">
        <f>IF(J1075="","",MONTH(J1075))</f>
        <v/>
      </c>
      <c r="W1075">
        <f>IF(J1075="","",YEAR(J1075))</f>
        <v/>
      </c>
      <c r="X1075" t="inlineStr">
        <is>
          <t>EntregaJá</t>
        </is>
      </c>
      <c r="Y1075">
        <f>IFERROR(INDEX(Rastreio!$H$2:$H$200,MATCH(X1075&amp;"|"&amp;U1075,Rastreio!$A$2:$A$200,0)),"")</f>
        <v/>
      </c>
    </row>
    <row r="1076">
      <c r="A1076">
        <f>IFERROR(INDEX(STAs!$G$2:$G$61,MATCH(P1076,STAs!$F$2:$F$61,0))&amp;"","")</f>
        <v/>
      </c>
      <c r="B1076" t="n">
        <v>20003622</v>
      </c>
      <c r="C1076" t="inlineStr">
        <is>
          <t>Não</t>
        </is>
      </c>
      <c r="D1076" t="inlineStr">
        <is>
          <t>AC</t>
        </is>
      </c>
      <c r="E1076" t="inlineStr">
        <is>
          <t>NORTE</t>
        </is>
      </c>
      <c r="F1076" t="inlineStr">
        <is>
          <t>Cliente A - Refrigerador</t>
        </is>
      </c>
      <c r="G1076" t="inlineStr">
        <is>
          <t>Refrigeradores</t>
        </is>
      </c>
      <c r="H1076" s="10" t="n">
        <v>70</v>
      </c>
      <c r="I1076" s="10">
        <f>IFERROR(T1076*H1076,0)</f>
        <v/>
      </c>
      <c r="J1076" s="11" t="n">
        <v>46102</v>
      </c>
      <c r="K1076" s="11" t="n">
        <v>46142</v>
      </c>
      <c r="L1076" t="inlineStr">
        <is>
          <t>Ok. Devolvida</t>
        </is>
      </c>
      <c r="M1076">
        <f>IF(L1076="","",IFERROR(VLOOKUP(L1076,mapGrupoStatus,2,0),"Outros"))</f>
        <v/>
      </c>
      <c r="N1076">
        <f>IF(O1076="","",IF(O1076&lt;=30,"0-30 dias",IF(O1076&lt;=60,"31-60 dias",IF(O1076&lt;=90,"61-90 dias","Mais de 90 dias"))))</f>
        <v/>
      </c>
      <c r="O1076">
        <f>IF(OR(M1076="Pendente",M1076="Em andamento"),IF(J1076="","",TODAY()-J1076),"")</f>
        <v/>
      </c>
      <c r="P1076" t="n">
        <v>10372</v>
      </c>
      <c r="Q1076" t="inlineStr">
        <is>
          <t>Zero Grau ME (10372)</t>
        </is>
      </c>
      <c r="R1076" t="inlineStr">
        <is>
          <t>PC-0009</t>
        </is>
      </c>
      <c r="S1076" t="inlineStr">
        <is>
          <t>Ventilador modelo 03</t>
        </is>
      </c>
      <c r="T1076" t="n">
        <v>1</v>
      </c>
      <c r="U1076" t="n">
        <v>109</v>
      </c>
      <c r="V1076">
        <f>IF(J1076="","",MONTH(J1076))</f>
        <v/>
      </c>
      <c r="W1076">
        <f>IF(J1076="","",YEAR(J1076))</f>
        <v/>
      </c>
      <c r="X1076" t="inlineStr">
        <is>
          <t>ViaCargo</t>
        </is>
      </c>
      <c r="Y1076">
        <f>IFERROR(INDEX(Rastreio!$H$2:$H$200,MATCH(X1076&amp;"|"&amp;U1076,Rastreio!$A$2:$A$200,0)),"")</f>
        <v/>
      </c>
    </row>
    <row r="1077">
      <c r="A1077">
        <f>IFERROR(INDEX(STAs!$G$2:$G$61,MATCH(P1077,STAs!$F$2:$F$61,0))&amp;"","")</f>
        <v/>
      </c>
      <c r="B1077" t="n">
        <v>20013317</v>
      </c>
      <c r="C1077" t="inlineStr">
        <is>
          <t>Não</t>
        </is>
      </c>
      <c r="D1077" t="inlineStr">
        <is>
          <t>GO</t>
        </is>
      </c>
      <c r="E1077" t="inlineStr">
        <is>
          <t>CENTRO OESTE</t>
        </is>
      </c>
      <c r="F1077" t="inlineStr">
        <is>
          <t>Cliente C - Misturador</t>
        </is>
      </c>
      <c r="G1077" t="inlineStr">
        <is>
          <t>Misturadores</t>
        </is>
      </c>
      <c r="H1077" s="10" t="n">
        <v>50</v>
      </c>
      <c r="I1077" s="10">
        <f>IFERROR(T1077*H1077,0)</f>
        <v/>
      </c>
      <c r="J1077" s="11" t="n">
        <v>46102</v>
      </c>
      <c r="K1077" s="11" t="n"/>
      <c r="L1077" t="inlineStr">
        <is>
          <t>Em transporte</t>
        </is>
      </c>
      <c r="M1077">
        <f>IF(L1077="","",IFERROR(VLOOKUP(L1077,mapGrupoStatus,2,0),"Outros"))</f>
        <v/>
      </c>
      <c r="N1077">
        <f>IF(O1077="","",IF(O1077&lt;=30,"0-30 dias",IF(O1077&lt;=60,"31-60 dias",IF(O1077&lt;=90,"61-90 dias","Mais de 90 dias"))))</f>
        <v/>
      </c>
      <c r="O1077">
        <f>IF(OR(M1077="Pendente",M1077="Em andamento"),IF(J1077="","",TODAY()-J1077),"")</f>
        <v/>
      </c>
      <c r="P1077" t="n">
        <v>11293</v>
      </c>
      <c r="Q1077" t="inlineStr">
        <is>
          <t>Assistência Técnica Ltda (11293)</t>
        </is>
      </c>
      <c r="R1077" t="inlineStr">
        <is>
          <t>PC-0047</t>
        </is>
      </c>
      <c r="S1077" t="inlineStr">
        <is>
          <t>Sensor de nível modelo 03</t>
        </is>
      </c>
      <c r="T1077" t="n">
        <v>1</v>
      </c>
      <c r="U1077" t="n">
        <v>124</v>
      </c>
      <c r="V1077">
        <f>IF(J1077="","",MONTH(J1077))</f>
        <v/>
      </c>
      <c r="W1077">
        <f>IF(J1077="","",YEAR(J1077))</f>
        <v/>
      </c>
      <c r="X1077" t="inlineStr">
        <is>
          <t>EntregaJá</t>
        </is>
      </c>
      <c r="Y1077">
        <f>IFERROR(INDEX(Rastreio!$H$2:$H$200,MATCH(X1077&amp;"|"&amp;U1077,Rastreio!$A$2:$A$200,0)),"")</f>
        <v/>
      </c>
    </row>
    <row r="1078">
      <c r="A1078">
        <f>IFERROR(INDEX(STAs!$G$2:$G$61,MATCH(P1078,STAs!$F$2:$F$61,0))&amp;"","")</f>
        <v/>
      </c>
      <c r="B1078" t="n">
        <v>20013380</v>
      </c>
      <c r="C1078" t="inlineStr">
        <is>
          <t>Não</t>
        </is>
      </c>
      <c r="D1078" t="inlineStr">
        <is>
          <t>PR</t>
        </is>
      </c>
      <c r="E1078" t="inlineStr">
        <is>
          <t>SUL</t>
        </is>
      </c>
      <c r="F1078" t="inlineStr">
        <is>
          <t>Cliente C - Misturador</t>
        </is>
      </c>
      <c r="G1078" t="inlineStr">
        <is>
          <t>Chopeiras</t>
        </is>
      </c>
      <c r="H1078" s="10" t="n">
        <v>85</v>
      </c>
      <c r="I1078" s="10">
        <f>IFERROR(T1078*H1078,0)</f>
        <v/>
      </c>
      <c r="J1078" s="11" t="n">
        <v>46102</v>
      </c>
      <c r="K1078" s="11" t="n">
        <v>46135</v>
      </c>
      <c r="L1078" t="inlineStr">
        <is>
          <t>Ok. Devolvida</t>
        </is>
      </c>
      <c r="M1078">
        <f>IF(L1078="","",IFERROR(VLOOKUP(L1078,mapGrupoStatus,2,0),"Outros"))</f>
        <v/>
      </c>
      <c r="N1078">
        <f>IF(O1078="","",IF(O1078&lt;=30,"0-30 dias",IF(O1078&lt;=60,"31-60 dias",IF(O1078&lt;=90,"61-90 dias","Mais de 90 dias"))))</f>
        <v/>
      </c>
      <c r="O1078">
        <f>IF(OR(M1078="Pendente",M1078="Em andamento"),IF(J1078="","",TODAY()-J1078),"")</f>
        <v/>
      </c>
      <c r="P1078" t="n">
        <v>12089</v>
      </c>
      <c r="Q1078" t="inlineStr">
        <is>
          <t>Termotec Serviços (12089)</t>
        </is>
      </c>
      <c r="R1078" t="inlineStr">
        <is>
          <t>PC-0035</t>
        </is>
      </c>
      <c r="S1078" t="inlineStr">
        <is>
          <t>Válvula extratora modelo 01</t>
        </is>
      </c>
      <c r="T1078" t="n">
        <v>2</v>
      </c>
      <c r="U1078" t="n">
        <v>125</v>
      </c>
      <c r="V1078">
        <f>IF(J1078="","",MONTH(J1078))</f>
        <v/>
      </c>
      <c r="W1078">
        <f>IF(J1078="","",YEAR(J1078))</f>
        <v/>
      </c>
      <c r="X1078" t="inlineStr">
        <is>
          <t>LogExpress</t>
        </is>
      </c>
      <c r="Y1078">
        <f>IFERROR(INDEX(Rastreio!$H$2:$H$200,MATCH(X1078&amp;"|"&amp;U1078,Rastreio!$A$2:$A$200,0)),"")</f>
        <v/>
      </c>
    </row>
    <row r="1079">
      <c r="A1079">
        <f>IFERROR(INDEX(STAs!$G$2:$G$61,MATCH(P1079,STAs!$F$2:$F$61,0))&amp;"","")</f>
        <v/>
      </c>
      <c r="B1079" t="n">
        <v>20014381</v>
      </c>
      <c r="C1079" t="inlineStr">
        <is>
          <t>Sim</t>
        </is>
      </c>
      <c r="D1079" t="inlineStr">
        <is>
          <t>PR</t>
        </is>
      </c>
      <c r="E1079" t="inlineStr">
        <is>
          <t>SUL</t>
        </is>
      </c>
      <c r="F1079" t="inlineStr">
        <is>
          <t>Cliente B - Chopeira</t>
        </is>
      </c>
      <c r="G1079" t="inlineStr">
        <is>
          <t>Chopeiras</t>
        </is>
      </c>
      <c r="H1079" s="10" t="n">
        <v>85</v>
      </c>
      <c r="I1079" s="10">
        <f>IFERROR(T1079*H1079,0)</f>
        <v/>
      </c>
      <c r="J1079" s="11" t="n">
        <v>46102</v>
      </c>
      <c r="K1079" s="11" t="n"/>
      <c r="L1079" t="inlineStr">
        <is>
          <t>Em transporte</t>
        </is>
      </c>
      <c r="M1079">
        <f>IF(L1079="","",IFERROR(VLOOKUP(L1079,mapGrupoStatus,2,0),"Outros"))</f>
        <v/>
      </c>
      <c r="N1079">
        <f>IF(O1079="","",IF(O1079&lt;=30,"0-30 dias",IF(O1079&lt;=60,"31-60 dias",IF(O1079&lt;=90,"61-90 dias","Mais de 90 dias"))))</f>
        <v/>
      </c>
      <c r="O1079">
        <f>IF(OR(M1079="Pendente",M1079="Em andamento"),IF(J1079="","",TODAY()-J1079),"")</f>
        <v/>
      </c>
      <c r="P1079" t="n">
        <v>10753</v>
      </c>
      <c r="Q1079" t="inlineStr">
        <is>
          <t>Refrigel &amp; Cia (10753)</t>
        </is>
      </c>
      <c r="R1079" t="inlineStr">
        <is>
          <t>PC-0028</t>
        </is>
      </c>
      <c r="S1079" t="inlineStr">
        <is>
          <t>Torneira de chopp modelo 03</t>
        </is>
      </c>
      <c r="T1079" t="n">
        <v>1</v>
      </c>
      <c r="U1079" t="n">
        <v>124</v>
      </c>
      <c r="V1079">
        <f>IF(J1079="","",MONTH(J1079))</f>
        <v/>
      </c>
      <c r="W1079">
        <f>IF(J1079="","",YEAR(J1079))</f>
        <v/>
      </c>
      <c r="X1079" t="inlineStr">
        <is>
          <t>EntregaJá</t>
        </is>
      </c>
      <c r="Y1079">
        <f>IFERROR(INDEX(Rastreio!$H$2:$H$200,MATCH(X1079&amp;"|"&amp;U1079,Rastreio!$A$2:$A$200,0)),"")</f>
        <v/>
      </c>
    </row>
    <row r="1080">
      <c r="A1080">
        <f>IFERROR(INDEX(STAs!$G$2:$G$61,MATCH(P1080,STAs!$F$2:$F$61,0))&amp;"","")</f>
        <v/>
      </c>
      <c r="B1080" t="n">
        <v>20018605</v>
      </c>
      <c r="C1080" t="inlineStr">
        <is>
          <t>Não</t>
        </is>
      </c>
      <c r="D1080" t="inlineStr">
        <is>
          <t>SP</t>
        </is>
      </c>
      <c r="E1080" t="inlineStr">
        <is>
          <t>SUDESTE SP</t>
        </is>
      </c>
      <c r="F1080" t="inlineStr">
        <is>
          <t>Cliente A - Refrigerador</t>
        </is>
      </c>
      <c r="G1080" t="inlineStr">
        <is>
          <t>Misturadores</t>
        </is>
      </c>
      <c r="H1080" s="10" t="n">
        <v>50</v>
      </c>
      <c r="I1080" s="10">
        <f>IFERROR(T1080*H1080,0)</f>
        <v/>
      </c>
      <c r="J1080" s="11" t="n">
        <v>46102</v>
      </c>
      <c r="K1080" s="11" t="n">
        <v>46113</v>
      </c>
      <c r="L1080" t="inlineStr">
        <is>
          <t>Ok. Devolvida</t>
        </is>
      </c>
      <c r="M1080">
        <f>IF(L1080="","",IFERROR(VLOOKUP(L1080,mapGrupoStatus,2,0),"Outros"))</f>
        <v/>
      </c>
      <c r="N1080">
        <f>IF(O1080="","",IF(O1080&lt;=30,"0-30 dias",IF(O1080&lt;=60,"31-60 dias",IF(O1080&lt;=90,"61-90 dias","Mais de 90 dias"))))</f>
        <v/>
      </c>
      <c r="O1080">
        <f>IF(OR(M1080="Pendente",M1080="Em andamento"),IF(J1080="","",TODAY()-J1080),"")</f>
        <v/>
      </c>
      <c r="P1080" t="n">
        <v>12052</v>
      </c>
      <c r="Q1080" t="inlineStr">
        <is>
          <t>Brisa Refrigeração (12052)</t>
        </is>
      </c>
      <c r="R1080" t="inlineStr">
        <is>
          <t>PC-0044</t>
        </is>
      </c>
      <c r="S1080" t="inlineStr">
        <is>
          <t>Bico dosador modelo 03</t>
        </is>
      </c>
      <c r="T1080" t="n">
        <v>1</v>
      </c>
      <c r="U1080" t="n">
        <v>136</v>
      </c>
      <c r="V1080">
        <f>IF(J1080="","",MONTH(J1080))</f>
        <v/>
      </c>
      <c r="W1080">
        <f>IF(J1080="","",YEAR(J1080))</f>
        <v/>
      </c>
      <c r="X1080" t="inlineStr">
        <is>
          <t>ViaCargo</t>
        </is>
      </c>
      <c r="Y1080">
        <f>IFERROR(INDEX(Rastreio!$H$2:$H$200,MATCH(X1080&amp;"|"&amp;U1080,Rastreio!$A$2:$A$200,0)),"")</f>
        <v/>
      </c>
    </row>
    <row r="1081">
      <c r="A1081">
        <f>IFERROR(INDEX(STAs!$G$2:$G$61,MATCH(P1081,STAs!$F$2:$F$61,0))&amp;"","")</f>
        <v/>
      </c>
      <c r="B1081" t="n">
        <v>20039881</v>
      </c>
      <c r="C1081" t="inlineStr">
        <is>
          <t>Não</t>
        </is>
      </c>
      <c r="D1081" t="inlineStr">
        <is>
          <t>PR</t>
        </is>
      </c>
      <c r="E1081" t="inlineStr">
        <is>
          <t>SUL</t>
        </is>
      </c>
      <c r="F1081" t="inlineStr">
        <is>
          <t>Cliente C - Misturador</t>
        </is>
      </c>
      <c r="G1081" t="inlineStr">
        <is>
          <t>Refrigeradores</t>
        </is>
      </c>
      <c r="H1081" s="10" t="n">
        <v>45</v>
      </c>
      <c r="I1081" s="10">
        <f>IFERROR(T1081*H1081,0)</f>
        <v/>
      </c>
      <c r="J1081" s="11" t="n">
        <v>46102</v>
      </c>
      <c r="K1081" s="11" t="n"/>
      <c r="L1081" t="inlineStr">
        <is>
          <t>Aguardando devolução</t>
        </is>
      </c>
      <c r="M1081">
        <f>IF(L1081="","",IFERROR(VLOOKUP(L1081,mapGrupoStatus,2,0),"Outros"))</f>
        <v/>
      </c>
      <c r="N1081">
        <f>IF(O1081="","",IF(O1081&lt;=30,"0-30 dias",IF(O1081&lt;=60,"31-60 dias",IF(O1081&lt;=90,"61-90 dias","Mais de 90 dias"))))</f>
        <v/>
      </c>
      <c r="O1081">
        <f>IF(OR(M1081="Pendente",M1081="Em andamento"),IF(J1081="","",TODAY()-J1081),"")</f>
        <v/>
      </c>
      <c r="P1081" t="n">
        <v>12089</v>
      </c>
      <c r="Q1081" t="inlineStr">
        <is>
          <t>Termotec Serviços (12089)</t>
        </is>
      </c>
      <c r="R1081" t="inlineStr">
        <is>
          <t>PC-0019</t>
        </is>
      </c>
      <c r="S1081" t="inlineStr">
        <is>
          <t>Gaxeta da porta modelo 02</t>
        </is>
      </c>
      <c r="T1081" t="n">
        <v>1</v>
      </c>
      <c r="U1081" t="inlineStr"/>
      <c r="V1081">
        <f>IF(J1081="","",MONTH(J1081))</f>
        <v/>
      </c>
      <c r="W1081">
        <f>IF(J1081="","",YEAR(J1081))</f>
        <v/>
      </c>
      <c r="X1081" t="inlineStr"/>
      <c r="Y1081">
        <f>IFERROR(INDEX(Rastreio!$H$2:$H$200,MATCH(X1081&amp;"|"&amp;U1081,Rastreio!$A$2:$A$200,0)),"")</f>
        <v/>
      </c>
    </row>
    <row r="1082">
      <c r="A1082">
        <f>IFERROR(INDEX(STAs!$G$2:$G$61,MATCH(P1082,STAs!$F$2:$F$61,0))&amp;"","")</f>
        <v/>
      </c>
      <c r="B1082" t="n">
        <v>20007072</v>
      </c>
      <c r="C1082" t="inlineStr">
        <is>
          <t>Não</t>
        </is>
      </c>
      <c r="D1082" t="inlineStr">
        <is>
          <t>SC</t>
        </is>
      </c>
      <c r="E1082" t="inlineStr">
        <is>
          <t>SUL</t>
        </is>
      </c>
      <c r="F1082" t="inlineStr">
        <is>
          <t>Cliente A - Refrigerador</t>
        </is>
      </c>
      <c r="G1082" t="inlineStr">
        <is>
          <t>Refrigeradores</t>
        </is>
      </c>
      <c r="H1082" s="10" t="n">
        <v>35</v>
      </c>
      <c r="I1082" s="10">
        <f>IFERROR(T1082*H1082,0)</f>
        <v/>
      </c>
      <c r="J1082" s="11" t="n">
        <v>46103</v>
      </c>
      <c r="K1082" s="11" t="n">
        <v>46151</v>
      </c>
      <c r="L1082" t="inlineStr">
        <is>
          <t>Ok. Devolvida</t>
        </is>
      </c>
      <c r="M1082">
        <f>IF(L1082="","",IFERROR(VLOOKUP(L1082,mapGrupoStatus,2,0),"Outros"))</f>
        <v/>
      </c>
      <c r="N1082">
        <f>IF(O1082="","",IF(O1082&lt;=30,"0-30 dias",IF(O1082&lt;=60,"31-60 dias",IF(O1082&lt;=90,"61-90 dias","Mais de 90 dias"))))</f>
        <v/>
      </c>
      <c r="O1082">
        <f>IF(OR(M1082="Pendente",M1082="Em andamento"),IF(J1082="","",TODAY()-J1082),"")</f>
        <v/>
      </c>
      <c r="P1082" t="n">
        <v>12138</v>
      </c>
      <c r="Q1082" t="inlineStr">
        <is>
          <t>Refrigeração Serviços (12138)</t>
        </is>
      </c>
      <c r="R1082" t="inlineStr">
        <is>
          <t>PC-0016</t>
        </is>
      </c>
      <c r="S1082" t="inlineStr">
        <is>
          <t>Filtro secador modelo 02</t>
        </is>
      </c>
      <c r="T1082" t="n">
        <v>1</v>
      </c>
      <c r="U1082" t="n">
        <v>118</v>
      </c>
      <c r="V1082">
        <f>IF(J1082="","",MONTH(J1082))</f>
        <v/>
      </c>
      <c r="W1082">
        <f>IF(J1082="","",YEAR(J1082))</f>
        <v/>
      </c>
      <c r="X1082" t="inlineStr">
        <is>
          <t>ViaCargo</t>
        </is>
      </c>
      <c r="Y1082">
        <f>IFERROR(INDEX(Rastreio!$H$2:$H$200,MATCH(X1082&amp;"|"&amp;U1082,Rastreio!$A$2:$A$200,0)),"")</f>
        <v/>
      </c>
    </row>
    <row r="1083">
      <c r="A1083">
        <f>IFERROR(INDEX(STAs!$G$2:$G$61,MATCH(P1083,STAs!$F$2:$F$61,0))&amp;"","")</f>
        <v/>
      </c>
      <c r="B1083" t="n">
        <v>20007212</v>
      </c>
      <c r="C1083" t="inlineStr">
        <is>
          <t>Não</t>
        </is>
      </c>
      <c r="D1083" t="inlineStr">
        <is>
          <t>PI</t>
        </is>
      </c>
      <c r="E1083" t="inlineStr">
        <is>
          <t>NORDESTE</t>
        </is>
      </c>
      <c r="F1083" t="inlineStr">
        <is>
          <t>Cliente B - Chopeira</t>
        </is>
      </c>
      <c r="G1083" t="inlineStr">
        <is>
          <t>Misturadores</t>
        </is>
      </c>
      <c r="H1083" s="10" t="n">
        <v>255</v>
      </c>
      <c r="I1083" s="10">
        <f>IFERROR(T1083*H1083,0)</f>
        <v/>
      </c>
      <c r="J1083" s="11" t="n">
        <v>46103</v>
      </c>
      <c r="K1083" s="11" t="n">
        <v>46132</v>
      </c>
      <c r="L1083" t="inlineStr">
        <is>
          <t>Ok. Devolvida</t>
        </is>
      </c>
      <c r="M1083">
        <f>IF(L1083="","",IFERROR(VLOOKUP(L1083,mapGrupoStatus,2,0),"Outros"))</f>
        <v/>
      </c>
      <c r="N1083">
        <f>IF(O1083="","",IF(O1083&lt;=30,"0-30 dias",IF(O1083&lt;=60,"31-60 dias",IF(O1083&lt;=90,"61-90 dias","Mais de 90 dias"))))</f>
        <v/>
      </c>
      <c r="O1083">
        <f>IF(OR(M1083="Pendente",M1083="Em andamento"),IF(J1083="","",TODAY()-J1083),"")</f>
        <v/>
      </c>
      <c r="P1083" t="n">
        <v>12936</v>
      </c>
      <c r="Q1083" t="inlineStr">
        <is>
          <t>Frigo Técnica (12936)</t>
        </is>
      </c>
      <c r="R1083" t="inlineStr">
        <is>
          <t>PC-0037</t>
        </is>
      </c>
      <c r="S1083" t="inlineStr">
        <is>
          <t>Bomba de recirculação modelo 01</t>
        </is>
      </c>
      <c r="T1083" t="n">
        <v>1</v>
      </c>
      <c r="U1083" t="n">
        <v>115</v>
      </c>
      <c r="V1083">
        <f>IF(J1083="","",MONTH(J1083))</f>
        <v/>
      </c>
      <c r="W1083">
        <f>IF(J1083="","",YEAR(J1083))</f>
        <v/>
      </c>
      <c r="X1083" t="inlineStr">
        <is>
          <t>EntregaJá</t>
        </is>
      </c>
      <c r="Y1083">
        <f>IFERROR(INDEX(Rastreio!$H$2:$H$200,MATCH(X1083&amp;"|"&amp;U1083,Rastreio!$A$2:$A$200,0)),"")</f>
        <v/>
      </c>
    </row>
    <row r="1084">
      <c r="A1084">
        <f>IFERROR(INDEX(STAs!$G$2:$G$61,MATCH(P1084,STAs!$F$2:$F$61,0))&amp;"","")</f>
        <v/>
      </c>
      <c r="B1084" t="n">
        <v>20011945</v>
      </c>
      <c r="C1084" t="inlineStr">
        <is>
          <t>Sim</t>
        </is>
      </c>
      <c r="D1084" t="inlineStr">
        <is>
          <t>PR</t>
        </is>
      </c>
      <c r="E1084" t="inlineStr">
        <is>
          <t>SUL</t>
        </is>
      </c>
      <c r="F1084" t="inlineStr">
        <is>
          <t>Cliente A - Refrigerador</t>
        </is>
      </c>
      <c r="G1084" t="inlineStr">
        <is>
          <t>Misturadores</t>
        </is>
      </c>
      <c r="H1084" s="10" t="n">
        <v>265</v>
      </c>
      <c r="I1084" s="10">
        <f>IFERROR(T1084*H1084,0)</f>
        <v/>
      </c>
      <c r="J1084" s="11" t="n">
        <v>46103</v>
      </c>
      <c r="K1084" s="11" t="n"/>
      <c r="L1084" t="inlineStr">
        <is>
          <t>Aguardando devolução</t>
        </is>
      </c>
      <c r="M1084">
        <f>IF(L1084="","",IFERROR(VLOOKUP(L1084,mapGrupoStatus,2,0),"Outros"))</f>
        <v/>
      </c>
      <c r="N1084">
        <f>IF(O1084="","",IF(O1084&lt;=30,"0-30 dias",IF(O1084&lt;=60,"31-60 dias",IF(O1084&lt;=90,"61-90 dias","Mais de 90 dias"))))</f>
        <v/>
      </c>
      <c r="O1084">
        <f>IF(OR(M1084="Pendente",M1084="Em andamento"),IF(J1084="","",TODAY()-J1084),"")</f>
        <v/>
      </c>
      <c r="P1084" t="n">
        <v>10913</v>
      </c>
      <c r="Q1084" t="inlineStr">
        <is>
          <t>Ice Tech &amp; Cia (10913)</t>
        </is>
      </c>
      <c r="R1084" t="inlineStr">
        <is>
          <t>PC-0038</t>
        </is>
      </c>
      <c r="S1084" t="inlineStr">
        <is>
          <t>Bomba de recirculação modelo 02</t>
        </is>
      </c>
      <c r="T1084" t="n">
        <v>3</v>
      </c>
      <c r="U1084" t="inlineStr"/>
      <c r="V1084">
        <f>IF(J1084="","",MONTH(J1084))</f>
        <v/>
      </c>
      <c r="W1084">
        <f>IF(J1084="","",YEAR(J1084))</f>
        <v/>
      </c>
      <c r="X1084" t="inlineStr"/>
      <c r="Y1084">
        <f>IFERROR(INDEX(Rastreio!$H$2:$H$200,MATCH(X1084&amp;"|"&amp;U1084,Rastreio!$A$2:$A$200,0)),"")</f>
        <v/>
      </c>
    </row>
    <row r="1085">
      <c r="A1085">
        <f>IFERROR(INDEX(STAs!$G$2:$G$61,MATCH(P1085,STAs!$F$2:$F$61,0))&amp;"","")</f>
        <v/>
      </c>
      <c r="B1085" t="n">
        <v>20017075</v>
      </c>
      <c r="C1085" t="inlineStr">
        <is>
          <t>Não</t>
        </is>
      </c>
      <c r="D1085" t="inlineStr">
        <is>
          <t>MS</t>
        </is>
      </c>
      <c r="E1085" t="inlineStr">
        <is>
          <t>CENTRO OESTE</t>
        </is>
      </c>
      <c r="F1085" t="inlineStr">
        <is>
          <t>Cliente A - Refrigerador</t>
        </is>
      </c>
      <c r="G1085" t="inlineStr">
        <is>
          <t>Refrigeradores</t>
        </is>
      </c>
      <c r="H1085" s="10" t="n">
        <v>55</v>
      </c>
      <c r="I1085" s="10">
        <f>IFERROR(T1085*H1085,0)</f>
        <v/>
      </c>
      <c r="J1085" s="11" t="n">
        <v>46103</v>
      </c>
      <c r="K1085" s="11" t="n">
        <v>46145</v>
      </c>
      <c r="L1085" t="inlineStr">
        <is>
          <t>Ok. Devolvida</t>
        </is>
      </c>
      <c r="M1085">
        <f>IF(L1085="","",IFERROR(VLOOKUP(L1085,mapGrupoStatus,2,0),"Outros"))</f>
        <v/>
      </c>
      <c r="N1085">
        <f>IF(O1085="","",IF(O1085&lt;=30,"0-30 dias",IF(O1085&lt;=60,"31-60 dias",IF(O1085&lt;=90,"61-90 dias","Mais de 90 dias"))))</f>
        <v/>
      </c>
      <c r="O1085">
        <f>IF(OR(M1085="Pendente",M1085="Em andamento"),IF(J1085="","",TODAY()-J1085),"")</f>
        <v/>
      </c>
      <c r="P1085" t="n">
        <v>10302</v>
      </c>
      <c r="Q1085" t="inlineStr">
        <is>
          <t>Ice Tech Express (10302)</t>
        </is>
      </c>
      <c r="R1085" t="inlineStr">
        <is>
          <t>PC-0008</t>
        </is>
      </c>
      <c r="S1085" t="inlineStr">
        <is>
          <t>Ventilador modelo 02</t>
        </is>
      </c>
      <c r="T1085" t="n">
        <v>1</v>
      </c>
      <c r="U1085" t="n">
        <v>131</v>
      </c>
      <c r="V1085">
        <f>IF(J1085="","",MONTH(J1085))</f>
        <v/>
      </c>
      <c r="W1085">
        <f>IF(J1085="","",YEAR(J1085))</f>
        <v/>
      </c>
      <c r="X1085" t="inlineStr">
        <is>
          <t>LogExpress</t>
        </is>
      </c>
      <c r="Y1085">
        <f>IFERROR(INDEX(Rastreio!$H$2:$H$200,MATCH(X1085&amp;"|"&amp;U1085,Rastreio!$A$2:$A$200,0)),"")</f>
        <v/>
      </c>
    </row>
    <row r="1086">
      <c r="A1086">
        <f>IFERROR(INDEX(STAs!$G$2:$G$61,MATCH(P1086,STAs!$F$2:$F$61,0))&amp;"","")</f>
        <v/>
      </c>
      <c r="B1086" t="n">
        <v>20020100</v>
      </c>
      <c r="C1086" t="inlineStr">
        <is>
          <t>Não</t>
        </is>
      </c>
      <c r="D1086" t="inlineStr">
        <is>
          <t>SP</t>
        </is>
      </c>
      <c r="E1086" t="inlineStr">
        <is>
          <t>SUDESTE SP</t>
        </is>
      </c>
      <c r="F1086" t="inlineStr">
        <is>
          <t>Cliente C - Misturador</t>
        </is>
      </c>
      <c r="G1086" t="inlineStr">
        <is>
          <t>Refrigeradores</t>
        </is>
      </c>
      <c r="H1086" s="10" t="n">
        <v>30</v>
      </c>
      <c r="I1086" s="10">
        <f>IFERROR(T1086*H1086,0)</f>
        <v/>
      </c>
      <c r="J1086" s="11" t="n">
        <v>46103</v>
      </c>
      <c r="K1086" s="11" t="n">
        <v>46110</v>
      </c>
      <c r="L1086" t="inlineStr">
        <is>
          <t>Ok. Devolvida</t>
        </is>
      </c>
      <c r="M1086">
        <f>IF(L1086="","",IFERROR(VLOOKUP(L1086,mapGrupoStatus,2,0),"Outros"))</f>
        <v/>
      </c>
      <c r="N1086">
        <f>IF(O1086="","",IF(O1086&lt;=30,"0-30 dias",IF(O1086&lt;=60,"31-60 dias",IF(O1086&lt;=90,"61-90 dias","Mais de 90 dias"))))</f>
        <v/>
      </c>
      <c r="O1086">
        <f>IF(OR(M1086="Pendente",M1086="Em andamento"),IF(J1086="","",TODAY()-J1086),"")</f>
        <v/>
      </c>
      <c r="P1086" t="n">
        <v>11365</v>
      </c>
      <c r="Q1086" t="inlineStr">
        <is>
          <t>Ártico Express (11365)</t>
        </is>
      </c>
      <c r="R1086" t="inlineStr">
        <is>
          <t>PC-0025</t>
        </is>
      </c>
      <c r="S1086" t="inlineStr">
        <is>
          <t>Relé de partida modelo 03</t>
        </is>
      </c>
      <c r="T1086" t="n">
        <v>1</v>
      </c>
      <c r="U1086" t="n">
        <v>129</v>
      </c>
      <c r="V1086">
        <f>IF(J1086="","",MONTH(J1086))</f>
        <v/>
      </c>
      <c r="W1086">
        <f>IF(J1086="","",YEAR(J1086))</f>
        <v/>
      </c>
      <c r="X1086" t="inlineStr">
        <is>
          <t>EntregaJá</t>
        </is>
      </c>
      <c r="Y1086">
        <f>IFERROR(INDEX(Rastreio!$H$2:$H$200,MATCH(X1086&amp;"|"&amp;U1086,Rastreio!$A$2:$A$200,0)),"")</f>
        <v/>
      </c>
    </row>
    <row r="1087">
      <c r="A1087">
        <f>IFERROR(INDEX(STAs!$G$2:$G$61,MATCH(P1087,STAs!$F$2:$F$61,0))&amp;"","")</f>
        <v/>
      </c>
      <c r="B1087" t="n">
        <v>20031711</v>
      </c>
      <c r="C1087" t="inlineStr">
        <is>
          <t>Não</t>
        </is>
      </c>
      <c r="D1087" t="inlineStr">
        <is>
          <t>RS</t>
        </is>
      </c>
      <c r="E1087" t="inlineStr">
        <is>
          <t>SUL</t>
        </is>
      </c>
      <c r="F1087" t="inlineStr">
        <is>
          <t>Cliente A - Refrigerador</t>
        </is>
      </c>
      <c r="G1087" t="inlineStr">
        <is>
          <t>Refrigeradores</t>
        </is>
      </c>
      <c r="H1087" s="10" t="n">
        <v>55</v>
      </c>
      <c r="I1087" s="10">
        <f>IFERROR(T1087*H1087,0)</f>
        <v/>
      </c>
      <c r="J1087" s="11" t="n">
        <v>46103</v>
      </c>
      <c r="K1087" s="11" t="n">
        <v>46115</v>
      </c>
      <c r="L1087" t="inlineStr">
        <is>
          <t>Ok. Devolvida</t>
        </is>
      </c>
      <c r="M1087">
        <f>IF(L1087="","",IFERROR(VLOOKUP(L1087,mapGrupoStatus,2,0),"Outros"))</f>
        <v/>
      </c>
      <c r="N1087">
        <f>IF(O1087="","",IF(O1087&lt;=30,"0-30 dias",IF(O1087&lt;=60,"31-60 dias",IF(O1087&lt;=90,"61-90 dias","Mais de 90 dias"))))</f>
        <v/>
      </c>
      <c r="O1087">
        <f>IF(OR(M1087="Pendente",M1087="Em andamento"),IF(J1087="","",TODAY()-J1087),"")</f>
        <v/>
      </c>
      <c r="P1087" t="n">
        <v>12617</v>
      </c>
      <c r="Q1087" t="inlineStr">
        <is>
          <t>Gelo Manutenção (12617)</t>
        </is>
      </c>
      <c r="R1087" t="inlineStr">
        <is>
          <t>PC-0008</t>
        </is>
      </c>
      <c r="S1087" t="inlineStr">
        <is>
          <t>Ventilador modelo 02</t>
        </is>
      </c>
      <c r="T1087" t="n">
        <v>1</v>
      </c>
      <c r="U1087" t="n">
        <v>156</v>
      </c>
      <c r="V1087">
        <f>IF(J1087="","",MONTH(J1087))</f>
        <v/>
      </c>
      <c r="W1087">
        <f>IF(J1087="","",YEAR(J1087))</f>
        <v/>
      </c>
      <c r="X1087" t="inlineStr">
        <is>
          <t>CargoMax</t>
        </is>
      </c>
      <c r="Y1087">
        <f>IFERROR(INDEX(Rastreio!$H$2:$H$200,MATCH(X1087&amp;"|"&amp;U1087,Rastreio!$A$2:$A$200,0)),"")</f>
        <v/>
      </c>
    </row>
    <row r="1088">
      <c r="A1088">
        <f>IFERROR(INDEX(STAs!$G$2:$G$61,MATCH(P1088,STAs!$F$2:$F$61,0))&amp;"","")</f>
        <v/>
      </c>
      <c r="B1088" t="n">
        <v>20036311</v>
      </c>
      <c r="C1088" t="inlineStr">
        <is>
          <t>Não</t>
        </is>
      </c>
      <c r="D1088" t="inlineStr">
        <is>
          <t>RJ</t>
        </is>
      </c>
      <c r="E1088" t="inlineStr">
        <is>
          <t>SUDESTE RJ e ES</t>
        </is>
      </c>
      <c r="F1088" t="inlineStr">
        <is>
          <t>Cliente B - Chopeira</t>
        </is>
      </c>
      <c r="G1088" t="inlineStr">
        <is>
          <t>Refrigeradores</t>
        </is>
      </c>
      <c r="H1088" s="10" t="n">
        <v>25</v>
      </c>
      <c r="I1088" s="10">
        <f>IFERROR(T1088*H1088,0)</f>
        <v/>
      </c>
      <c r="J1088" s="11" t="n">
        <v>46103</v>
      </c>
      <c r="K1088" s="11" t="n"/>
      <c r="L1088" t="inlineStr">
        <is>
          <t>Em andamento</t>
        </is>
      </c>
      <c r="M1088">
        <f>IF(L1088="","",IFERROR(VLOOKUP(L1088,mapGrupoStatus,2,0),"Outros"))</f>
        <v/>
      </c>
      <c r="N1088">
        <f>IF(O1088="","",IF(O1088&lt;=30,"0-30 dias",IF(O1088&lt;=60,"31-60 dias",IF(O1088&lt;=90,"61-90 dias","Mais de 90 dias"))))</f>
        <v/>
      </c>
      <c r="O1088">
        <f>IF(OR(M1088="Pendente",M1088="Em andamento"),IF(J1088="","",TODAY()-J1088),"")</f>
        <v/>
      </c>
      <c r="P1088" t="n">
        <v>11059</v>
      </c>
      <c r="Q1088" t="inlineStr">
        <is>
          <t>Frio Ltda (11059)</t>
        </is>
      </c>
      <c r="R1088" t="inlineStr">
        <is>
          <t>PC-0015</t>
        </is>
      </c>
      <c r="S1088" t="inlineStr">
        <is>
          <t>Filtro secador modelo 01</t>
        </is>
      </c>
      <c r="T1088" t="n">
        <v>1</v>
      </c>
      <c r="U1088" t="n">
        <v>163</v>
      </c>
      <c r="V1088">
        <f>IF(J1088="","",MONTH(J1088))</f>
        <v/>
      </c>
      <c r="W1088">
        <f>IF(J1088="","",YEAR(J1088))</f>
        <v/>
      </c>
      <c r="X1088" t="inlineStr">
        <is>
          <t>CargoMax</t>
        </is>
      </c>
      <c r="Y1088">
        <f>IFERROR(INDEX(Rastreio!$H$2:$H$200,MATCH(X1088&amp;"|"&amp;U1088,Rastreio!$A$2:$A$200,0)),"")</f>
        <v/>
      </c>
    </row>
    <row r="1089">
      <c r="A1089">
        <f>IFERROR(INDEX(STAs!$G$2:$G$61,MATCH(P1089,STAs!$F$2:$F$61,0))&amp;"","")</f>
        <v/>
      </c>
      <c r="B1089" t="n">
        <v>20037676</v>
      </c>
      <c r="C1089" t="inlineStr">
        <is>
          <t>Não</t>
        </is>
      </c>
      <c r="D1089" t="inlineStr">
        <is>
          <t>RR</t>
        </is>
      </c>
      <c r="E1089" t="inlineStr">
        <is>
          <t>NORTE</t>
        </is>
      </c>
      <c r="F1089" t="inlineStr">
        <is>
          <t>Cliente B - Chopeira</t>
        </is>
      </c>
      <c r="G1089" t="inlineStr">
        <is>
          <t>Refrigeradores</t>
        </is>
      </c>
      <c r="H1089" s="10" t="n">
        <v>35</v>
      </c>
      <c r="I1089" s="10">
        <f>IFERROR(T1089*H1089,0)</f>
        <v/>
      </c>
      <c r="J1089" s="11" t="n">
        <v>46103</v>
      </c>
      <c r="K1089" s="11" t="n">
        <v>46122</v>
      </c>
      <c r="L1089" t="inlineStr">
        <is>
          <t>Ok. Devolvida</t>
        </is>
      </c>
      <c r="M1089">
        <f>IF(L1089="","",IFERROR(VLOOKUP(L1089,mapGrupoStatus,2,0),"Outros"))</f>
        <v/>
      </c>
      <c r="N1089">
        <f>IF(O1089="","",IF(O1089&lt;=30,"0-30 dias",IF(O1089&lt;=60,"31-60 dias",IF(O1089&lt;=90,"61-90 dias","Mais de 90 dias"))))</f>
        <v/>
      </c>
      <c r="O1089">
        <f>IF(OR(M1089="Pendente",M1089="Em andamento"),IF(J1089="","",TODAY()-J1089),"")</f>
        <v/>
      </c>
      <c r="P1089" t="n">
        <v>12422</v>
      </c>
      <c r="Q1089" t="inlineStr">
        <is>
          <t>Assistência Técnica Refrigeração (12422)</t>
        </is>
      </c>
      <c r="R1089" t="inlineStr">
        <is>
          <t>PC-0024</t>
        </is>
      </c>
      <c r="S1089" t="inlineStr">
        <is>
          <t>Relé de partida modelo 02</t>
        </is>
      </c>
      <c r="T1089" t="n">
        <v>1</v>
      </c>
      <c r="U1089" t="n">
        <v>165</v>
      </c>
      <c r="V1089">
        <f>IF(J1089="","",MONTH(J1089))</f>
        <v/>
      </c>
      <c r="W1089">
        <f>IF(J1089="","",YEAR(J1089))</f>
        <v/>
      </c>
      <c r="X1089" t="inlineStr">
        <is>
          <t>CargoMax</t>
        </is>
      </c>
      <c r="Y1089">
        <f>IFERROR(INDEX(Rastreio!$H$2:$H$200,MATCH(X1089&amp;"|"&amp;U1089,Rastreio!$A$2:$A$200,0)),"")</f>
        <v/>
      </c>
    </row>
    <row r="1090">
      <c r="A1090">
        <f>IFERROR(INDEX(STAs!$G$2:$G$61,MATCH(P1090,STAs!$F$2:$F$61,0))&amp;"","")</f>
        <v/>
      </c>
      <c r="B1090" t="n">
        <v>20038182</v>
      </c>
      <c r="C1090" t="inlineStr">
        <is>
          <t>Não</t>
        </is>
      </c>
      <c r="D1090" t="inlineStr">
        <is>
          <t>ES</t>
        </is>
      </c>
      <c r="E1090" t="inlineStr">
        <is>
          <t>SUDESTE RJ e ES</t>
        </is>
      </c>
      <c r="F1090" t="inlineStr">
        <is>
          <t>Cliente B - Chopeira</t>
        </is>
      </c>
      <c r="G1090" t="inlineStr">
        <is>
          <t>Refrigeradores</t>
        </is>
      </c>
      <c r="H1090" s="10" t="n">
        <v>330</v>
      </c>
      <c r="I1090" s="10">
        <f>IFERROR(T1090*H1090,0)</f>
        <v/>
      </c>
      <c r="J1090" s="11" t="n">
        <v>46103</v>
      </c>
      <c r="K1090" s="11" t="n">
        <v>46150</v>
      </c>
      <c r="L1090" t="inlineStr">
        <is>
          <t>Ok. Devolvida</t>
        </is>
      </c>
      <c r="M1090">
        <f>IF(L1090="","",IFERROR(VLOOKUP(L1090,mapGrupoStatus,2,0),"Outros"))</f>
        <v/>
      </c>
      <c r="N1090">
        <f>IF(O1090="","",IF(O1090&lt;=30,"0-30 dias",IF(O1090&lt;=60,"31-60 dias",IF(O1090&lt;=90,"61-90 dias","Mais de 90 dias"))))</f>
        <v/>
      </c>
      <c r="O1090">
        <f>IF(OR(M1090="Pendente",M1090="Em andamento"),IF(J1090="","",TODAY()-J1090),"")</f>
        <v/>
      </c>
      <c r="P1090" t="n">
        <v>11396</v>
      </c>
      <c r="Q1090" t="inlineStr">
        <is>
          <t>Frio Manutenção (11396)</t>
        </is>
      </c>
      <c r="R1090" t="inlineStr">
        <is>
          <t>PC-0003</t>
        </is>
      </c>
      <c r="S1090" t="inlineStr">
        <is>
          <t>Compressor modelo 03</t>
        </is>
      </c>
      <c r="T1090" t="n">
        <v>1</v>
      </c>
      <c r="U1090" t="n">
        <v>156</v>
      </c>
      <c r="V1090">
        <f>IF(J1090="","",MONTH(J1090))</f>
        <v/>
      </c>
      <c r="W1090">
        <f>IF(J1090="","",YEAR(J1090))</f>
        <v/>
      </c>
      <c r="X1090" t="inlineStr">
        <is>
          <t>EntregaJá</t>
        </is>
      </c>
      <c r="Y1090">
        <f>IFERROR(INDEX(Rastreio!$H$2:$H$200,MATCH(X1090&amp;"|"&amp;U1090,Rastreio!$A$2:$A$200,0)),"")</f>
        <v/>
      </c>
    </row>
    <row r="1091">
      <c r="A1091">
        <f>IFERROR(INDEX(STAs!$G$2:$G$61,MATCH(P1091,STAs!$F$2:$F$61,0))&amp;"","")</f>
        <v/>
      </c>
      <c r="B1091" t="n">
        <v>20002029</v>
      </c>
      <c r="C1091" t="inlineStr">
        <is>
          <t>Não</t>
        </is>
      </c>
      <c r="D1091" t="inlineStr">
        <is>
          <t>RR</t>
        </is>
      </c>
      <c r="E1091" t="inlineStr">
        <is>
          <t>NORTE</t>
        </is>
      </c>
      <c r="F1091" t="inlineStr">
        <is>
          <t>Cliente A - Refrigerador</t>
        </is>
      </c>
      <c r="G1091" t="inlineStr">
        <is>
          <t>Refrigeradores</t>
        </is>
      </c>
      <c r="H1091" s="10" t="n">
        <v>35</v>
      </c>
      <c r="I1091" s="10">
        <f>IFERROR(T1091*H1091,0)</f>
        <v/>
      </c>
      <c r="J1091" s="11" t="n">
        <v>46104</v>
      </c>
      <c r="K1091" s="11" t="n"/>
      <c r="L1091" t="inlineStr">
        <is>
          <t>Não Devolve-Norte</t>
        </is>
      </c>
      <c r="M1091">
        <f>IF(L1091="","",IFERROR(VLOOKUP(L1091,mapGrupoStatus,2,0),"Outros"))</f>
        <v/>
      </c>
      <c r="N1091">
        <f>IF(O1091="","",IF(O1091&lt;=30,"0-30 dias",IF(O1091&lt;=60,"31-60 dias",IF(O1091&lt;=90,"61-90 dias","Mais de 90 dias"))))</f>
        <v/>
      </c>
      <c r="O1091">
        <f>IF(OR(M1091="Pendente",M1091="Em andamento"),IF(J1091="","",TODAY()-J1091),"")</f>
        <v/>
      </c>
      <c r="P1091" t="n">
        <v>12422</v>
      </c>
      <c r="Q1091" t="inlineStr">
        <is>
          <t>Assistência Técnica Refrigeração (12422)</t>
        </is>
      </c>
      <c r="R1091" t="inlineStr">
        <is>
          <t>PC-0023</t>
        </is>
      </c>
      <c r="S1091" t="inlineStr">
        <is>
          <t>Relé de partida modelo 01</t>
        </is>
      </c>
      <c r="T1091" t="n">
        <v>1</v>
      </c>
      <c r="U1091" t="inlineStr"/>
      <c r="V1091">
        <f>IF(J1091="","",MONTH(J1091))</f>
        <v/>
      </c>
      <c r="W1091">
        <f>IF(J1091="","",YEAR(J1091))</f>
        <v/>
      </c>
      <c r="X1091" t="inlineStr"/>
      <c r="Y1091">
        <f>IFERROR(INDEX(Rastreio!$H$2:$H$200,MATCH(X1091&amp;"|"&amp;U1091,Rastreio!$A$2:$A$200,0)),"")</f>
        <v/>
      </c>
    </row>
    <row r="1092">
      <c r="A1092">
        <f>IFERROR(INDEX(STAs!$G$2:$G$61,MATCH(P1092,STAs!$F$2:$F$61,0))&amp;"","")</f>
        <v/>
      </c>
      <c r="B1092" t="n">
        <v>20004069</v>
      </c>
      <c r="C1092" t="inlineStr">
        <is>
          <t>Não</t>
        </is>
      </c>
      <c r="D1092" t="inlineStr">
        <is>
          <t>ES</t>
        </is>
      </c>
      <c r="E1092" t="inlineStr">
        <is>
          <t>SUDESTE RJ e ES</t>
        </is>
      </c>
      <c r="F1092" t="inlineStr">
        <is>
          <t>Cliente A - Refrigerador</t>
        </is>
      </c>
      <c r="G1092" t="inlineStr">
        <is>
          <t>Refrigeradores</t>
        </is>
      </c>
      <c r="H1092" s="10" t="n">
        <v>175</v>
      </c>
      <c r="I1092" s="10">
        <f>IFERROR(T1092*H1092,0)</f>
        <v/>
      </c>
      <c r="J1092" s="11" t="n">
        <v>46104</v>
      </c>
      <c r="K1092" s="11" t="n"/>
      <c r="L1092" t="inlineStr">
        <is>
          <t>Aguardando devolução</t>
        </is>
      </c>
      <c r="M1092">
        <f>IF(L1092="","",IFERROR(VLOOKUP(L1092,mapGrupoStatus,2,0),"Outros"))</f>
        <v/>
      </c>
      <c r="N1092">
        <f>IF(O1092="","",IF(O1092&lt;=30,"0-30 dias",IF(O1092&lt;=60,"31-60 dias",IF(O1092&lt;=90,"61-90 dias","Mais de 90 dias"))))</f>
        <v/>
      </c>
      <c r="O1092">
        <f>IF(OR(M1092="Pendente",M1092="Em andamento"),IF(J1092="","",TODAY()-J1092),"")</f>
        <v/>
      </c>
      <c r="P1092" t="n">
        <v>12555</v>
      </c>
      <c r="Q1092" t="inlineStr">
        <is>
          <t>Cool Service Serviços (12555)</t>
        </is>
      </c>
      <c r="R1092" t="inlineStr">
        <is>
          <t>PC-0012</t>
        </is>
      </c>
      <c r="S1092" t="inlineStr">
        <is>
          <t>Placa eletrônica modelo 02</t>
        </is>
      </c>
      <c r="T1092" t="n">
        <v>2</v>
      </c>
      <c r="U1092" t="inlineStr"/>
      <c r="V1092">
        <f>IF(J1092="","",MONTH(J1092))</f>
        <v/>
      </c>
      <c r="W1092">
        <f>IF(J1092="","",YEAR(J1092))</f>
        <v/>
      </c>
      <c r="X1092" t="inlineStr"/>
      <c r="Y1092">
        <f>IFERROR(INDEX(Rastreio!$H$2:$H$200,MATCH(X1092&amp;"|"&amp;U1092,Rastreio!$A$2:$A$200,0)),"")</f>
        <v/>
      </c>
    </row>
    <row r="1093">
      <c r="A1093">
        <f>IFERROR(INDEX(STAs!$G$2:$G$61,MATCH(P1093,STAs!$F$2:$F$61,0))&amp;"","")</f>
        <v/>
      </c>
      <c r="B1093" t="n">
        <v>20005109</v>
      </c>
      <c r="C1093" t="inlineStr">
        <is>
          <t>Não</t>
        </is>
      </c>
      <c r="D1093" t="inlineStr">
        <is>
          <t>MG</t>
        </is>
      </c>
      <c r="E1093" t="inlineStr">
        <is>
          <t>SUDESTE MG</t>
        </is>
      </c>
      <c r="F1093" t="inlineStr">
        <is>
          <t>Cliente C - Misturador</t>
        </is>
      </c>
      <c r="G1093" t="inlineStr">
        <is>
          <t>Refrigeradores</t>
        </is>
      </c>
      <c r="H1093" s="10" t="n">
        <v>35</v>
      </c>
      <c r="I1093" s="10">
        <f>IFERROR(T1093*H1093,0)</f>
        <v/>
      </c>
      <c r="J1093" s="11" t="n">
        <v>46104</v>
      </c>
      <c r="K1093" s="11" t="n">
        <v>46134</v>
      </c>
      <c r="L1093" t="inlineStr">
        <is>
          <t>Ok. Devolvida</t>
        </is>
      </c>
      <c r="M1093">
        <f>IF(L1093="","",IFERROR(VLOOKUP(L1093,mapGrupoStatus,2,0),"Outros"))</f>
        <v/>
      </c>
      <c r="N1093">
        <f>IF(O1093="","",IF(O1093&lt;=30,"0-30 dias",IF(O1093&lt;=60,"31-60 dias",IF(O1093&lt;=90,"61-90 dias","Mais de 90 dias"))))</f>
        <v/>
      </c>
      <c r="O1093">
        <f>IF(OR(M1093="Pendente",M1093="Em andamento"),IF(J1093="","",TODAY()-J1093),"")</f>
        <v/>
      </c>
      <c r="P1093" t="n">
        <v>12470</v>
      </c>
      <c r="Q1093" t="inlineStr">
        <is>
          <t>Cool Service Técnica (12470)</t>
        </is>
      </c>
      <c r="R1093" t="inlineStr">
        <is>
          <t>PC-0023</t>
        </is>
      </c>
      <c r="S1093" t="inlineStr">
        <is>
          <t>Relé de partida modelo 01</t>
        </is>
      </c>
      <c r="T1093" t="n">
        <v>1</v>
      </c>
      <c r="U1093" t="n">
        <v>110</v>
      </c>
      <c r="V1093">
        <f>IF(J1093="","",MONTH(J1093))</f>
        <v/>
      </c>
      <c r="W1093">
        <f>IF(J1093="","",YEAR(J1093))</f>
        <v/>
      </c>
      <c r="X1093" t="inlineStr">
        <is>
          <t>RotaSul</t>
        </is>
      </c>
      <c r="Y1093">
        <f>IFERROR(INDEX(Rastreio!$H$2:$H$200,MATCH(X1093&amp;"|"&amp;U1093,Rastreio!$A$2:$A$200,0)),"")</f>
        <v/>
      </c>
    </row>
    <row r="1094">
      <c r="A1094">
        <f>IFERROR(INDEX(STAs!$G$2:$G$61,MATCH(P1094,STAs!$F$2:$F$61,0))&amp;"","")</f>
        <v/>
      </c>
      <c r="B1094" t="n">
        <v>20010225</v>
      </c>
      <c r="C1094" t="inlineStr">
        <is>
          <t>Não</t>
        </is>
      </c>
      <c r="D1094" t="inlineStr">
        <is>
          <t>MG</t>
        </is>
      </c>
      <c r="E1094" t="inlineStr">
        <is>
          <t>SUDESTE MG</t>
        </is>
      </c>
      <c r="F1094" t="inlineStr">
        <is>
          <t>Cliente C - Misturador</t>
        </is>
      </c>
      <c r="G1094" t="inlineStr">
        <is>
          <t>Chopeiras</t>
        </is>
      </c>
      <c r="H1094" s="10" t="n">
        <v>115</v>
      </c>
      <c r="I1094" s="10">
        <f>IFERROR(T1094*H1094,0)</f>
        <v/>
      </c>
      <c r="J1094" s="11" t="n">
        <v>46104</v>
      </c>
      <c r="K1094" s="11" t="n">
        <v>46109</v>
      </c>
      <c r="L1094" t="inlineStr">
        <is>
          <t>Ok. Devolvida</t>
        </is>
      </c>
      <c r="M1094">
        <f>IF(L1094="","",IFERROR(VLOOKUP(L1094,mapGrupoStatus,2,0),"Outros"))</f>
        <v/>
      </c>
      <c r="N1094">
        <f>IF(O1094="","",IF(O1094&lt;=30,"0-30 dias",IF(O1094&lt;=60,"31-60 dias",IF(O1094&lt;=90,"61-90 dias","Mais de 90 dias"))))</f>
        <v/>
      </c>
      <c r="O1094">
        <f>IF(OR(M1094="Pendente",M1094="Em andamento"),IF(J1094="","",TODAY()-J1094),"")</f>
        <v/>
      </c>
      <c r="P1094" t="n">
        <v>11619</v>
      </c>
      <c r="Q1094" t="inlineStr">
        <is>
          <t>Refrigeração Ltda (11619)</t>
        </is>
      </c>
      <c r="R1094" t="inlineStr">
        <is>
          <t>PC-0033</t>
        </is>
      </c>
      <c r="S1094" t="inlineStr">
        <is>
          <t>Regulador de pressão modelo 02</t>
        </is>
      </c>
      <c r="T1094" t="n">
        <v>1</v>
      </c>
      <c r="U1094" t="n">
        <v>121</v>
      </c>
      <c r="V1094">
        <f>IF(J1094="","",MONTH(J1094))</f>
        <v/>
      </c>
      <c r="W1094">
        <f>IF(J1094="","",YEAR(J1094))</f>
        <v/>
      </c>
      <c r="X1094" t="inlineStr">
        <is>
          <t>EntregaJá</t>
        </is>
      </c>
      <c r="Y1094">
        <f>IFERROR(INDEX(Rastreio!$H$2:$H$200,MATCH(X1094&amp;"|"&amp;U1094,Rastreio!$A$2:$A$200,0)),"")</f>
        <v/>
      </c>
    </row>
    <row r="1095">
      <c r="A1095">
        <f>IFERROR(INDEX(STAs!$G$2:$G$61,MATCH(P1095,STAs!$F$2:$F$61,0))&amp;"","")</f>
        <v/>
      </c>
      <c r="B1095" t="n">
        <v>20017762</v>
      </c>
      <c r="C1095" t="inlineStr">
        <is>
          <t>Não</t>
        </is>
      </c>
      <c r="D1095" t="inlineStr">
        <is>
          <t>RO</t>
        </is>
      </c>
      <c r="E1095" t="inlineStr">
        <is>
          <t>NORTE</t>
        </is>
      </c>
      <c r="F1095" t="inlineStr">
        <is>
          <t>Cliente A - Refrigerador</t>
        </is>
      </c>
      <c r="G1095" t="inlineStr">
        <is>
          <t>Misturadores</t>
        </is>
      </c>
      <c r="H1095" s="10" t="n">
        <v>35</v>
      </c>
      <c r="I1095" s="10">
        <f>IFERROR(T1095*H1095,0)</f>
        <v/>
      </c>
      <c r="J1095" s="11" t="n">
        <v>46104</v>
      </c>
      <c r="K1095" s="11" t="n"/>
      <c r="L1095" t="inlineStr">
        <is>
          <t>Debitar do STA</t>
        </is>
      </c>
      <c r="M1095">
        <f>IF(L1095="","",IFERROR(VLOOKUP(L1095,mapGrupoStatus,2,0),"Outros"))</f>
        <v/>
      </c>
      <c r="N1095">
        <f>IF(O1095="","",IF(O1095&lt;=30,"0-30 dias",IF(O1095&lt;=60,"31-60 dias",IF(O1095&lt;=90,"61-90 dias","Mais de 90 dias"))))</f>
        <v/>
      </c>
      <c r="O1095">
        <f>IF(OR(M1095="Pendente",M1095="Em andamento"),IF(J1095="","",TODAY()-J1095),"")</f>
        <v/>
      </c>
      <c r="P1095" t="n">
        <v>12019</v>
      </c>
      <c r="Q1095" t="inlineStr">
        <is>
          <t>Ártico Serviços (12019)</t>
        </is>
      </c>
      <c r="R1095" t="inlineStr">
        <is>
          <t>PC-0043</t>
        </is>
      </c>
      <c r="S1095" t="inlineStr">
        <is>
          <t>Bico dosador modelo 02</t>
        </is>
      </c>
      <c r="T1095" t="n">
        <v>1</v>
      </c>
      <c r="U1095" t="inlineStr"/>
      <c r="V1095">
        <f>IF(J1095="","",MONTH(J1095))</f>
        <v/>
      </c>
      <c r="W1095">
        <f>IF(J1095="","",YEAR(J1095))</f>
        <v/>
      </c>
      <c r="X1095" t="inlineStr"/>
      <c r="Y1095">
        <f>IFERROR(INDEX(Rastreio!$H$2:$H$200,MATCH(X1095&amp;"|"&amp;U1095,Rastreio!$A$2:$A$200,0)),"")</f>
        <v/>
      </c>
    </row>
    <row r="1096">
      <c r="A1096">
        <f>IFERROR(INDEX(STAs!$G$2:$G$61,MATCH(P1096,STAs!$F$2:$F$61,0))&amp;"","")</f>
        <v/>
      </c>
      <c r="B1096" t="n">
        <v>20024501</v>
      </c>
      <c r="C1096" t="inlineStr">
        <is>
          <t>Não</t>
        </is>
      </c>
      <c r="D1096" t="inlineStr">
        <is>
          <t>PB</t>
        </is>
      </c>
      <c r="E1096" t="inlineStr">
        <is>
          <t>NORDESTE</t>
        </is>
      </c>
      <c r="F1096" t="inlineStr">
        <is>
          <t>Cliente A - Refrigerador</t>
        </is>
      </c>
      <c r="G1096" t="inlineStr">
        <is>
          <t>Refrigeradores</t>
        </is>
      </c>
      <c r="H1096" s="10" t="n">
        <v>40</v>
      </c>
      <c r="I1096" s="10">
        <f>IFERROR(T1096*H1096,0)</f>
        <v/>
      </c>
      <c r="J1096" s="11" t="n">
        <v>46104</v>
      </c>
      <c r="K1096" s="11" t="n">
        <v>46143</v>
      </c>
      <c r="L1096" t="inlineStr">
        <is>
          <t>Ok. Devolvida</t>
        </is>
      </c>
      <c r="M1096">
        <f>IF(L1096="","",IFERROR(VLOOKUP(L1096,mapGrupoStatus,2,0),"Outros"))</f>
        <v/>
      </c>
      <c r="N1096">
        <f>IF(O1096="","",IF(O1096&lt;=30,"0-30 dias",IF(O1096&lt;=60,"31-60 dias",IF(O1096&lt;=90,"61-90 dias","Mais de 90 dias"))))</f>
        <v/>
      </c>
      <c r="O1096">
        <f>IF(OR(M1096="Pendente",M1096="Em andamento"),IF(J1096="","",TODAY()-J1096),"")</f>
        <v/>
      </c>
      <c r="P1096" t="n">
        <v>11741</v>
      </c>
      <c r="Q1096" t="inlineStr">
        <is>
          <t>Clima Refrigeração (11741)</t>
        </is>
      </c>
      <c r="R1096" t="inlineStr">
        <is>
          <t>PC-0004</t>
        </is>
      </c>
      <c r="S1096" t="inlineStr">
        <is>
          <t>Termostato modelo 01</t>
        </is>
      </c>
      <c r="T1096" t="n">
        <v>1</v>
      </c>
      <c r="U1096" t="n">
        <v>142</v>
      </c>
      <c r="V1096">
        <f>IF(J1096="","",MONTH(J1096))</f>
        <v/>
      </c>
      <c r="W1096">
        <f>IF(J1096="","",YEAR(J1096))</f>
        <v/>
      </c>
      <c r="X1096" t="inlineStr">
        <is>
          <t>CargoMax</t>
        </is>
      </c>
      <c r="Y1096">
        <f>IFERROR(INDEX(Rastreio!$H$2:$H$200,MATCH(X1096&amp;"|"&amp;U1096,Rastreio!$A$2:$A$200,0)),"")</f>
        <v/>
      </c>
    </row>
    <row r="1097">
      <c r="A1097">
        <f>IFERROR(INDEX(STAs!$G$2:$G$61,MATCH(P1097,STAs!$F$2:$F$61,0))&amp;"","")</f>
        <v/>
      </c>
      <c r="B1097" t="n">
        <v>20029792</v>
      </c>
      <c r="C1097" t="inlineStr">
        <is>
          <t>Sim</t>
        </is>
      </c>
      <c r="D1097" t="inlineStr">
        <is>
          <t>GO</t>
        </is>
      </c>
      <c r="E1097" t="inlineStr">
        <is>
          <t>CENTRO OESTE</t>
        </is>
      </c>
      <c r="F1097" t="inlineStr">
        <is>
          <t>Cliente A - Refrigerador</t>
        </is>
      </c>
      <c r="G1097" t="inlineStr">
        <is>
          <t>Refrigeradores</t>
        </is>
      </c>
      <c r="H1097" s="10" t="n">
        <v>55</v>
      </c>
      <c r="I1097" s="10">
        <f>IFERROR(T1097*H1097,0)</f>
        <v/>
      </c>
      <c r="J1097" s="11" t="n">
        <v>46104</v>
      </c>
      <c r="K1097" s="11" t="n"/>
      <c r="L1097" t="inlineStr">
        <is>
          <t>Aguardando devolução</t>
        </is>
      </c>
      <c r="M1097">
        <f>IF(L1097="","",IFERROR(VLOOKUP(L1097,mapGrupoStatus,2,0),"Outros"))</f>
        <v/>
      </c>
      <c r="N1097">
        <f>IF(O1097="","",IF(O1097&lt;=30,"0-30 dias",IF(O1097&lt;=60,"31-60 dias",IF(O1097&lt;=90,"61-90 dias","Mais de 90 dias"))))</f>
        <v/>
      </c>
      <c r="O1097">
        <f>IF(OR(M1097="Pendente",M1097="Em andamento"),IF(J1097="","",TODAY()-J1097),"")</f>
        <v/>
      </c>
      <c r="P1097" t="n">
        <v>11677</v>
      </c>
      <c r="Q1097" t="inlineStr">
        <is>
          <t>Cool Service Manutenção (11677)</t>
        </is>
      </c>
      <c r="R1097" t="inlineStr">
        <is>
          <t>PC-0007</t>
        </is>
      </c>
      <c r="S1097" t="inlineStr">
        <is>
          <t>Ventilador modelo 01</t>
        </is>
      </c>
      <c r="T1097" t="n">
        <v>1</v>
      </c>
      <c r="U1097" t="inlineStr"/>
      <c r="V1097">
        <f>IF(J1097="","",MONTH(J1097))</f>
        <v/>
      </c>
      <c r="W1097">
        <f>IF(J1097="","",YEAR(J1097))</f>
        <v/>
      </c>
      <c r="X1097" t="inlineStr"/>
      <c r="Y1097">
        <f>IFERROR(INDEX(Rastreio!$H$2:$H$200,MATCH(X1097&amp;"|"&amp;U1097,Rastreio!$A$2:$A$200,0)),"")</f>
        <v/>
      </c>
    </row>
    <row r="1098">
      <c r="A1098">
        <f>IFERROR(INDEX(STAs!$G$2:$G$61,MATCH(P1098,STAs!$F$2:$F$61,0))&amp;"","")</f>
        <v/>
      </c>
      <c r="B1098" t="n">
        <v>20031176</v>
      </c>
      <c r="C1098" t="inlineStr">
        <is>
          <t>Não</t>
        </is>
      </c>
      <c r="D1098" t="inlineStr">
        <is>
          <t>SP</t>
        </is>
      </c>
      <c r="E1098" t="inlineStr">
        <is>
          <t>SUDESTE SP</t>
        </is>
      </c>
      <c r="F1098" t="inlineStr">
        <is>
          <t>Cliente A - Refrigerador</t>
        </is>
      </c>
      <c r="G1098" t="inlineStr">
        <is>
          <t>Refrigeradores</t>
        </is>
      </c>
      <c r="H1098" s="10" t="n">
        <v>175</v>
      </c>
      <c r="I1098" s="10">
        <f>IFERROR(T1098*H1098,0)</f>
        <v/>
      </c>
      <c r="J1098" s="11" t="n">
        <v>46104</v>
      </c>
      <c r="K1098" s="11" t="n"/>
      <c r="L1098" t="inlineStr">
        <is>
          <t>Em andamento</t>
        </is>
      </c>
      <c r="M1098">
        <f>IF(L1098="","",IFERROR(VLOOKUP(L1098,mapGrupoStatus,2,0),"Outros"))</f>
        <v/>
      </c>
      <c r="N1098">
        <f>IF(O1098="","",IF(O1098&lt;=30,"0-30 dias",IF(O1098&lt;=60,"31-60 dias",IF(O1098&lt;=90,"61-90 dias","Mais de 90 dias"))))</f>
        <v/>
      </c>
      <c r="O1098">
        <f>IF(OR(M1098="Pendente",M1098="Em andamento"),IF(J1098="","",TODAY()-J1098),"")</f>
        <v/>
      </c>
      <c r="P1098" t="n">
        <v>11365</v>
      </c>
      <c r="Q1098" t="inlineStr">
        <is>
          <t>Ártico Express (11365)</t>
        </is>
      </c>
      <c r="R1098" t="inlineStr">
        <is>
          <t>PC-0012</t>
        </is>
      </c>
      <c r="S1098" t="inlineStr">
        <is>
          <t>Placa eletrônica modelo 02</t>
        </is>
      </c>
      <c r="T1098" t="n">
        <v>1</v>
      </c>
      <c r="U1098" t="n">
        <v>158</v>
      </c>
      <c r="V1098">
        <f>IF(J1098="","",MONTH(J1098))</f>
        <v/>
      </c>
      <c r="W1098">
        <f>IF(J1098="","",YEAR(J1098))</f>
        <v/>
      </c>
      <c r="X1098" t="inlineStr">
        <is>
          <t>LogExpress</t>
        </is>
      </c>
      <c r="Y1098">
        <f>IFERROR(INDEX(Rastreio!$H$2:$H$200,MATCH(X1098&amp;"|"&amp;U1098,Rastreio!$A$2:$A$200,0)),"")</f>
        <v/>
      </c>
    </row>
    <row r="1099">
      <c r="A1099">
        <f>IFERROR(INDEX(STAs!$G$2:$G$61,MATCH(P1099,STAs!$F$2:$F$61,0))&amp;"","")</f>
        <v/>
      </c>
      <c r="B1099" t="n">
        <v>20033547</v>
      </c>
      <c r="C1099" t="inlineStr">
        <is>
          <t>Não</t>
        </is>
      </c>
      <c r="D1099" t="inlineStr">
        <is>
          <t>RJ</t>
        </is>
      </c>
      <c r="E1099" t="inlineStr">
        <is>
          <t>SUDESTE RJ e ES</t>
        </is>
      </c>
      <c r="F1099" t="inlineStr">
        <is>
          <t>Cliente B - Chopeira</t>
        </is>
      </c>
      <c r="G1099" t="inlineStr">
        <is>
          <t>Refrigeradores</t>
        </is>
      </c>
      <c r="H1099" s="10" t="n">
        <v>35</v>
      </c>
      <c r="I1099" s="10">
        <f>IFERROR(T1099*H1099,0)</f>
        <v/>
      </c>
      <c r="J1099" s="11" t="n">
        <v>46104</v>
      </c>
      <c r="K1099" s="11" t="n">
        <v>46145</v>
      </c>
      <c r="L1099" t="inlineStr">
        <is>
          <t>Ok. Devolvida</t>
        </is>
      </c>
      <c r="M1099">
        <f>IF(L1099="","",IFERROR(VLOOKUP(L1099,mapGrupoStatus,2,0),"Outros"))</f>
        <v/>
      </c>
      <c r="N1099">
        <f>IF(O1099="","",IF(O1099&lt;=30,"0-30 dias",IF(O1099&lt;=60,"31-60 dias",IF(O1099&lt;=90,"61-90 dias","Mais de 90 dias"))))</f>
        <v/>
      </c>
      <c r="O1099">
        <f>IF(OR(M1099="Pendente",M1099="Em andamento"),IF(J1099="","",TODAY()-J1099),"")</f>
        <v/>
      </c>
      <c r="P1099" t="n">
        <v>12336</v>
      </c>
      <c r="Q1099" t="inlineStr">
        <is>
          <t>Termotec ME (12336)</t>
        </is>
      </c>
      <c r="R1099" t="inlineStr">
        <is>
          <t>PC-0016</t>
        </is>
      </c>
      <c r="S1099" t="inlineStr">
        <is>
          <t>Filtro secador modelo 02</t>
        </is>
      </c>
      <c r="T1099" t="n">
        <v>1</v>
      </c>
      <c r="U1099" t="n">
        <v>159</v>
      </c>
      <c r="V1099">
        <f>IF(J1099="","",MONTH(J1099))</f>
        <v/>
      </c>
      <c r="W1099">
        <f>IF(J1099="","",YEAR(J1099))</f>
        <v/>
      </c>
      <c r="X1099" t="inlineStr">
        <is>
          <t>RotaSul</t>
        </is>
      </c>
      <c r="Y1099">
        <f>IFERROR(INDEX(Rastreio!$H$2:$H$200,MATCH(X1099&amp;"|"&amp;U1099,Rastreio!$A$2:$A$200,0)),"")</f>
        <v/>
      </c>
    </row>
    <row r="1100">
      <c r="A1100">
        <f>IFERROR(INDEX(STAs!$G$2:$G$61,MATCH(P1100,STAs!$F$2:$F$61,0))&amp;"","")</f>
        <v/>
      </c>
      <c r="B1100" t="n">
        <v>20034301</v>
      </c>
      <c r="C1100" t="inlineStr">
        <is>
          <t>Não</t>
        </is>
      </c>
      <c r="D1100" t="inlineStr">
        <is>
          <t>MS</t>
        </is>
      </c>
      <c r="E1100" t="inlineStr">
        <is>
          <t>CENTRO OESTE</t>
        </is>
      </c>
      <c r="F1100" t="inlineStr">
        <is>
          <t>Cliente A - Refrigerador</t>
        </is>
      </c>
      <c r="G1100" t="inlineStr">
        <is>
          <t>Chopeiras</t>
        </is>
      </c>
      <c r="H1100" s="10" t="n">
        <v>85</v>
      </c>
      <c r="I1100" s="10">
        <f>IFERROR(T1100*H1100,0)</f>
        <v/>
      </c>
      <c r="J1100" s="11" t="n">
        <v>46104</v>
      </c>
      <c r="K1100" s="11" t="n"/>
      <c r="L1100" t="inlineStr">
        <is>
          <t>Em transporte</t>
        </is>
      </c>
      <c r="M1100">
        <f>IF(L1100="","",IFERROR(VLOOKUP(L1100,mapGrupoStatus,2,0),"Outros"))</f>
        <v/>
      </c>
      <c r="N1100">
        <f>IF(O1100="","",IF(O1100&lt;=30,"0-30 dias",IF(O1100&lt;=60,"31-60 dias",IF(O1100&lt;=90,"61-90 dias","Mais de 90 dias"))))</f>
        <v/>
      </c>
      <c r="O1100">
        <f>IF(OR(M1100="Pendente",M1100="Em andamento"),IF(J1100="","",TODAY()-J1100),"")</f>
        <v/>
      </c>
      <c r="P1100" t="n">
        <v>11726</v>
      </c>
      <c r="Q1100" t="inlineStr">
        <is>
          <t>Norte Frio Refrigeração (11726)</t>
        </is>
      </c>
      <c r="R1100" t="inlineStr">
        <is>
          <t>PC-0035</t>
        </is>
      </c>
      <c r="S1100" t="inlineStr">
        <is>
          <t>Válvula extratora modelo 01</t>
        </is>
      </c>
      <c r="T1100" t="n">
        <v>1</v>
      </c>
      <c r="U1100" t="n">
        <v>161</v>
      </c>
      <c r="V1100">
        <f>IF(J1100="","",MONTH(J1100))</f>
        <v/>
      </c>
      <c r="W1100">
        <f>IF(J1100="","",YEAR(J1100))</f>
        <v/>
      </c>
      <c r="X1100" t="inlineStr">
        <is>
          <t>LogExpress</t>
        </is>
      </c>
      <c r="Y1100">
        <f>IFERROR(INDEX(Rastreio!$H$2:$H$200,MATCH(X1100&amp;"|"&amp;U1100,Rastreio!$A$2:$A$200,0)),"")</f>
        <v/>
      </c>
    </row>
    <row r="1101">
      <c r="A1101">
        <f>IFERROR(INDEX(STAs!$G$2:$G$61,MATCH(P1101,STAs!$F$2:$F$61,0))&amp;"","")</f>
        <v/>
      </c>
      <c r="B1101" t="n">
        <v>20018701</v>
      </c>
      <c r="C1101" t="inlineStr">
        <is>
          <t>Não</t>
        </is>
      </c>
      <c r="D1101" t="inlineStr">
        <is>
          <t>AP</t>
        </is>
      </c>
      <c r="E1101" t="inlineStr">
        <is>
          <t>NORTE</t>
        </is>
      </c>
      <c r="F1101" t="inlineStr">
        <is>
          <t>Cliente B - Chopeira</t>
        </is>
      </c>
      <c r="G1101" t="inlineStr">
        <is>
          <t>Refrigeradores</t>
        </is>
      </c>
      <c r="H1101" s="10" t="n">
        <v>30</v>
      </c>
      <c r="I1101" s="10">
        <f>IFERROR(T1101*H1101,0)</f>
        <v/>
      </c>
      <c r="J1101" s="11" t="n">
        <v>46105</v>
      </c>
      <c r="K1101" s="11" t="n"/>
      <c r="L1101" t="inlineStr">
        <is>
          <t>Não Devolve-Norte</t>
        </is>
      </c>
      <c r="M1101">
        <f>IF(L1101="","",IFERROR(VLOOKUP(L1101,mapGrupoStatus,2,0),"Outros"))</f>
        <v/>
      </c>
      <c r="N1101">
        <f>IF(O1101="","",IF(O1101&lt;=30,"0-30 dias",IF(O1101&lt;=60,"31-60 dias",IF(O1101&lt;=90,"61-90 dias","Mais de 90 dias"))))</f>
        <v/>
      </c>
      <c r="O1101">
        <f>IF(OR(M1101="Pendente",M1101="Em andamento"),IF(J1101="","",TODAY()-J1101),"")</f>
        <v/>
      </c>
      <c r="P1101" t="n">
        <v>11859</v>
      </c>
      <c r="Q1101" t="inlineStr">
        <is>
          <t>Ice Tech Serviços (11859)</t>
        </is>
      </c>
      <c r="R1101" t="inlineStr">
        <is>
          <t>PC-0025</t>
        </is>
      </c>
      <c r="S1101" t="inlineStr">
        <is>
          <t>Relé de partida modelo 03</t>
        </is>
      </c>
      <c r="T1101" t="n">
        <v>1</v>
      </c>
      <c r="U1101" t="inlineStr"/>
      <c r="V1101">
        <f>IF(J1101="","",MONTH(J1101))</f>
        <v/>
      </c>
      <c r="W1101">
        <f>IF(J1101="","",YEAR(J1101))</f>
        <v/>
      </c>
      <c r="X1101" t="inlineStr"/>
      <c r="Y1101">
        <f>IFERROR(INDEX(Rastreio!$H$2:$H$200,MATCH(X1101&amp;"|"&amp;U1101,Rastreio!$A$2:$A$200,0)),"")</f>
        <v/>
      </c>
    </row>
    <row r="1102">
      <c r="A1102">
        <f>IFERROR(INDEX(STAs!$G$2:$G$61,MATCH(P1102,STAs!$F$2:$F$61,0))&amp;"","")</f>
        <v/>
      </c>
      <c r="B1102" t="n">
        <v>20026619</v>
      </c>
      <c r="C1102" t="inlineStr">
        <is>
          <t>Sim</t>
        </is>
      </c>
      <c r="D1102" t="inlineStr">
        <is>
          <t>PR</t>
        </is>
      </c>
      <c r="E1102" t="inlineStr">
        <is>
          <t>SUL</t>
        </is>
      </c>
      <c r="F1102" t="inlineStr">
        <is>
          <t>Cliente A - Refrigerador</t>
        </is>
      </c>
      <c r="G1102" t="inlineStr">
        <is>
          <t>Refrigeradores</t>
        </is>
      </c>
      <c r="H1102" s="10" t="n">
        <v>155</v>
      </c>
      <c r="I1102" s="10">
        <f>IFERROR(T1102*H1102,0)</f>
        <v/>
      </c>
      <c r="J1102" s="11" t="n">
        <v>46105</v>
      </c>
      <c r="K1102" s="11" t="n">
        <v>46159</v>
      </c>
      <c r="L1102" t="inlineStr">
        <is>
          <t>Ok. Devolvida</t>
        </is>
      </c>
      <c r="M1102">
        <f>IF(L1102="","",IFERROR(VLOOKUP(L1102,mapGrupoStatus,2,0),"Outros"))</f>
        <v/>
      </c>
      <c r="N1102">
        <f>IF(O1102="","",IF(O1102&lt;=30,"0-30 dias",IF(O1102&lt;=60,"31-60 dias",IF(O1102&lt;=90,"61-90 dias","Mais de 90 dias"))))</f>
        <v/>
      </c>
      <c r="O1102">
        <f>IF(OR(M1102="Pendente",M1102="Em andamento"),IF(J1102="","",TODAY()-J1102),"")</f>
        <v/>
      </c>
      <c r="P1102" t="n">
        <v>10913</v>
      </c>
      <c r="Q1102" t="inlineStr">
        <is>
          <t>Ice Tech &amp; Cia (10913)</t>
        </is>
      </c>
      <c r="R1102" t="inlineStr">
        <is>
          <t>PC-0021</t>
        </is>
      </c>
      <c r="S1102" t="inlineStr">
        <is>
          <t>Controlador digital modelo 01</t>
        </is>
      </c>
      <c r="T1102" t="n">
        <v>1</v>
      </c>
      <c r="U1102" t="n">
        <v>143</v>
      </c>
      <c r="V1102">
        <f>IF(J1102="","",MONTH(J1102))</f>
        <v/>
      </c>
      <c r="W1102">
        <f>IF(J1102="","",YEAR(J1102))</f>
        <v/>
      </c>
      <c r="X1102" t="inlineStr">
        <is>
          <t>ViaCargo</t>
        </is>
      </c>
      <c r="Y1102">
        <f>IFERROR(INDEX(Rastreio!$H$2:$H$200,MATCH(X1102&amp;"|"&amp;U1102,Rastreio!$A$2:$A$200,0)),"")</f>
        <v/>
      </c>
    </row>
    <row r="1103">
      <c r="A1103">
        <f>IFERROR(INDEX(STAs!$G$2:$G$61,MATCH(P1103,STAs!$F$2:$F$61,0))&amp;"","")</f>
        <v/>
      </c>
      <c r="B1103" t="n">
        <v>20036531</v>
      </c>
      <c r="C1103" t="inlineStr">
        <is>
          <t>Não</t>
        </is>
      </c>
      <c r="D1103" t="inlineStr">
        <is>
          <t>MG</t>
        </is>
      </c>
      <c r="E1103" t="inlineStr">
        <is>
          <t>SUDESTE MG</t>
        </is>
      </c>
      <c r="F1103" t="inlineStr">
        <is>
          <t>Cliente A - Refrigerador</t>
        </is>
      </c>
      <c r="G1103" t="inlineStr">
        <is>
          <t>Misturadores</t>
        </is>
      </c>
      <c r="H1103" s="10" t="n">
        <v>185</v>
      </c>
      <c r="I1103" s="10">
        <f>IFERROR(T1103*H1103,0)</f>
        <v/>
      </c>
      <c r="J1103" s="11" t="n">
        <v>46105</v>
      </c>
      <c r="K1103" s="11" t="n">
        <v>46137</v>
      </c>
      <c r="L1103" t="inlineStr">
        <is>
          <t>Ok. Devolvida</t>
        </is>
      </c>
      <c r="M1103">
        <f>IF(L1103="","",IFERROR(VLOOKUP(L1103,mapGrupoStatus,2,0),"Outros"))</f>
        <v/>
      </c>
      <c r="N1103">
        <f>IF(O1103="","",IF(O1103&lt;=30,"0-30 dias",IF(O1103&lt;=60,"31-60 dias",IF(O1103&lt;=90,"61-90 dias","Mais de 90 dias"))))</f>
        <v/>
      </c>
      <c r="O1103">
        <f>IF(OR(M1103="Pendente",M1103="Em andamento"),IF(J1103="","",TODAY()-J1103),"")</f>
        <v/>
      </c>
      <c r="P1103" t="n">
        <v>12689</v>
      </c>
      <c r="Q1103" t="inlineStr">
        <is>
          <t>Norte Frio Manutenção (12689)</t>
        </is>
      </c>
      <c r="R1103" t="inlineStr">
        <is>
          <t>PC-0041</t>
        </is>
      </c>
      <c r="S1103" t="inlineStr">
        <is>
          <t>Motor agitador modelo 02</t>
        </is>
      </c>
      <c r="T1103" t="n">
        <v>1</v>
      </c>
      <c r="U1103" t="n">
        <v>150</v>
      </c>
      <c r="V1103">
        <f>IF(J1103="","",MONTH(J1103))</f>
        <v/>
      </c>
      <c r="W1103">
        <f>IF(J1103="","",YEAR(J1103))</f>
        <v/>
      </c>
      <c r="X1103" t="inlineStr">
        <is>
          <t>EntregaJá</t>
        </is>
      </c>
      <c r="Y1103">
        <f>IFERROR(INDEX(Rastreio!$H$2:$H$200,MATCH(X1103&amp;"|"&amp;U1103,Rastreio!$A$2:$A$200,0)),"")</f>
        <v/>
      </c>
    </row>
    <row r="1104">
      <c r="A1104">
        <f>IFERROR(INDEX(STAs!$G$2:$G$61,MATCH(P1104,STAs!$F$2:$F$61,0))&amp;"","")</f>
        <v/>
      </c>
      <c r="B1104" t="n">
        <v>20039668</v>
      </c>
      <c r="C1104" t="inlineStr">
        <is>
          <t>Não</t>
        </is>
      </c>
      <c r="D1104" t="inlineStr">
        <is>
          <t>MG</t>
        </is>
      </c>
      <c r="E1104" t="inlineStr">
        <is>
          <t>SUDESTE MG</t>
        </is>
      </c>
      <c r="F1104" t="inlineStr">
        <is>
          <t>Cliente A - Refrigerador</t>
        </is>
      </c>
      <c r="G1104" t="inlineStr">
        <is>
          <t>Refrigeradores</t>
        </is>
      </c>
      <c r="H1104" s="10" t="n">
        <v>35</v>
      </c>
      <c r="I1104" s="10">
        <f>IFERROR(T1104*H1104,0)</f>
        <v/>
      </c>
      <c r="J1104" s="11" t="n">
        <v>46105</v>
      </c>
      <c r="K1104" s="11" t="n">
        <v>46131</v>
      </c>
      <c r="L1104" t="inlineStr">
        <is>
          <t>Ok. Devolvida</t>
        </is>
      </c>
      <c r="M1104">
        <f>IF(L1104="","",IFERROR(VLOOKUP(L1104,mapGrupoStatus,2,0),"Outros"))</f>
        <v/>
      </c>
      <c r="N1104">
        <f>IF(O1104="","",IF(O1104&lt;=30,"0-30 dias",IF(O1104&lt;=60,"31-60 dias",IF(O1104&lt;=90,"61-90 dias","Mais de 90 dias"))))</f>
        <v/>
      </c>
      <c r="O1104">
        <f>IF(OR(M1104="Pendente",M1104="Em andamento"),IF(J1104="","",TODAY()-J1104),"")</f>
        <v/>
      </c>
      <c r="P1104" t="n">
        <v>11619</v>
      </c>
      <c r="Q1104" t="inlineStr">
        <is>
          <t>Refrigeração Ltda (11619)</t>
        </is>
      </c>
      <c r="R1104" t="inlineStr">
        <is>
          <t>PC-0024</t>
        </is>
      </c>
      <c r="S1104" t="inlineStr">
        <is>
          <t>Relé de partida modelo 02</t>
        </is>
      </c>
      <c r="T1104" t="n">
        <v>1</v>
      </c>
      <c r="U1104" t="n">
        <v>160</v>
      </c>
      <c r="V1104">
        <f>IF(J1104="","",MONTH(J1104))</f>
        <v/>
      </c>
      <c r="W1104">
        <f>IF(J1104="","",YEAR(J1104))</f>
        <v/>
      </c>
      <c r="X1104" t="inlineStr">
        <is>
          <t>ViaCargo</t>
        </is>
      </c>
      <c r="Y1104">
        <f>IFERROR(INDEX(Rastreio!$H$2:$H$200,MATCH(X1104&amp;"|"&amp;U1104,Rastreio!$A$2:$A$200,0)),"")</f>
        <v/>
      </c>
    </row>
    <row r="1105">
      <c r="A1105">
        <f>IFERROR(INDEX(STAs!$G$2:$G$61,MATCH(P1105,STAs!$F$2:$F$61,0))&amp;"","")</f>
        <v/>
      </c>
      <c r="B1105" t="n">
        <v>20000479</v>
      </c>
      <c r="C1105" t="inlineStr">
        <is>
          <t>Não</t>
        </is>
      </c>
      <c r="D1105" t="inlineStr">
        <is>
          <t>MG</t>
        </is>
      </c>
      <c r="E1105" t="inlineStr">
        <is>
          <t>SUDESTE MG</t>
        </is>
      </c>
      <c r="F1105" t="inlineStr">
        <is>
          <t>Cliente A - Refrigerador</t>
        </is>
      </c>
      <c r="G1105" t="inlineStr">
        <is>
          <t>Refrigeradores</t>
        </is>
      </c>
      <c r="H1105" s="10" t="n">
        <v>55</v>
      </c>
      <c r="I1105" s="10">
        <f>IFERROR(T1105*H1105,0)</f>
        <v/>
      </c>
      <c r="J1105" s="11" t="n">
        <v>46106</v>
      </c>
      <c r="K1105" s="11" t="n">
        <v>46147</v>
      </c>
      <c r="L1105" t="inlineStr">
        <is>
          <t>Ok. Devolvida</t>
        </is>
      </c>
      <c r="M1105">
        <f>IF(L1105="","",IFERROR(VLOOKUP(L1105,mapGrupoStatus,2,0),"Outros"))</f>
        <v/>
      </c>
      <c r="N1105">
        <f>IF(O1105="","",IF(O1105&lt;=30,"0-30 dias",IF(O1105&lt;=60,"31-60 dias",IF(O1105&lt;=90,"61-90 dias","Mais de 90 dias"))))</f>
        <v/>
      </c>
      <c r="O1105">
        <f>IF(OR(M1105="Pendente",M1105="Em andamento"),IF(J1105="","",TODAY()-J1105),"")</f>
        <v/>
      </c>
      <c r="P1105" t="n">
        <v>11494</v>
      </c>
      <c r="Q1105" t="inlineStr">
        <is>
          <t>Clima Técnica (11494)</t>
        </is>
      </c>
      <c r="R1105" t="inlineStr">
        <is>
          <t>PC-0008</t>
        </is>
      </c>
      <c r="S1105" t="inlineStr">
        <is>
          <t>Ventilador modelo 02</t>
        </is>
      </c>
      <c r="T1105" t="n">
        <v>1</v>
      </c>
      <c r="U1105" t="n">
        <v>104</v>
      </c>
      <c r="V1105">
        <f>IF(J1105="","",MONTH(J1105))</f>
        <v/>
      </c>
      <c r="W1105">
        <f>IF(J1105="","",YEAR(J1105))</f>
        <v/>
      </c>
      <c r="X1105" t="inlineStr">
        <is>
          <t>EntregaJá</t>
        </is>
      </c>
      <c r="Y1105">
        <f>IFERROR(INDEX(Rastreio!$H$2:$H$200,MATCH(X1105&amp;"|"&amp;U1105,Rastreio!$A$2:$A$200,0)),"")</f>
        <v/>
      </c>
    </row>
    <row r="1106">
      <c r="A1106">
        <f>IFERROR(INDEX(STAs!$G$2:$G$61,MATCH(P1106,STAs!$F$2:$F$61,0))&amp;"","")</f>
        <v/>
      </c>
      <c r="B1106" t="n">
        <v>20003579</v>
      </c>
      <c r="C1106" t="inlineStr">
        <is>
          <t>Não</t>
        </is>
      </c>
      <c r="D1106" t="inlineStr">
        <is>
          <t>PE</t>
        </is>
      </c>
      <c r="E1106" t="inlineStr">
        <is>
          <t>NORDESTE</t>
        </is>
      </c>
      <c r="F1106" t="inlineStr">
        <is>
          <t>Cliente B - Chopeira</t>
        </is>
      </c>
      <c r="G1106" t="inlineStr">
        <is>
          <t>Refrigeradores</t>
        </is>
      </c>
      <c r="H1106" s="10" t="n">
        <v>35</v>
      </c>
      <c r="I1106" s="10">
        <f>IFERROR(T1106*H1106,0)</f>
        <v/>
      </c>
      <c r="J1106" s="11" t="n">
        <v>46106</v>
      </c>
      <c r="K1106" s="11" t="n">
        <v>46146</v>
      </c>
      <c r="L1106" t="inlineStr">
        <is>
          <t>Ok. Devolvida</t>
        </is>
      </c>
      <c r="M1106">
        <f>IF(L1106="","",IFERROR(VLOOKUP(L1106,mapGrupoStatus,2,0),"Outros"))</f>
        <v/>
      </c>
      <c r="N1106">
        <f>IF(O1106="","",IF(O1106&lt;=30,"0-30 dias",IF(O1106&lt;=60,"31-60 dias",IF(O1106&lt;=90,"61-90 dias","Mais de 90 dias"))))</f>
        <v/>
      </c>
      <c r="O1106">
        <f>IF(OR(M1106="Pendente",M1106="Em andamento"),IF(J1106="","",TODAY()-J1106),"")</f>
        <v/>
      </c>
      <c r="P1106" t="n">
        <v>11352</v>
      </c>
      <c r="Q1106" t="inlineStr">
        <is>
          <t>Frio Express (11352)</t>
        </is>
      </c>
      <c r="R1106" t="inlineStr">
        <is>
          <t>PC-0024</t>
        </is>
      </c>
      <c r="S1106" t="inlineStr">
        <is>
          <t>Relé de partida modelo 02</t>
        </is>
      </c>
      <c r="T1106" t="n">
        <v>1</v>
      </c>
      <c r="U1106" t="n">
        <v>105</v>
      </c>
      <c r="V1106">
        <f>IF(J1106="","",MONTH(J1106))</f>
        <v/>
      </c>
      <c r="W1106">
        <f>IF(J1106="","",YEAR(J1106))</f>
        <v/>
      </c>
      <c r="X1106" t="inlineStr">
        <is>
          <t>TransNorte</t>
        </is>
      </c>
      <c r="Y1106">
        <f>IFERROR(INDEX(Rastreio!$H$2:$H$200,MATCH(X1106&amp;"|"&amp;U1106,Rastreio!$A$2:$A$200,0)),"")</f>
        <v/>
      </c>
    </row>
    <row r="1107">
      <c r="A1107">
        <f>IFERROR(INDEX(STAs!$G$2:$G$61,MATCH(P1107,STAs!$F$2:$F$61,0))&amp;"","")</f>
        <v/>
      </c>
      <c r="B1107" t="n">
        <v>20004580</v>
      </c>
      <c r="C1107" t="inlineStr">
        <is>
          <t>Não</t>
        </is>
      </c>
      <c r="D1107" t="inlineStr">
        <is>
          <t>RO</t>
        </is>
      </c>
      <c r="E1107" t="inlineStr">
        <is>
          <t>NORTE</t>
        </is>
      </c>
      <c r="F1107" t="inlineStr">
        <is>
          <t>Cliente B - Chopeira</t>
        </is>
      </c>
      <c r="G1107" t="inlineStr">
        <is>
          <t>Refrigeradores</t>
        </is>
      </c>
      <c r="H1107" s="10" t="n">
        <v>35</v>
      </c>
      <c r="I1107" s="10">
        <f>IFERROR(T1107*H1107,0)</f>
        <v/>
      </c>
      <c r="J1107" s="11" t="n">
        <v>46106</v>
      </c>
      <c r="K1107" s="11" t="n">
        <v>46159</v>
      </c>
      <c r="L1107" t="inlineStr">
        <is>
          <t>Ok. Devolvida</t>
        </is>
      </c>
      <c r="M1107">
        <f>IF(L1107="","",IFERROR(VLOOKUP(L1107,mapGrupoStatus,2,0),"Outros"))</f>
        <v/>
      </c>
      <c r="N1107">
        <f>IF(O1107="","",IF(O1107&lt;=30,"0-30 dias",IF(O1107&lt;=60,"31-60 dias",IF(O1107&lt;=90,"61-90 dias","Mais de 90 dias"))))</f>
        <v/>
      </c>
      <c r="O1107">
        <f>IF(OR(M1107="Pendente",M1107="Em andamento"),IF(J1107="","",TODAY()-J1107),"")</f>
        <v/>
      </c>
      <c r="P1107" t="n">
        <v>10172</v>
      </c>
      <c r="Q1107" t="inlineStr">
        <is>
          <t>Frigo Serviços (10172)</t>
        </is>
      </c>
      <c r="R1107" t="inlineStr">
        <is>
          <t>PC-0016</t>
        </is>
      </c>
      <c r="S1107" t="inlineStr">
        <is>
          <t>Filtro secador modelo 02</t>
        </is>
      </c>
      <c r="T1107" t="n">
        <v>1</v>
      </c>
      <c r="U1107" t="n">
        <v>107</v>
      </c>
      <c r="V1107">
        <f>IF(J1107="","",MONTH(J1107))</f>
        <v/>
      </c>
      <c r="W1107">
        <f>IF(J1107="","",YEAR(J1107))</f>
        <v/>
      </c>
      <c r="X1107" t="inlineStr">
        <is>
          <t>LogExpress</t>
        </is>
      </c>
      <c r="Y1107">
        <f>IFERROR(INDEX(Rastreio!$H$2:$H$200,MATCH(X1107&amp;"|"&amp;U1107,Rastreio!$A$2:$A$200,0)),"")</f>
        <v/>
      </c>
    </row>
    <row r="1108">
      <c r="A1108">
        <f>IFERROR(INDEX(STAs!$G$2:$G$61,MATCH(P1108,STAs!$F$2:$F$61,0))&amp;"","")</f>
        <v/>
      </c>
      <c r="B1108" t="n">
        <v>20005663</v>
      </c>
      <c r="C1108" t="inlineStr">
        <is>
          <t>Não</t>
        </is>
      </c>
      <c r="D1108" t="inlineStr">
        <is>
          <t>AP</t>
        </is>
      </c>
      <c r="E1108" t="inlineStr">
        <is>
          <t>NORTE</t>
        </is>
      </c>
      <c r="F1108" t="inlineStr">
        <is>
          <t>Cliente A - Refrigerador</t>
        </is>
      </c>
      <c r="G1108" t="inlineStr">
        <is>
          <t>Chopeiras</t>
        </is>
      </c>
      <c r="H1108" s="10" t="n">
        <v>205</v>
      </c>
      <c r="I1108" s="10">
        <f>IFERROR(T1108*H1108,0)</f>
        <v/>
      </c>
      <c r="J1108" s="11" t="n">
        <v>46106</v>
      </c>
      <c r="K1108" s="11" t="n">
        <v>46166</v>
      </c>
      <c r="L1108" t="inlineStr">
        <is>
          <t>Ok. Devolvida</t>
        </is>
      </c>
      <c r="M1108">
        <f>IF(L1108="","",IFERROR(VLOOKUP(L1108,mapGrupoStatus,2,0),"Outros"))</f>
        <v/>
      </c>
      <c r="N1108">
        <f>IF(O1108="","",IF(O1108&lt;=30,"0-30 dias",IF(O1108&lt;=60,"31-60 dias",IF(O1108&lt;=90,"61-90 dias","Mais de 90 dias"))))</f>
        <v/>
      </c>
      <c r="O1108">
        <f>IF(OR(M1108="Pendente",M1108="Em andamento"),IF(J1108="","",TODAY()-J1108),"")</f>
        <v/>
      </c>
      <c r="P1108" t="n">
        <v>11859</v>
      </c>
      <c r="Q1108" t="inlineStr">
        <is>
          <t>Ice Tech Serviços (11859)</t>
        </is>
      </c>
      <c r="R1108" t="inlineStr">
        <is>
          <t>PC-0031</t>
        </is>
      </c>
      <c r="S1108" t="inlineStr">
        <is>
          <t>Serpentina modelo 03</t>
        </is>
      </c>
      <c r="T1108" t="n">
        <v>1</v>
      </c>
      <c r="U1108" t="n">
        <v>110</v>
      </c>
      <c r="V1108">
        <f>IF(J1108="","",MONTH(J1108))</f>
        <v/>
      </c>
      <c r="W1108">
        <f>IF(J1108="","",YEAR(J1108))</f>
        <v/>
      </c>
      <c r="X1108" t="inlineStr">
        <is>
          <t>EntregaJá</t>
        </is>
      </c>
      <c r="Y1108">
        <f>IFERROR(INDEX(Rastreio!$H$2:$H$200,MATCH(X1108&amp;"|"&amp;U1108,Rastreio!$A$2:$A$200,0)),"")</f>
        <v/>
      </c>
    </row>
    <row r="1109">
      <c r="A1109">
        <f>IFERROR(INDEX(STAs!$G$2:$G$61,MATCH(P1109,STAs!$F$2:$F$61,0))&amp;"","")</f>
        <v/>
      </c>
      <c r="B1109" t="n">
        <v>20015195</v>
      </c>
      <c r="C1109" t="inlineStr">
        <is>
          <t>Não</t>
        </is>
      </c>
      <c r="D1109" t="inlineStr">
        <is>
          <t>ES</t>
        </is>
      </c>
      <c r="E1109" t="inlineStr">
        <is>
          <t>SUDESTE RJ e ES</t>
        </is>
      </c>
      <c r="F1109" t="inlineStr">
        <is>
          <t>Cliente B - Chopeira</t>
        </is>
      </c>
      <c r="G1109" t="inlineStr">
        <is>
          <t>Refrigeradores</t>
        </is>
      </c>
      <c r="H1109" s="10" t="n">
        <v>155</v>
      </c>
      <c r="I1109" s="10">
        <f>IFERROR(T1109*H1109,0)</f>
        <v/>
      </c>
      <c r="J1109" s="11" t="n">
        <v>46106</v>
      </c>
      <c r="K1109" s="11" t="n">
        <v>46152</v>
      </c>
      <c r="L1109" t="inlineStr">
        <is>
          <t>Ok. Devolvida</t>
        </is>
      </c>
      <c r="M1109">
        <f>IF(L1109="","",IFERROR(VLOOKUP(L1109,mapGrupoStatus,2,0),"Outros"))</f>
        <v/>
      </c>
      <c r="N1109">
        <f>IF(O1109="","",IF(O1109&lt;=30,"0-30 dias",IF(O1109&lt;=60,"31-60 dias",IF(O1109&lt;=90,"61-90 dias","Mais de 90 dias"))))</f>
        <v/>
      </c>
      <c r="O1109">
        <f>IF(OR(M1109="Pendente",M1109="Em andamento"),IF(J1109="","",TODAY()-J1109),"")</f>
        <v/>
      </c>
      <c r="P1109" t="n">
        <v>11162</v>
      </c>
      <c r="Q1109" t="inlineStr">
        <is>
          <t>Ártico Refrigeração (11162)</t>
        </is>
      </c>
      <c r="R1109" t="inlineStr">
        <is>
          <t>PC-0022</t>
        </is>
      </c>
      <c r="S1109" t="inlineStr">
        <is>
          <t>Controlador digital modelo 02</t>
        </is>
      </c>
      <c r="T1109" t="n">
        <v>1</v>
      </c>
      <c r="U1109" t="n">
        <v>126</v>
      </c>
      <c r="V1109">
        <f>IF(J1109="","",MONTH(J1109))</f>
        <v/>
      </c>
      <c r="W1109">
        <f>IF(J1109="","",YEAR(J1109))</f>
        <v/>
      </c>
      <c r="X1109" t="inlineStr">
        <is>
          <t>LogExpress</t>
        </is>
      </c>
      <c r="Y1109">
        <f>IFERROR(INDEX(Rastreio!$H$2:$H$200,MATCH(X1109&amp;"|"&amp;U1109,Rastreio!$A$2:$A$200,0)),"")</f>
        <v/>
      </c>
    </row>
    <row r="1110">
      <c r="A1110">
        <f>IFERROR(INDEX(STAs!$G$2:$G$61,MATCH(P1110,STAs!$F$2:$F$61,0))&amp;"","")</f>
        <v/>
      </c>
      <c r="B1110" t="n">
        <v>20017577</v>
      </c>
      <c r="C1110" t="inlineStr">
        <is>
          <t>Não</t>
        </is>
      </c>
      <c r="D1110" t="inlineStr">
        <is>
          <t>RJ</t>
        </is>
      </c>
      <c r="E1110" t="inlineStr">
        <is>
          <t>SUDESTE RJ e ES</t>
        </is>
      </c>
      <c r="F1110" t="inlineStr">
        <is>
          <t>Cliente C - Misturador</t>
        </is>
      </c>
      <c r="G1110" t="inlineStr">
        <is>
          <t>Refrigeradores</t>
        </is>
      </c>
      <c r="H1110" s="10" t="n">
        <v>185</v>
      </c>
      <c r="I1110" s="10">
        <f>IFERROR(T1110*H1110,0)</f>
        <v/>
      </c>
      <c r="J1110" s="11" t="n">
        <v>46106</v>
      </c>
      <c r="K1110" s="11" t="n">
        <v>46143</v>
      </c>
      <c r="L1110" t="inlineStr">
        <is>
          <t>Ok. Devolvida</t>
        </is>
      </c>
      <c r="M1110">
        <f>IF(L1110="","",IFERROR(VLOOKUP(L1110,mapGrupoStatus,2,0),"Outros"))</f>
        <v/>
      </c>
      <c r="N1110">
        <f>IF(O1110="","",IF(O1110&lt;=30,"0-30 dias",IF(O1110&lt;=60,"31-60 dias",IF(O1110&lt;=90,"61-90 dias","Mais de 90 dias"))))</f>
        <v/>
      </c>
      <c r="O1110">
        <f>IF(OR(M1110="Pendente",M1110="Em andamento"),IF(J1110="","",TODAY()-J1110),"")</f>
        <v/>
      </c>
      <c r="P1110" t="n">
        <v>11059</v>
      </c>
      <c r="Q1110" t="inlineStr">
        <is>
          <t>Frio Ltda (11059)</t>
        </is>
      </c>
      <c r="R1110" t="inlineStr">
        <is>
          <t>PC-0013</t>
        </is>
      </c>
      <c r="S1110" t="inlineStr">
        <is>
          <t>Placa eletrônica modelo 03</t>
        </is>
      </c>
      <c r="T1110" t="n">
        <v>1</v>
      </c>
      <c r="U1110" t="n">
        <v>123</v>
      </c>
      <c r="V1110">
        <f>IF(J1110="","",MONTH(J1110))</f>
        <v/>
      </c>
      <c r="W1110">
        <f>IF(J1110="","",YEAR(J1110))</f>
        <v/>
      </c>
      <c r="X1110" t="inlineStr">
        <is>
          <t>RotaSul</t>
        </is>
      </c>
      <c r="Y1110">
        <f>IFERROR(INDEX(Rastreio!$H$2:$H$200,MATCH(X1110&amp;"|"&amp;U1110,Rastreio!$A$2:$A$200,0)),"")</f>
        <v/>
      </c>
    </row>
    <row r="1111">
      <c r="A1111">
        <f>IFERROR(INDEX(STAs!$G$2:$G$61,MATCH(P1111,STAs!$F$2:$F$61,0))&amp;"","")</f>
        <v/>
      </c>
      <c r="B1111" t="n">
        <v>20018026</v>
      </c>
      <c r="C1111" t="inlineStr">
        <is>
          <t>Não</t>
        </is>
      </c>
      <c r="D1111" t="inlineStr">
        <is>
          <t>GO</t>
        </is>
      </c>
      <c r="E1111" t="inlineStr">
        <is>
          <t>CENTRO OESTE</t>
        </is>
      </c>
      <c r="F1111" t="inlineStr">
        <is>
          <t>Cliente A - Refrigerador</t>
        </is>
      </c>
      <c r="G1111" t="inlineStr">
        <is>
          <t>Refrigeradores</t>
        </is>
      </c>
      <c r="H1111" s="10" t="n">
        <v>70</v>
      </c>
      <c r="I1111" s="10">
        <f>IFERROR(T1111*H1111,0)</f>
        <v/>
      </c>
      <c r="J1111" s="11" t="n">
        <v>46106</v>
      </c>
      <c r="K1111" s="11" t="n">
        <v>46130</v>
      </c>
      <c r="L1111" t="inlineStr">
        <is>
          <t>Ok. Devolvida</t>
        </is>
      </c>
      <c r="M1111">
        <f>IF(L1111="","",IFERROR(VLOOKUP(L1111,mapGrupoStatus,2,0),"Outros"))</f>
        <v/>
      </c>
      <c r="N1111">
        <f>IF(O1111="","",IF(O1111&lt;=30,"0-30 dias",IF(O1111&lt;=60,"31-60 dias",IF(O1111&lt;=90,"61-90 dias","Mais de 90 dias"))))</f>
        <v/>
      </c>
      <c r="O1111">
        <f>IF(OR(M1111="Pendente",M1111="Em andamento"),IF(J1111="","",TODAY()-J1111),"")</f>
        <v/>
      </c>
      <c r="P1111" t="n">
        <v>12007</v>
      </c>
      <c r="Q1111" t="inlineStr">
        <is>
          <t>Refrigel Ltda (12007)</t>
        </is>
      </c>
      <c r="R1111" t="inlineStr">
        <is>
          <t>PC-0009</t>
        </is>
      </c>
      <c r="S1111" t="inlineStr">
        <is>
          <t>Ventilador modelo 03</t>
        </is>
      </c>
      <c r="T1111" t="n">
        <v>1</v>
      </c>
      <c r="U1111" t="n">
        <v>133</v>
      </c>
      <c r="V1111">
        <f>IF(J1111="","",MONTH(J1111))</f>
        <v/>
      </c>
      <c r="W1111">
        <f>IF(J1111="","",YEAR(J1111))</f>
        <v/>
      </c>
      <c r="X1111" t="inlineStr">
        <is>
          <t>ViaCargo</t>
        </is>
      </c>
      <c r="Y1111">
        <f>IFERROR(INDEX(Rastreio!$H$2:$H$200,MATCH(X1111&amp;"|"&amp;U1111,Rastreio!$A$2:$A$200,0)),"")</f>
        <v/>
      </c>
    </row>
    <row r="1112">
      <c r="A1112">
        <f>IFERROR(INDEX(STAs!$G$2:$G$61,MATCH(P1112,STAs!$F$2:$F$61,0))&amp;"","")</f>
        <v/>
      </c>
      <c r="B1112" t="n">
        <v>20019561</v>
      </c>
      <c r="C1112" t="inlineStr">
        <is>
          <t>Não</t>
        </is>
      </c>
      <c r="D1112" t="inlineStr">
        <is>
          <t>MS</t>
        </is>
      </c>
      <c r="E1112" t="inlineStr">
        <is>
          <t>CENTRO OESTE</t>
        </is>
      </c>
      <c r="F1112" t="inlineStr">
        <is>
          <t>Cliente A - Refrigerador</t>
        </is>
      </c>
      <c r="G1112" t="inlineStr">
        <is>
          <t>Refrigeradores</t>
        </is>
      </c>
      <c r="H1112" s="10" t="n">
        <v>155</v>
      </c>
      <c r="I1112" s="10">
        <f>IFERROR(T1112*H1112,0)</f>
        <v/>
      </c>
      <c r="J1112" s="11" t="n">
        <v>46106</v>
      </c>
      <c r="K1112" s="11" t="n"/>
      <c r="L1112" t="inlineStr">
        <is>
          <t>NPD</t>
        </is>
      </c>
      <c r="M1112">
        <f>IF(L1112="","",IFERROR(VLOOKUP(L1112,mapGrupoStatus,2,0),"Outros"))</f>
        <v/>
      </c>
      <c r="N1112">
        <f>IF(O1112="","",IF(O1112&lt;=30,"0-30 dias",IF(O1112&lt;=60,"31-60 dias",IF(O1112&lt;=90,"61-90 dias","Mais de 90 dias"))))</f>
        <v/>
      </c>
      <c r="O1112">
        <f>IF(OR(M1112="Pendente",M1112="Em andamento"),IF(J1112="","",TODAY()-J1112),"")</f>
        <v/>
      </c>
      <c r="P1112" t="n">
        <v>10302</v>
      </c>
      <c r="Q1112" t="inlineStr">
        <is>
          <t>Ice Tech Express (10302)</t>
        </is>
      </c>
      <c r="R1112" t="inlineStr">
        <is>
          <t>PC-0022</t>
        </is>
      </c>
      <c r="S1112" t="inlineStr">
        <is>
          <t>Controlador digital modelo 02</t>
        </is>
      </c>
      <c r="T1112" t="n">
        <v>1</v>
      </c>
      <c r="U1112" t="inlineStr"/>
      <c r="V1112">
        <f>IF(J1112="","",MONTH(J1112))</f>
        <v/>
      </c>
      <c r="W1112">
        <f>IF(J1112="","",YEAR(J1112))</f>
        <v/>
      </c>
      <c r="X1112" t="inlineStr"/>
      <c r="Y1112">
        <f>IFERROR(INDEX(Rastreio!$H$2:$H$200,MATCH(X1112&amp;"|"&amp;U1112,Rastreio!$A$2:$A$200,0)),"")</f>
        <v/>
      </c>
    </row>
    <row r="1113">
      <c r="A1113">
        <f>IFERROR(INDEX(STAs!$G$2:$G$61,MATCH(P1113,STAs!$F$2:$F$61,0))&amp;"","")</f>
        <v/>
      </c>
      <c r="B1113" t="n">
        <v>20008360</v>
      </c>
      <c r="C1113" t="inlineStr">
        <is>
          <t>Sim</t>
        </is>
      </c>
      <c r="D1113" t="inlineStr">
        <is>
          <t>PR</t>
        </is>
      </c>
      <c r="E1113" t="inlineStr">
        <is>
          <t>SUL</t>
        </is>
      </c>
      <c r="F1113" t="inlineStr">
        <is>
          <t>Cliente A - Refrigerador</t>
        </is>
      </c>
      <c r="G1113" t="inlineStr">
        <is>
          <t>Refrigeradores</t>
        </is>
      </c>
      <c r="H1113" s="10" t="n">
        <v>40</v>
      </c>
      <c r="I1113" s="10">
        <f>IFERROR(T1113*H1113,0)</f>
        <v/>
      </c>
      <c r="J1113" s="11" t="n">
        <v>46107</v>
      </c>
      <c r="K1113" s="11" t="n"/>
      <c r="L1113" t="inlineStr">
        <is>
          <t>Em andamento</t>
        </is>
      </c>
      <c r="M1113">
        <f>IF(L1113="","",IFERROR(VLOOKUP(L1113,mapGrupoStatus,2,0),"Outros"))</f>
        <v/>
      </c>
      <c r="N1113">
        <f>IF(O1113="","",IF(O1113&lt;=30,"0-30 dias",IF(O1113&lt;=60,"31-60 dias",IF(O1113&lt;=90,"61-90 dias","Mais de 90 dias"))))</f>
        <v/>
      </c>
      <c r="O1113">
        <f>IF(OR(M1113="Pendente",M1113="Em andamento"),IF(J1113="","",TODAY()-J1113),"")</f>
        <v/>
      </c>
      <c r="P1113" t="n">
        <v>10753</v>
      </c>
      <c r="Q1113" t="inlineStr">
        <is>
          <t>Refrigel &amp; Cia (10753)</t>
        </is>
      </c>
      <c r="R1113" t="inlineStr">
        <is>
          <t>PC-0004</t>
        </is>
      </c>
      <c r="S1113" t="inlineStr">
        <is>
          <t>Termostato modelo 01</t>
        </is>
      </c>
      <c r="T1113" t="n">
        <v>1</v>
      </c>
      <c r="U1113" t="n">
        <v>118</v>
      </c>
      <c r="V1113">
        <f>IF(J1113="","",MONTH(J1113))</f>
        <v/>
      </c>
      <c r="W1113">
        <f>IF(J1113="","",YEAR(J1113))</f>
        <v/>
      </c>
      <c r="X1113" t="inlineStr">
        <is>
          <t>EntregaJá</t>
        </is>
      </c>
      <c r="Y1113">
        <f>IFERROR(INDEX(Rastreio!$H$2:$H$200,MATCH(X1113&amp;"|"&amp;U1113,Rastreio!$A$2:$A$200,0)),"")</f>
        <v/>
      </c>
    </row>
    <row r="1114">
      <c r="A1114">
        <f>IFERROR(INDEX(STAs!$G$2:$G$61,MATCH(P1114,STAs!$F$2:$F$61,0))&amp;"","")</f>
        <v/>
      </c>
      <c r="B1114" t="n">
        <v>20023755</v>
      </c>
      <c r="C1114" t="inlineStr">
        <is>
          <t>Não</t>
        </is>
      </c>
      <c r="D1114" t="inlineStr">
        <is>
          <t>SP</t>
        </is>
      </c>
      <c r="E1114" t="inlineStr">
        <is>
          <t>SUDESTE SP</t>
        </is>
      </c>
      <c r="F1114" t="inlineStr">
        <is>
          <t>Cliente C - Misturador</t>
        </is>
      </c>
      <c r="G1114" t="inlineStr">
        <is>
          <t>Chopeiras</t>
        </is>
      </c>
      <c r="H1114" s="10" t="n">
        <v>85</v>
      </c>
      <c r="I1114" s="10">
        <f>IFERROR(T1114*H1114,0)</f>
        <v/>
      </c>
      <c r="J1114" s="11" t="n">
        <v>46107</v>
      </c>
      <c r="K1114" s="11" t="n">
        <v>46120</v>
      </c>
      <c r="L1114" t="inlineStr">
        <is>
          <t>Ok. Devolvida</t>
        </is>
      </c>
      <c r="M1114">
        <f>IF(L1114="","",IFERROR(VLOOKUP(L1114,mapGrupoStatus,2,0),"Outros"))</f>
        <v/>
      </c>
      <c r="N1114">
        <f>IF(O1114="","",IF(O1114&lt;=30,"0-30 dias",IF(O1114&lt;=60,"31-60 dias",IF(O1114&lt;=90,"61-90 dias","Mais de 90 dias"))))</f>
        <v/>
      </c>
      <c r="O1114">
        <f>IF(OR(M1114="Pendente",M1114="Em andamento"),IF(J1114="","",TODAY()-J1114),"")</f>
        <v/>
      </c>
      <c r="P1114" t="n">
        <v>11710</v>
      </c>
      <c r="Q1114" t="inlineStr">
        <is>
          <t>Brisa &amp; Cia (11710)</t>
        </is>
      </c>
      <c r="R1114" t="inlineStr">
        <is>
          <t>PC-0036</t>
        </is>
      </c>
      <c r="S1114" t="inlineStr">
        <is>
          <t>Válvula extratora modelo 02</t>
        </is>
      </c>
      <c r="T1114" t="n">
        <v>1</v>
      </c>
      <c r="U1114" t="n">
        <v>140</v>
      </c>
      <c r="V1114">
        <f>IF(J1114="","",MONTH(J1114))</f>
        <v/>
      </c>
      <c r="W1114">
        <f>IF(J1114="","",YEAR(J1114))</f>
        <v/>
      </c>
      <c r="X1114" t="inlineStr">
        <is>
          <t>ViaCargo</t>
        </is>
      </c>
      <c r="Y1114">
        <f>IFERROR(INDEX(Rastreio!$H$2:$H$200,MATCH(X1114&amp;"|"&amp;U1114,Rastreio!$A$2:$A$200,0)),"")</f>
        <v/>
      </c>
    </row>
    <row r="1115">
      <c r="A1115">
        <f>IFERROR(INDEX(STAs!$G$2:$G$61,MATCH(P1115,STAs!$F$2:$F$61,0))&amp;"","")</f>
        <v/>
      </c>
      <c r="B1115" t="n">
        <v>20027596</v>
      </c>
      <c r="C1115" t="inlineStr">
        <is>
          <t>Não</t>
        </is>
      </c>
      <c r="D1115" t="inlineStr">
        <is>
          <t>RS</t>
        </is>
      </c>
      <c r="E1115" t="inlineStr">
        <is>
          <t>SUL</t>
        </is>
      </c>
      <c r="F1115" t="inlineStr">
        <is>
          <t>Cliente C - Misturador</t>
        </is>
      </c>
      <c r="G1115" t="inlineStr">
        <is>
          <t>Chopeiras</t>
        </is>
      </c>
      <c r="H1115" s="10" t="n">
        <v>85</v>
      </c>
      <c r="I1115" s="10">
        <f>IFERROR(T1115*H1115,0)</f>
        <v/>
      </c>
      <c r="J1115" s="11" t="n">
        <v>46107</v>
      </c>
      <c r="K1115" s="11" t="n"/>
      <c r="L1115" t="inlineStr">
        <is>
          <t>Em andamento</t>
        </is>
      </c>
      <c r="M1115">
        <f>IF(L1115="","",IFERROR(VLOOKUP(L1115,mapGrupoStatus,2,0),"Outros"))</f>
        <v/>
      </c>
      <c r="N1115">
        <f>IF(O1115="","",IF(O1115&lt;=30,"0-30 dias",IF(O1115&lt;=60,"31-60 dias",IF(O1115&lt;=90,"61-90 dias","Mais de 90 dias"))))</f>
        <v/>
      </c>
      <c r="O1115">
        <f>IF(OR(M1115="Pendente",M1115="Em andamento"),IF(J1115="","",TODAY()-J1115),"")</f>
        <v/>
      </c>
      <c r="P1115" t="n">
        <v>12617</v>
      </c>
      <c r="Q1115" t="inlineStr">
        <is>
          <t>Gelo Manutenção (12617)</t>
        </is>
      </c>
      <c r="R1115" t="inlineStr">
        <is>
          <t>PC-0026</t>
        </is>
      </c>
      <c r="S1115" t="inlineStr">
        <is>
          <t>Torneira de chopp modelo 01</t>
        </is>
      </c>
      <c r="T1115" t="n">
        <v>1</v>
      </c>
      <c r="U1115" t="n">
        <v>147</v>
      </c>
      <c r="V1115">
        <f>IF(J1115="","",MONTH(J1115))</f>
        <v/>
      </c>
      <c r="W1115">
        <f>IF(J1115="","",YEAR(J1115))</f>
        <v/>
      </c>
      <c r="X1115" t="inlineStr">
        <is>
          <t>RotaSul</t>
        </is>
      </c>
      <c r="Y1115">
        <f>IFERROR(INDEX(Rastreio!$H$2:$H$200,MATCH(X1115&amp;"|"&amp;U1115,Rastreio!$A$2:$A$200,0)),"")</f>
        <v/>
      </c>
    </row>
    <row r="1116">
      <c r="A1116">
        <f>IFERROR(INDEX(STAs!$G$2:$G$61,MATCH(P1116,STAs!$F$2:$F$61,0))&amp;"","")</f>
        <v/>
      </c>
      <c r="B1116" t="n">
        <v>20008387</v>
      </c>
      <c r="C1116" t="inlineStr">
        <is>
          <t>Não</t>
        </is>
      </c>
      <c r="D1116" t="inlineStr">
        <is>
          <t>TO</t>
        </is>
      </c>
      <c r="E1116" t="inlineStr">
        <is>
          <t>NORTE</t>
        </is>
      </c>
      <c r="F1116" t="inlineStr">
        <is>
          <t>Cliente C - Misturador</t>
        </is>
      </c>
      <c r="G1116" t="inlineStr">
        <is>
          <t>Refrigeradores</t>
        </is>
      </c>
      <c r="H1116" s="10" t="n">
        <v>30</v>
      </c>
      <c r="I1116" s="10">
        <f>IFERROR(T1116*H1116,0)</f>
        <v/>
      </c>
      <c r="J1116" s="11" t="n">
        <v>46108</v>
      </c>
      <c r="K1116" s="11" t="n"/>
      <c r="L1116" t="inlineStr">
        <is>
          <t>Não Devolve-Norte</t>
        </is>
      </c>
      <c r="M1116">
        <f>IF(L1116="","",IFERROR(VLOOKUP(L1116,mapGrupoStatus,2,0),"Outros"))</f>
        <v/>
      </c>
      <c r="N1116">
        <f>IF(O1116="","",IF(O1116&lt;=30,"0-30 dias",IF(O1116&lt;=60,"31-60 dias",IF(O1116&lt;=90,"61-90 dias","Mais de 90 dias"))))</f>
        <v/>
      </c>
      <c r="O1116">
        <f>IF(OR(M1116="Pendente",M1116="Em andamento"),IF(J1116="","",TODAY()-J1116),"")</f>
        <v/>
      </c>
      <c r="P1116" t="n">
        <v>10939</v>
      </c>
      <c r="Q1116" t="inlineStr">
        <is>
          <t>Zero Grau Manutenção (10939)</t>
        </is>
      </c>
      <c r="R1116" t="inlineStr">
        <is>
          <t>PC-0017</t>
        </is>
      </c>
      <c r="S1116" t="inlineStr">
        <is>
          <t>Filtro secador modelo 03</t>
        </is>
      </c>
      <c r="T1116" t="n">
        <v>3</v>
      </c>
      <c r="U1116" t="inlineStr"/>
      <c r="V1116">
        <f>IF(J1116="","",MONTH(J1116))</f>
        <v/>
      </c>
      <c r="W1116">
        <f>IF(J1116="","",YEAR(J1116))</f>
        <v/>
      </c>
      <c r="X1116" t="inlineStr"/>
      <c r="Y1116">
        <f>IFERROR(INDEX(Rastreio!$H$2:$H$200,MATCH(X1116&amp;"|"&amp;U1116,Rastreio!$A$2:$A$200,0)),"")</f>
        <v/>
      </c>
    </row>
    <row r="1117">
      <c r="A1117">
        <f>IFERROR(INDEX(STAs!$G$2:$G$61,MATCH(P1117,STAs!$F$2:$F$61,0))&amp;"","")</f>
        <v/>
      </c>
      <c r="B1117" t="n">
        <v>20010330</v>
      </c>
      <c r="C1117" t="inlineStr">
        <is>
          <t>Não</t>
        </is>
      </c>
      <c r="D1117" t="inlineStr">
        <is>
          <t>GO</t>
        </is>
      </c>
      <c r="E1117" t="inlineStr">
        <is>
          <t>CENTRO OESTE</t>
        </is>
      </c>
      <c r="F1117" t="inlineStr">
        <is>
          <t>Cliente B - Chopeira</t>
        </is>
      </c>
      <c r="G1117" t="inlineStr">
        <is>
          <t>Refrigeradores</t>
        </is>
      </c>
      <c r="H1117" s="10" t="n">
        <v>25</v>
      </c>
      <c r="I1117" s="10">
        <f>IFERROR(T1117*H1117,0)</f>
        <v/>
      </c>
      <c r="J1117" s="11" t="n">
        <v>46108</v>
      </c>
      <c r="K1117" s="11" t="n">
        <v>46168</v>
      </c>
      <c r="L1117" t="inlineStr">
        <is>
          <t>Ok. Devolvida</t>
        </is>
      </c>
      <c r="M1117">
        <f>IF(L1117="","",IFERROR(VLOOKUP(L1117,mapGrupoStatus,2,0),"Outros"))</f>
        <v/>
      </c>
      <c r="N1117">
        <f>IF(O1117="","",IF(O1117&lt;=30,"0-30 dias",IF(O1117&lt;=60,"31-60 dias",IF(O1117&lt;=90,"61-90 dias","Mais de 90 dias"))))</f>
        <v/>
      </c>
      <c r="O1117">
        <f>IF(OR(M1117="Pendente",M1117="Em andamento"),IF(J1117="","",TODAY()-J1117),"")</f>
        <v/>
      </c>
      <c r="P1117" t="n">
        <v>11293</v>
      </c>
      <c r="Q1117" t="inlineStr">
        <is>
          <t>Assistência Técnica Ltda (11293)</t>
        </is>
      </c>
      <c r="R1117" t="inlineStr">
        <is>
          <t>PC-0015</t>
        </is>
      </c>
      <c r="S1117" t="inlineStr">
        <is>
          <t>Filtro secador modelo 01</t>
        </is>
      </c>
      <c r="T1117" t="n">
        <v>2</v>
      </c>
      <c r="U1117" t="n">
        <v>123</v>
      </c>
      <c r="V1117">
        <f>IF(J1117="","",MONTH(J1117))</f>
        <v/>
      </c>
      <c r="W1117">
        <f>IF(J1117="","",YEAR(J1117))</f>
        <v/>
      </c>
      <c r="X1117" t="inlineStr">
        <is>
          <t>ViaCargo</t>
        </is>
      </c>
      <c r="Y1117">
        <f>IFERROR(INDEX(Rastreio!$H$2:$H$200,MATCH(X1117&amp;"|"&amp;U1117,Rastreio!$A$2:$A$200,0)),"")</f>
        <v/>
      </c>
    </row>
    <row r="1118">
      <c r="A1118">
        <f>IFERROR(INDEX(STAs!$G$2:$G$61,MATCH(P1118,STAs!$F$2:$F$61,0))&amp;"","")</f>
        <v/>
      </c>
      <c r="B1118" t="n">
        <v>20010481</v>
      </c>
      <c r="C1118" t="inlineStr">
        <is>
          <t>Não</t>
        </is>
      </c>
      <c r="D1118" t="inlineStr">
        <is>
          <t>AM</t>
        </is>
      </c>
      <c r="E1118" t="inlineStr">
        <is>
          <t>NORTE</t>
        </is>
      </c>
      <c r="F1118" t="inlineStr">
        <is>
          <t>Cliente C - Misturador</t>
        </is>
      </c>
      <c r="G1118" t="inlineStr">
        <is>
          <t>Refrigeradores</t>
        </is>
      </c>
      <c r="H1118" s="10" t="n">
        <v>175</v>
      </c>
      <c r="I1118" s="10">
        <f>IFERROR(T1118*H1118,0)</f>
        <v/>
      </c>
      <c r="J1118" s="11" t="n">
        <v>46108</v>
      </c>
      <c r="K1118" s="11" t="n"/>
      <c r="L1118" t="inlineStr">
        <is>
          <t>Em transporte</t>
        </is>
      </c>
      <c r="M1118">
        <f>IF(L1118="","",IFERROR(VLOOKUP(L1118,mapGrupoStatus,2,0),"Outros"))</f>
        <v/>
      </c>
      <c r="N1118">
        <f>IF(O1118="","",IF(O1118&lt;=30,"0-30 dias",IF(O1118&lt;=60,"31-60 dias",IF(O1118&lt;=90,"61-90 dias","Mais de 90 dias"))))</f>
        <v/>
      </c>
      <c r="O1118">
        <f>IF(OR(M1118="Pendente",M1118="Em andamento"),IF(J1118="","",TODAY()-J1118),"")</f>
        <v/>
      </c>
      <c r="P1118" t="n">
        <v>10842</v>
      </c>
      <c r="Q1118" t="inlineStr">
        <is>
          <t>Frigo &amp; Cia (10842)</t>
        </is>
      </c>
      <c r="R1118" t="inlineStr">
        <is>
          <t>PC-0012</t>
        </is>
      </c>
      <c r="S1118" t="inlineStr">
        <is>
          <t>Placa eletrônica modelo 02</t>
        </is>
      </c>
      <c r="T1118" t="n">
        <v>1</v>
      </c>
      <c r="U1118" t="n">
        <v>120</v>
      </c>
      <c r="V1118">
        <f>IF(J1118="","",MONTH(J1118))</f>
        <v/>
      </c>
      <c r="W1118">
        <f>IF(J1118="","",YEAR(J1118))</f>
        <v/>
      </c>
      <c r="X1118" t="inlineStr">
        <is>
          <t>LogExpress</t>
        </is>
      </c>
      <c r="Y1118">
        <f>IFERROR(INDEX(Rastreio!$H$2:$H$200,MATCH(X1118&amp;"|"&amp;U1118,Rastreio!$A$2:$A$200,0)),"")</f>
        <v/>
      </c>
    </row>
    <row r="1119">
      <c r="A1119">
        <f>IFERROR(INDEX(STAs!$G$2:$G$61,MATCH(P1119,STAs!$F$2:$F$61,0))&amp;"","")</f>
        <v/>
      </c>
      <c r="B1119" t="n">
        <v>20013296</v>
      </c>
      <c r="C1119" t="inlineStr">
        <is>
          <t>Sim</t>
        </is>
      </c>
      <c r="D1119" t="inlineStr">
        <is>
          <t>PR</t>
        </is>
      </c>
      <c r="E1119" t="inlineStr">
        <is>
          <t>SUL</t>
        </is>
      </c>
      <c r="F1119" t="inlineStr">
        <is>
          <t>Cliente C - Misturador</t>
        </is>
      </c>
      <c r="G1119" t="inlineStr">
        <is>
          <t>Refrigeradores</t>
        </is>
      </c>
      <c r="H1119" s="10" t="n">
        <v>35</v>
      </c>
      <c r="I1119" s="10">
        <f>IFERROR(T1119*H1119,0)</f>
        <v/>
      </c>
      <c r="J1119" s="11" t="n">
        <v>46108</v>
      </c>
      <c r="K1119" s="11" t="n"/>
      <c r="L1119" t="inlineStr">
        <is>
          <t>Aguardando devolução</t>
        </is>
      </c>
      <c r="M1119">
        <f>IF(L1119="","",IFERROR(VLOOKUP(L1119,mapGrupoStatus,2,0),"Outros"))</f>
        <v/>
      </c>
      <c r="N1119">
        <f>IF(O1119="","",IF(O1119&lt;=30,"0-30 dias",IF(O1119&lt;=60,"31-60 dias",IF(O1119&lt;=90,"61-90 dias","Mais de 90 dias"))))</f>
        <v/>
      </c>
      <c r="O1119">
        <f>IF(OR(M1119="Pendente",M1119="Em andamento"),IF(J1119="","",TODAY()-J1119),"")</f>
        <v/>
      </c>
      <c r="P1119" t="n">
        <v>12724</v>
      </c>
      <c r="Q1119" t="inlineStr">
        <is>
          <t>Cool Service &amp; Cia (12724)</t>
        </is>
      </c>
      <c r="R1119" t="inlineStr">
        <is>
          <t>PC-0016</t>
        </is>
      </c>
      <c r="S1119" t="inlineStr">
        <is>
          <t>Filtro secador modelo 02</t>
        </is>
      </c>
      <c r="T1119" t="n">
        <v>1</v>
      </c>
      <c r="U1119" t="inlineStr"/>
      <c r="V1119">
        <f>IF(J1119="","",MONTH(J1119))</f>
        <v/>
      </c>
      <c r="W1119">
        <f>IF(J1119="","",YEAR(J1119))</f>
        <v/>
      </c>
      <c r="X1119" t="inlineStr"/>
      <c r="Y1119">
        <f>IFERROR(INDEX(Rastreio!$H$2:$H$200,MATCH(X1119&amp;"|"&amp;U1119,Rastreio!$A$2:$A$200,0)),"")</f>
        <v/>
      </c>
    </row>
    <row r="1120">
      <c r="A1120">
        <f>IFERROR(INDEX(STAs!$G$2:$G$61,MATCH(P1120,STAs!$F$2:$F$61,0))&amp;"","")</f>
        <v/>
      </c>
      <c r="B1120" t="n">
        <v>20027715</v>
      </c>
      <c r="C1120" t="inlineStr">
        <is>
          <t>Não</t>
        </is>
      </c>
      <c r="D1120" t="inlineStr">
        <is>
          <t>PI</t>
        </is>
      </c>
      <c r="E1120" t="inlineStr">
        <is>
          <t>NORDESTE</t>
        </is>
      </c>
      <c r="F1120" t="inlineStr">
        <is>
          <t>Cliente C - Misturador</t>
        </is>
      </c>
      <c r="G1120" t="inlineStr">
        <is>
          <t>Refrigeradores</t>
        </is>
      </c>
      <c r="H1120" s="10" t="n">
        <v>55</v>
      </c>
      <c r="I1120" s="10">
        <f>IFERROR(T1120*H1120,0)</f>
        <v/>
      </c>
      <c r="J1120" s="11" t="n">
        <v>46108</v>
      </c>
      <c r="K1120" s="11" t="n">
        <v>46124</v>
      </c>
      <c r="L1120" t="inlineStr">
        <is>
          <t>Ok. Devolvida</t>
        </is>
      </c>
      <c r="M1120">
        <f>IF(L1120="","",IFERROR(VLOOKUP(L1120,mapGrupoStatus,2,0),"Outros"))</f>
        <v/>
      </c>
      <c r="N1120">
        <f>IF(O1120="","",IF(O1120&lt;=30,"0-30 dias",IF(O1120&lt;=60,"31-60 dias",IF(O1120&lt;=90,"61-90 dias","Mais de 90 dias"))))</f>
        <v/>
      </c>
      <c r="O1120">
        <f>IF(OR(M1120="Pendente",M1120="Em andamento"),IF(J1120="","",TODAY()-J1120),"")</f>
        <v/>
      </c>
      <c r="P1120" t="n">
        <v>12936</v>
      </c>
      <c r="Q1120" t="inlineStr">
        <is>
          <t>Frigo Técnica (12936)</t>
        </is>
      </c>
      <c r="R1120" t="inlineStr">
        <is>
          <t>PC-0008</t>
        </is>
      </c>
      <c r="S1120" t="inlineStr">
        <is>
          <t>Ventilador modelo 02</t>
        </is>
      </c>
      <c r="T1120" t="n">
        <v>1</v>
      </c>
      <c r="U1120" t="n">
        <v>148</v>
      </c>
      <c r="V1120">
        <f>IF(J1120="","",MONTH(J1120))</f>
        <v/>
      </c>
      <c r="W1120">
        <f>IF(J1120="","",YEAR(J1120))</f>
        <v/>
      </c>
      <c r="X1120" t="inlineStr">
        <is>
          <t>TransNorte</t>
        </is>
      </c>
      <c r="Y1120">
        <f>IFERROR(INDEX(Rastreio!$H$2:$H$200,MATCH(X1120&amp;"|"&amp;U1120,Rastreio!$A$2:$A$200,0)),"")</f>
        <v/>
      </c>
    </row>
    <row r="1121">
      <c r="A1121">
        <f>IFERROR(INDEX(STAs!$G$2:$G$61,MATCH(P1121,STAs!$F$2:$F$61,0))&amp;"","")</f>
        <v/>
      </c>
      <c r="B1121" t="n">
        <v>20035633</v>
      </c>
      <c r="C1121" t="inlineStr">
        <is>
          <t>Não</t>
        </is>
      </c>
      <c r="D1121" t="inlineStr">
        <is>
          <t>PA</t>
        </is>
      </c>
      <c r="E1121" t="inlineStr">
        <is>
          <t>NORTE</t>
        </is>
      </c>
      <c r="F1121" t="inlineStr">
        <is>
          <t>Cliente C - Misturador</t>
        </is>
      </c>
      <c r="G1121" t="inlineStr">
        <is>
          <t>Refrigeradores</t>
        </is>
      </c>
      <c r="H1121" s="10" t="n">
        <v>35</v>
      </c>
      <c r="I1121" s="10">
        <f>IFERROR(T1121*H1121,0)</f>
        <v/>
      </c>
      <c r="J1121" s="11" t="n">
        <v>46108</v>
      </c>
      <c r="K1121" s="11" t="n"/>
      <c r="L1121" t="inlineStr">
        <is>
          <t>Não Devolve-Norte</t>
        </is>
      </c>
      <c r="M1121">
        <f>IF(L1121="","",IFERROR(VLOOKUP(L1121,mapGrupoStatus,2,0),"Outros"))</f>
        <v/>
      </c>
      <c r="N1121">
        <f>IF(O1121="","",IF(O1121&lt;=30,"0-30 dias",IF(O1121&lt;=60,"31-60 dias",IF(O1121&lt;=90,"61-90 dias","Mais de 90 dias"))))</f>
        <v/>
      </c>
      <c r="O1121">
        <f>IF(OR(M1121="Pendente",M1121="Em andamento"),IF(J1121="","",TODAY()-J1121),"")</f>
        <v/>
      </c>
      <c r="P1121" t="n">
        <v>11986</v>
      </c>
      <c r="Q1121" t="inlineStr">
        <is>
          <t>Polar Serviços (11986)</t>
        </is>
      </c>
      <c r="R1121" t="inlineStr">
        <is>
          <t>PC-0023</t>
        </is>
      </c>
      <c r="S1121" t="inlineStr">
        <is>
          <t>Relé de partida modelo 01</t>
        </is>
      </c>
      <c r="T1121" t="n">
        <v>1</v>
      </c>
      <c r="U1121" t="inlineStr"/>
      <c r="V1121">
        <f>IF(J1121="","",MONTH(J1121))</f>
        <v/>
      </c>
      <c r="W1121">
        <f>IF(J1121="","",YEAR(J1121))</f>
        <v/>
      </c>
      <c r="X1121" t="inlineStr"/>
      <c r="Y1121">
        <f>IFERROR(INDEX(Rastreio!$H$2:$H$200,MATCH(X1121&amp;"|"&amp;U1121,Rastreio!$A$2:$A$200,0)),"")</f>
        <v/>
      </c>
    </row>
    <row r="1122">
      <c r="A1122">
        <f>IFERROR(INDEX(STAs!$G$2:$G$61,MATCH(P1122,STAs!$F$2:$F$61,0))&amp;"","")</f>
        <v/>
      </c>
      <c r="B1122" t="n">
        <v>20017041</v>
      </c>
      <c r="C1122" t="inlineStr">
        <is>
          <t>Não</t>
        </is>
      </c>
      <c r="D1122" t="inlineStr">
        <is>
          <t>RS</t>
        </is>
      </c>
      <c r="E1122" t="inlineStr">
        <is>
          <t>SUL</t>
        </is>
      </c>
      <c r="F1122" t="inlineStr">
        <is>
          <t>Cliente A - Refrigerador</t>
        </is>
      </c>
      <c r="G1122" t="inlineStr">
        <is>
          <t>Refrigeradores</t>
        </is>
      </c>
      <c r="H1122" s="10" t="n">
        <v>25</v>
      </c>
      <c r="I1122" s="10">
        <f>IFERROR(T1122*H1122,0)</f>
        <v/>
      </c>
      <c r="J1122" s="11" t="n">
        <v>46109</v>
      </c>
      <c r="K1122" s="11" t="n">
        <v>46168</v>
      </c>
      <c r="L1122" t="inlineStr">
        <is>
          <t>Ok. Devolvida</t>
        </is>
      </c>
      <c r="M1122">
        <f>IF(L1122="","",IFERROR(VLOOKUP(L1122,mapGrupoStatus,2,0),"Outros"))</f>
        <v/>
      </c>
      <c r="N1122">
        <f>IF(O1122="","",IF(O1122&lt;=30,"0-30 dias",IF(O1122&lt;=60,"31-60 dias",IF(O1122&lt;=90,"61-90 dias","Mais de 90 dias"))))</f>
        <v/>
      </c>
      <c r="O1122">
        <f>IF(OR(M1122="Pendente",M1122="Em andamento"),IF(J1122="","",TODAY()-J1122),"")</f>
        <v/>
      </c>
      <c r="P1122" t="n">
        <v>11459</v>
      </c>
      <c r="Q1122" t="inlineStr">
        <is>
          <t>Frio ME (11459)</t>
        </is>
      </c>
      <c r="R1122" t="inlineStr">
        <is>
          <t>PC-0015</t>
        </is>
      </c>
      <c r="S1122" t="inlineStr">
        <is>
          <t>Filtro secador modelo 01</t>
        </is>
      </c>
      <c r="T1122" t="n">
        <v>2</v>
      </c>
      <c r="U1122" t="n">
        <v>123</v>
      </c>
      <c r="V1122">
        <f>IF(J1122="","",MONTH(J1122))</f>
        <v/>
      </c>
      <c r="W1122">
        <f>IF(J1122="","",YEAR(J1122))</f>
        <v/>
      </c>
      <c r="X1122" t="inlineStr">
        <is>
          <t>RotaSul</t>
        </is>
      </c>
      <c r="Y1122">
        <f>IFERROR(INDEX(Rastreio!$H$2:$H$200,MATCH(X1122&amp;"|"&amp;U1122,Rastreio!$A$2:$A$200,0)),"")</f>
        <v/>
      </c>
    </row>
    <row r="1123">
      <c r="A1123">
        <f>IFERROR(INDEX(STAs!$G$2:$G$61,MATCH(P1123,STAs!$F$2:$F$61,0))&amp;"","")</f>
        <v/>
      </c>
      <c r="B1123" t="n">
        <v>20030098</v>
      </c>
      <c r="C1123" t="inlineStr">
        <is>
          <t>Não</t>
        </is>
      </c>
      <c r="D1123" t="inlineStr">
        <is>
          <t>PR</t>
        </is>
      </c>
      <c r="E1123" t="inlineStr">
        <is>
          <t>SUL</t>
        </is>
      </c>
      <c r="F1123" t="inlineStr">
        <is>
          <t>Cliente B - Chopeira</t>
        </is>
      </c>
      <c r="G1123" t="inlineStr">
        <is>
          <t>Misturadores</t>
        </is>
      </c>
      <c r="H1123" s="10" t="n">
        <v>255</v>
      </c>
      <c r="I1123" s="10">
        <f>IFERROR(T1123*H1123,0)</f>
        <v/>
      </c>
      <c r="J1123" s="11" t="n">
        <v>46109</v>
      </c>
      <c r="K1123" s="11" t="n"/>
      <c r="L1123" t="inlineStr">
        <is>
          <t>NF Vencida</t>
        </is>
      </c>
      <c r="M1123">
        <f>IF(L1123="","",IFERROR(VLOOKUP(L1123,mapGrupoStatus,2,0),"Outros"))</f>
        <v/>
      </c>
      <c r="N1123">
        <f>IF(O1123="","",IF(O1123&lt;=30,"0-30 dias",IF(O1123&lt;=60,"31-60 dias",IF(O1123&lt;=90,"61-90 dias","Mais de 90 dias"))))</f>
        <v/>
      </c>
      <c r="O1123">
        <f>IF(OR(M1123="Pendente",M1123="Em andamento"),IF(J1123="","",TODAY()-J1123),"")</f>
        <v/>
      </c>
      <c r="P1123" t="n">
        <v>12089</v>
      </c>
      <c r="Q1123" t="inlineStr">
        <is>
          <t>Termotec Serviços (12089)</t>
        </is>
      </c>
      <c r="R1123" t="inlineStr">
        <is>
          <t>PC-0037</t>
        </is>
      </c>
      <c r="S1123" t="inlineStr">
        <is>
          <t>Bomba de recirculação modelo 01</t>
        </is>
      </c>
      <c r="T1123" t="n">
        <v>1</v>
      </c>
      <c r="U1123" t="inlineStr"/>
      <c r="V1123">
        <f>IF(J1123="","",MONTH(J1123))</f>
        <v/>
      </c>
      <c r="W1123">
        <f>IF(J1123="","",YEAR(J1123))</f>
        <v/>
      </c>
      <c r="X1123" t="inlineStr"/>
      <c r="Y1123">
        <f>IFERROR(INDEX(Rastreio!$H$2:$H$200,MATCH(X1123&amp;"|"&amp;U1123,Rastreio!$A$2:$A$200,0)),"")</f>
        <v/>
      </c>
    </row>
    <row r="1124">
      <c r="A1124">
        <f>IFERROR(INDEX(STAs!$G$2:$G$61,MATCH(P1124,STAs!$F$2:$F$61,0))&amp;"","")</f>
        <v/>
      </c>
      <c r="B1124" t="n">
        <v>20034735</v>
      </c>
      <c r="C1124" t="inlineStr">
        <is>
          <t>Não</t>
        </is>
      </c>
      <c r="D1124" t="inlineStr">
        <is>
          <t>PE</t>
        </is>
      </c>
      <c r="E1124" t="inlineStr">
        <is>
          <t>NORDESTE</t>
        </is>
      </c>
      <c r="F1124" t="inlineStr">
        <is>
          <t>Cliente A - Refrigerador</t>
        </is>
      </c>
      <c r="G1124" t="inlineStr">
        <is>
          <t>Misturadores</t>
        </is>
      </c>
      <c r="H1124" s="10" t="n">
        <v>255</v>
      </c>
      <c r="I1124" s="10">
        <f>IFERROR(T1124*H1124,0)</f>
        <v/>
      </c>
      <c r="J1124" s="11" t="n">
        <v>46109</v>
      </c>
      <c r="K1124" s="11" t="n">
        <v>46144</v>
      </c>
      <c r="L1124" t="inlineStr">
        <is>
          <t>Ok. Devolvida</t>
        </is>
      </c>
      <c r="M1124">
        <f>IF(L1124="","",IFERROR(VLOOKUP(L1124,mapGrupoStatus,2,0),"Outros"))</f>
        <v/>
      </c>
      <c r="N1124">
        <f>IF(O1124="","",IF(O1124&lt;=30,"0-30 dias",IF(O1124&lt;=60,"31-60 dias",IF(O1124&lt;=90,"61-90 dias","Mais de 90 dias"))))</f>
        <v/>
      </c>
      <c r="O1124">
        <f>IF(OR(M1124="Pendente",M1124="Em andamento"),IF(J1124="","",TODAY()-J1124),"")</f>
        <v/>
      </c>
      <c r="P1124" t="n">
        <v>11352</v>
      </c>
      <c r="Q1124" t="inlineStr">
        <is>
          <t>Frio Express (11352)</t>
        </is>
      </c>
      <c r="R1124" t="inlineStr">
        <is>
          <t>PC-0037</t>
        </is>
      </c>
      <c r="S1124" t="inlineStr">
        <is>
          <t>Bomba de recirculação modelo 01</t>
        </is>
      </c>
      <c r="T1124" t="n">
        <v>1</v>
      </c>
      <c r="U1124" t="n">
        <v>163</v>
      </c>
      <c r="V1124">
        <f>IF(J1124="","",MONTH(J1124))</f>
        <v/>
      </c>
      <c r="W1124">
        <f>IF(J1124="","",YEAR(J1124))</f>
        <v/>
      </c>
      <c r="X1124" t="inlineStr">
        <is>
          <t>TransNorte</t>
        </is>
      </c>
      <c r="Y1124">
        <f>IFERROR(INDEX(Rastreio!$H$2:$H$200,MATCH(X1124&amp;"|"&amp;U1124,Rastreio!$A$2:$A$200,0)),"")</f>
        <v/>
      </c>
    </row>
    <row r="1125">
      <c r="A1125">
        <f>IFERROR(INDEX(STAs!$G$2:$G$61,MATCH(P1125,STAs!$F$2:$F$61,0))&amp;"","")</f>
        <v/>
      </c>
      <c r="B1125" t="n">
        <v>20037505</v>
      </c>
      <c r="C1125" t="inlineStr">
        <is>
          <t>Não</t>
        </is>
      </c>
      <c r="D1125" t="inlineStr">
        <is>
          <t>BA</t>
        </is>
      </c>
      <c r="E1125" t="inlineStr">
        <is>
          <t>NORDESTE</t>
        </is>
      </c>
      <c r="F1125" t="inlineStr">
        <is>
          <t>Cliente B - Chopeira</t>
        </is>
      </c>
      <c r="G1125" t="inlineStr">
        <is>
          <t>Misturadores</t>
        </is>
      </c>
      <c r="H1125" s="10" t="n">
        <v>185</v>
      </c>
      <c r="I1125" s="10">
        <f>IFERROR(T1125*H1125,0)</f>
        <v/>
      </c>
      <c r="J1125" s="11" t="n">
        <v>46109</v>
      </c>
      <c r="K1125" s="11" t="n">
        <v>46139</v>
      </c>
      <c r="L1125" t="inlineStr">
        <is>
          <t>Ok. Devolvida</t>
        </is>
      </c>
      <c r="M1125">
        <f>IF(L1125="","",IFERROR(VLOOKUP(L1125,mapGrupoStatus,2,0),"Outros"))</f>
        <v/>
      </c>
      <c r="N1125">
        <f>IF(O1125="","",IF(O1125&lt;=30,"0-30 dias",IF(O1125&lt;=60,"31-60 dias",IF(O1125&lt;=90,"61-90 dias","Mais de 90 dias"))))</f>
        <v/>
      </c>
      <c r="O1125">
        <f>IF(OR(M1125="Pendente",M1125="Em andamento"),IF(J1125="","",TODAY()-J1125),"")</f>
        <v/>
      </c>
      <c r="P1125" t="n">
        <v>12194</v>
      </c>
      <c r="Q1125" t="inlineStr">
        <is>
          <t>Polar &amp; Cia (12194)</t>
        </is>
      </c>
      <c r="R1125" t="inlineStr">
        <is>
          <t>PC-0041</t>
        </is>
      </c>
      <c r="S1125" t="inlineStr">
        <is>
          <t>Motor agitador modelo 02</t>
        </is>
      </c>
      <c r="T1125" t="n">
        <v>1</v>
      </c>
      <c r="U1125" t="n">
        <v>158</v>
      </c>
      <c r="V1125">
        <f>IF(J1125="","",MONTH(J1125))</f>
        <v/>
      </c>
      <c r="W1125">
        <f>IF(J1125="","",YEAR(J1125))</f>
        <v/>
      </c>
      <c r="X1125" t="inlineStr">
        <is>
          <t>ViaCargo</t>
        </is>
      </c>
      <c r="Y1125">
        <f>IFERROR(INDEX(Rastreio!$H$2:$H$200,MATCH(X1125&amp;"|"&amp;U1125,Rastreio!$A$2:$A$200,0)),"")</f>
        <v/>
      </c>
    </row>
    <row r="1126">
      <c r="A1126">
        <f>IFERROR(INDEX(STAs!$G$2:$G$61,MATCH(P1126,STAs!$F$2:$F$61,0))&amp;"","")</f>
        <v/>
      </c>
      <c r="B1126" t="n">
        <v>20038679</v>
      </c>
      <c r="C1126" t="inlineStr">
        <is>
          <t>Não</t>
        </is>
      </c>
      <c r="D1126" t="inlineStr">
        <is>
          <t>AC</t>
        </is>
      </c>
      <c r="E1126" t="inlineStr">
        <is>
          <t>NORTE</t>
        </is>
      </c>
      <c r="F1126" t="inlineStr">
        <is>
          <t>Cliente A - Refrigerador</t>
        </is>
      </c>
      <c r="G1126" t="inlineStr">
        <is>
          <t>Refrigeradores</t>
        </is>
      </c>
      <c r="H1126" s="10" t="n">
        <v>55</v>
      </c>
      <c r="I1126" s="10">
        <f>IFERROR(T1126*H1126,0)</f>
        <v/>
      </c>
      <c r="J1126" s="11" t="n">
        <v>46109</v>
      </c>
      <c r="K1126" s="11" t="n"/>
      <c r="L1126" t="inlineStr">
        <is>
          <t>Não Devolve-Norte</t>
        </is>
      </c>
      <c r="M1126">
        <f>IF(L1126="","",IFERROR(VLOOKUP(L1126,mapGrupoStatus,2,0),"Outros"))</f>
        <v/>
      </c>
      <c r="N1126">
        <f>IF(O1126="","",IF(O1126&lt;=30,"0-30 dias",IF(O1126&lt;=60,"31-60 dias",IF(O1126&lt;=90,"61-90 dias","Mais de 90 dias"))))</f>
        <v/>
      </c>
      <c r="O1126">
        <f>IF(OR(M1126="Pendente",M1126="Em andamento"),IF(J1126="","",TODAY()-J1126),"")</f>
        <v/>
      </c>
      <c r="P1126" t="n">
        <v>10372</v>
      </c>
      <c r="Q1126" t="inlineStr">
        <is>
          <t>Zero Grau ME (10372)</t>
        </is>
      </c>
      <c r="R1126" t="inlineStr">
        <is>
          <t>PC-0007</t>
        </is>
      </c>
      <c r="S1126" t="inlineStr">
        <is>
          <t>Ventilador modelo 01</t>
        </is>
      </c>
      <c r="T1126" t="n">
        <v>2</v>
      </c>
      <c r="U1126" t="inlineStr"/>
      <c r="V1126">
        <f>IF(J1126="","",MONTH(J1126))</f>
        <v/>
      </c>
      <c r="W1126">
        <f>IF(J1126="","",YEAR(J1126))</f>
        <v/>
      </c>
      <c r="X1126" t="inlineStr"/>
      <c r="Y1126">
        <f>IFERROR(INDEX(Rastreio!$H$2:$H$200,MATCH(X1126&amp;"|"&amp;U1126,Rastreio!$A$2:$A$200,0)),"")</f>
        <v/>
      </c>
    </row>
    <row r="1127">
      <c r="A1127">
        <f>IFERROR(INDEX(STAs!$G$2:$G$61,MATCH(P1127,STAs!$F$2:$F$61,0))&amp;"","")</f>
        <v/>
      </c>
      <c r="B1127" t="n">
        <v>20006879</v>
      </c>
      <c r="C1127" t="inlineStr">
        <is>
          <t>Sim</t>
        </is>
      </c>
      <c r="D1127" t="inlineStr">
        <is>
          <t>PR</t>
        </is>
      </c>
      <c r="E1127" t="inlineStr">
        <is>
          <t>SUL</t>
        </is>
      </c>
      <c r="F1127" t="inlineStr">
        <is>
          <t>Cliente C - Misturador</t>
        </is>
      </c>
      <c r="G1127" t="inlineStr">
        <is>
          <t>Refrigeradores</t>
        </is>
      </c>
      <c r="H1127" s="10" t="n">
        <v>65</v>
      </c>
      <c r="I1127" s="10">
        <f>IFERROR(T1127*H1127,0)</f>
        <v/>
      </c>
      <c r="J1127" s="11" t="n">
        <v>46110</v>
      </c>
      <c r="K1127" s="11" t="n">
        <v>46149</v>
      </c>
      <c r="L1127" t="inlineStr">
        <is>
          <t>Ok. Devolvida</t>
        </is>
      </c>
      <c r="M1127">
        <f>IF(L1127="","",IFERROR(VLOOKUP(L1127,mapGrupoStatus,2,0),"Outros"))</f>
        <v/>
      </c>
      <c r="N1127">
        <f>IF(O1127="","",IF(O1127&lt;=30,"0-30 dias",IF(O1127&lt;=60,"31-60 dias",IF(O1127&lt;=90,"61-90 dias","Mais de 90 dias"))))</f>
        <v/>
      </c>
      <c r="O1127">
        <f>IF(OR(M1127="Pendente",M1127="Em andamento"),IF(J1127="","",TODAY()-J1127),"")</f>
        <v/>
      </c>
      <c r="P1127" t="n">
        <v>10753</v>
      </c>
      <c r="Q1127" t="inlineStr">
        <is>
          <t>Refrigel &amp; Cia (10753)</t>
        </is>
      </c>
      <c r="R1127" t="inlineStr">
        <is>
          <t>PC-0010</t>
        </is>
      </c>
      <c r="S1127" t="inlineStr">
        <is>
          <t>Ventilador modelo 04</t>
        </is>
      </c>
      <c r="T1127" t="n">
        <v>2</v>
      </c>
      <c r="U1127" t="n">
        <v>117</v>
      </c>
      <c r="V1127">
        <f>IF(J1127="","",MONTH(J1127))</f>
        <v/>
      </c>
      <c r="W1127">
        <f>IF(J1127="","",YEAR(J1127))</f>
        <v/>
      </c>
      <c r="X1127" t="inlineStr">
        <is>
          <t>ViaCargo</t>
        </is>
      </c>
      <c r="Y1127">
        <f>IFERROR(INDEX(Rastreio!$H$2:$H$200,MATCH(X1127&amp;"|"&amp;U1127,Rastreio!$A$2:$A$200,0)),"")</f>
        <v/>
      </c>
    </row>
    <row r="1128">
      <c r="A1128">
        <f>IFERROR(INDEX(STAs!$G$2:$G$61,MATCH(P1128,STAs!$F$2:$F$61,0))&amp;"","")</f>
        <v/>
      </c>
      <c r="B1128" t="n">
        <v>20018211</v>
      </c>
      <c r="C1128" t="inlineStr">
        <is>
          <t>Não</t>
        </is>
      </c>
      <c r="D1128" t="inlineStr">
        <is>
          <t>PI</t>
        </is>
      </c>
      <c r="E1128" t="inlineStr">
        <is>
          <t>NORDESTE</t>
        </is>
      </c>
      <c r="F1128" t="inlineStr">
        <is>
          <t>Cliente A - Refrigerador</t>
        </is>
      </c>
      <c r="G1128" t="inlineStr">
        <is>
          <t>Chopeiras</t>
        </is>
      </c>
      <c r="H1128" s="10" t="n">
        <v>100</v>
      </c>
      <c r="I1128" s="10">
        <f>IFERROR(T1128*H1128,0)</f>
        <v/>
      </c>
      <c r="J1128" s="11" t="n">
        <v>46110</v>
      </c>
      <c r="K1128" s="11" t="n"/>
      <c r="L1128" t="inlineStr">
        <is>
          <t>Aguardando devolução</t>
        </is>
      </c>
      <c r="M1128">
        <f>IF(L1128="","",IFERROR(VLOOKUP(L1128,mapGrupoStatus,2,0),"Outros"))</f>
        <v/>
      </c>
      <c r="N1128">
        <f>IF(O1128="","",IF(O1128&lt;=30,"0-30 dias",IF(O1128&lt;=60,"31-60 dias",IF(O1128&lt;=90,"61-90 dias","Mais de 90 dias"))))</f>
        <v/>
      </c>
      <c r="O1128">
        <f>IF(OR(M1128="Pendente",M1128="Em andamento"),IF(J1128="","",TODAY()-J1128),"")</f>
        <v/>
      </c>
      <c r="P1128" t="n">
        <v>10562</v>
      </c>
      <c r="Q1128" t="inlineStr">
        <is>
          <t>Clima &amp; Cia (10562)</t>
        </is>
      </c>
      <c r="R1128" t="inlineStr">
        <is>
          <t>PC-0027</t>
        </is>
      </c>
      <c r="S1128" t="inlineStr">
        <is>
          <t>Torneira de chopp modelo 02</t>
        </is>
      </c>
      <c r="T1128" t="n">
        <v>1</v>
      </c>
      <c r="U1128" t="inlineStr"/>
      <c r="V1128">
        <f>IF(J1128="","",MONTH(J1128))</f>
        <v/>
      </c>
      <c r="W1128">
        <f>IF(J1128="","",YEAR(J1128))</f>
        <v/>
      </c>
      <c r="X1128" t="inlineStr"/>
      <c r="Y1128">
        <f>IFERROR(INDEX(Rastreio!$H$2:$H$200,MATCH(X1128&amp;"|"&amp;U1128,Rastreio!$A$2:$A$200,0)),"")</f>
        <v/>
      </c>
    </row>
    <row r="1129">
      <c r="A1129">
        <f>IFERROR(INDEX(STAs!$G$2:$G$61,MATCH(P1129,STAs!$F$2:$F$61,0))&amp;"","")</f>
        <v/>
      </c>
      <c r="B1129" t="n">
        <v>20031747</v>
      </c>
      <c r="C1129" t="inlineStr">
        <is>
          <t>Não</t>
        </is>
      </c>
      <c r="D1129" t="inlineStr">
        <is>
          <t>BA</t>
        </is>
      </c>
      <c r="E1129" t="inlineStr">
        <is>
          <t>NORDESTE</t>
        </is>
      </c>
      <c r="F1129" t="inlineStr">
        <is>
          <t>Cliente B - Chopeira</t>
        </is>
      </c>
      <c r="G1129" t="inlineStr">
        <is>
          <t>Chopeiras</t>
        </is>
      </c>
      <c r="H1129" s="10" t="n">
        <v>85</v>
      </c>
      <c r="I1129" s="10">
        <f>IFERROR(T1129*H1129,0)</f>
        <v/>
      </c>
      <c r="J1129" s="11" t="n">
        <v>46110</v>
      </c>
      <c r="K1129" s="11" t="n">
        <v>46128</v>
      </c>
      <c r="L1129" t="inlineStr">
        <is>
          <t>Ok. Devolvida</t>
        </is>
      </c>
      <c r="M1129">
        <f>IF(L1129="","",IFERROR(VLOOKUP(L1129,mapGrupoStatus,2,0),"Outros"))</f>
        <v/>
      </c>
      <c r="N1129">
        <f>IF(O1129="","",IF(O1129&lt;=30,"0-30 dias",IF(O1129&lt;=60,"31-60 dias",IF(O1129&lt;=90,"61-90 dias","Mais de 90 dias"))))</f>
        <v/>
      </c>
      <c r="O1129">
        <f>IF(OR(M1129="Pendente",M1129="Em andamento"),IF(J1129="","",TODAY()-J1129),"")</f>
        <v/>
      </c>
      <c r="P1129" t="n">
        <v>12194</v>
      </c>
      <c r="Q1129" t="inlineStr">
        <is>
          <t>Polar &amp; Cia (12194)</t>
        </is>
      </c>
      <c r="R1129" t="inlineStr">
        <is>
          <t>PC-0026</t>
        </is>
      </c>
      <c r="S1129" t="inlineStr">
        <is>
          <t>Torneira de chopp modelo 01</t>
        </is>
      </c>
      <c r="T1129" t="n">
        <v>1</v>
      </c>
      <c r="U1129" t="n">
        <v>155</v>
      </c>
      <c r="V1129">
        <f>IF(J1129="","",MONTH(J1129))</f>
        <v/>
      </c>
      <c r="W1129">
        <f>IF(J1129="","",YEAR(J1129))</f>
        <v/>
      </c>
      <c r="X1129" t="inlineStr">
        <is>
          <t>RotaSul</t>
        </is>
      </c>
      <c r="Y1129">
        <f>IFERROR(INDEX(Rastreio!$H$2:$H$200,MATCH(X1129&amp;"|"&amp;U1129,Rastreio!$A$2:$A$200,0)),"")</f>
        <v/>
      </c>
    </row>
    <row r="1130">
      <c r="A1130">
        <f>IFERROR(INDEX(STAs!$G$2:$G$61,MATCH(P1130,STAs!$F$2:$F$61,0))&amp;"","")</f>
        <v/>
      </c>
      <c r="B1130" t="n">
        <v>20038974</v>
      </c>
      <c r="C1130" t="inlineStr">
        <is>
          <t>Não</t>
        </is>
      </c>
      <c r="D1130" t="inlineStr">
        <is>
          <t>SP</t>
        </is>
      </c>
      <c r="E1130" t="inlineStr">
        <is>
          <t>SUDESTE SP</t>
        </is>
      </c>
      <c r="F1130" t="inlineStr">
        <is>
          <t>Cliente A - Refrigerador</t>
        </is>
      </c>
      <c r="G1130" t="inlineStr">
        <is>
          <t>Refrigeradores</t>
        </is>
      </c>
      <c r="H1130" s="10" t="n">
        <v>175</v>
      </c>
      <c r="I1130" s="10">
        <f>IFERROR(T1130*H1130,0)</f>
        <v/>
      </c>
      <c r="J1130" s="11" t="n">
        <v>46110</v>
      </c>
      <c r="K1130" s="11" t="n">
        <v>46148</v>
      </c>
      <c r="L1130" t="inlineStr">
        <is>
          <t>Ok. Devolvida</t>
        </is>
      </c>
      <c r="M1130">
        <f>IF(L1130="","",IFERROR(VLOOKUP(L1130,mapGrupoStatus,2,0),"Outros"))</f>
        <v/>
      </c>
      <c r="N1130">
        <f>IF(O1130="","",IF(O1130&lt;=30,"0-30 dias",IF(O1130&lt;=60,"31-60 dias",IF(O1130&lt;=90,"61-90 dias","Mais de 90 dias"))))</f>
        <v/>
      </c>
      <c r="O1130">
        <f>IF(OR(M1130="Pendente",M1130="Em andamento"),IF(J1130="","",TODAY()-J1130),"")</f>
        <v/>
      </c>
      <c r="P1130" t="n">
        <v>12901</v>
      </c>
      <c r="Q1130" t="inlineStr">
        <is>
          <t>Frio Serviços (12901)</t>
        </is>
      </c>
      <c r="R1130" t="inlineStr">
        <is>
          <t>PC-0012</t>
        </is>
      </c>
      <c r="S1130" t="inlineStr">
        <is>
          <t>Placa eletrônica modelo 02</t>
        </is>
      </c>
      <c r="T1130" t="n">
        <v>1</v>
      </c>
      <c r="U1130" t="n">
        <v>171</v>
      </c>
      <c r="V1130">
        <f>IF(J1130="","",MONTH(J1130))</f>
        <v/>
      </c>
      <c r="W1130">
        <f>IF(J1130="","",YEAR(J1130))</f>
        <v/>
      </c>
      <c r="X1130" t="inlineStr">
        <is>
          <t>LogExpress</t>
        </is>
      </c>
      <c r="Y1130">
        <f>IFERROR(INDEX(Rastreio!$H$2:$H$200,MATCH(X1130&amp;"|"&amp;U1130,Rastreio!$A$2:$A$200,0)),"")</f>
        <v/>
      </c>
    </row>
    <row r="1131">
      <c r="A1131">
        <f>IFERROR(INDEX(STAs!$G$2:$G$61,MATCH(P1131,STAs!$F$2:$F$61,0))&amp;"","")</f>
        <v/>
      </c>
      <c r="B1131" t="n">
        <v>20030059</v>
      </c>
      <c r="C1131" t="inlineStr">
        <is>
          <t>Não</t>
        </is>
      </c>
      <c r="D1131" t="inlineStr">
        <is>
          <t>RO</t>
        </is>
      </c>
      <c r="E1131" t="inlineStr">
        <is>
          <t>NORTE</t>
        </is>
      </c>
      <c r="F1131" t="inlineStr">
        <is>
          <t>Cliente A - Refrigerador</t>
        </is>
      </c>
      <c r="G1131" t="inlineStr">
        <is>
          <t>Chopeiras</t>
        </is>
      </c>
      <c r="H1131" s="10" t="n">
        <v>120</v>
      </c>
      <c r="I1131" s="10">
        <f>IFERROR(T1131*H1131,0)</f>
        <v/>
      </c>
      <c r="J1131" s="11" t="n">
        <v>46111</v>
      </c>
      <c r="K1131" s="11" t="n"/>
      <c r="L1131" t="inlineStr">
        <is>
          <t>Não Devolve-Norte</t>
        </is>
      </c>
      <c r="M1131">
        <f>IF(L1131="","",IFERROR(VLOOKUP(L1131,mapGrupoStatus,2,0),"Outros"))</f>
        <v/>
      </c>
      <c r="N1131">
        <f>IF(O1131="","",IF(O1131&lt;=30,"0-30 dias",IF(O1131&lt;=60,"31-60 dias",IF(O1131&lt;=90,"61-90 dias","Mais de 90 dias"))))</f>
        <v/>
      </c>
      <c r="O1131">
        <f>IF(OR(M1131="Pendente",M1131="Em andamento"),IF(J1131="","",TODAY()-J1131),"")</f>
        <v/>
      </c>
      <c r="P1131" t="n">
        <v>10172</v>
      </c>
      <c r="Q1131" t="inlineStr">
        <is>
          <t>Frigo Serviços (10172)</t>
        </is>
      </c>
      <c r="R1131" t="inlineStr">
        <is>
          <t>PC-0032</t>
        </is>
      </c>
      <c r="S1131" t="inlineStr">
        <is>
          <t>Regulador de pressão modelo 01</t>
        </is>
      </c>
      <c r="T1131" t="n">
        <v>1</v>
      </c>
      <c r="U1131" t="inlineStr"/>
      <c r="V1131">
        <f>IF(J1131="","",MONTH(J1131))</f>
        <v/>
      </c>
      <c r="W1131">
        <f>IF(J1131="","",YEAR(J1131))</f>
        <v/>
      </c>
      <c r="X1131" t="inlineStr"/>
      <c r="Y1131">
        <f>IFERROR(INDEX(Rastreio!$H$2:$H$200,MATCH(X1131&amp;"|"&amp;U1131,Rastreio!$A$2:$A$200,0)),"")</f>
        <v/>
      </c>
    </row>
    <row r="1132">
      <c r="A1132">
        <f>IFERROR(INDEX(STAs!$G$2:$G$61,MATCH(P1132,STAs!$F$2:$F$61,0))&amp;"","")</f>
        <v/>
      </c>
      <c r="B1132" t="n">
        <v>20004764</v>
      </c>
      <c r="C1132" t="inlineStr">
        <is>
          <t>Não</t>
        </is>
      </c>
      <c r="D1132" t="inlineStr">
        <is>
          <t>MG</t>
        </is>
      </c>
      <c r="E1132" t="inlineStr">
        <is>
          <t>SUDESTE MG</t>
        </is>
      </c>
      <c r="F1132" t="inlineStr">
        <is>
          <t>Cliente C - Misturador</t>
        </is>
      </c>
      <c r="G1132" t="inlineStr">
        <is>
          <t>Refrigeradores</t>
        </is>
      </c>
      <c r="H1132" s="10" t="n">
        <v>40</v>
      </c>
      <c r="I1132" s="10">
        <f>IFERROR(T1132*H1132,0)</f>
        <v/>
      </c>
      <c r="J1132" s="11" t="n">
        <v>46112</v>
      </c>
      <c r="K1132" s="11" t="n"/>
      <c r="L1132" t="inlineStr">
        <is>
          <t>Não Devolve-Norte</t>
        </is>
      </c>
      <c r="M1132">
        <f>IF(L1132="","",IFERROR(VLOOKUP(L1132,mapGrupoStatus,2,0),"Outros"))</f>
        <v/>
      </c>
      <c r="N1132">
        <f>IF(O1132="","",IF(O1132&lt;=30,"0-30 dias",IF(O1132&lt;=60,"31-60 dias",IF(O1132&lt;=90,"61-90 dias","Mais de 90 dias"))))</f>
        <v/>
      </c>
      <c r="O1132">
        <f>IF(OR(M1132="Pendente",M1132="Em andamento"),IF(J1132="","",TODAY()-J1132),"")</f>
        <v/>
      </c>
      <c r="P1132" t="n">
        <v>11487</v>
      </c>
      <c r="Q1132" t="inlineStr">
        <is>
          <t>Assistência Técnica Manutenção (11487)</t>
        </is>
      </c>
      <c r="R1132" t="inlineStr">
        <is>
          <t>PC-0004</t>
        </is>
      </c>
      <c r="S1132" t="inlineStr">
        <is>
          <t>Termostato modelo 01</t>
        </is>
      </c>
      <c r="T1132" t="n">
        <v>1</v>
      </c>
      <c r="U1132" t="inlineStr"/>
      <c r="V1132">
        <f>IF(J1132="","",MONTH(J1132))</f>
        <v/>
      </c>
      <c r="W1132">
        <f>IF(J1132="","",YEAR(J1132))</f>
        <v/>
      </c>
      <c r="X1132" t="inlineStr"/>
      <c r="Y1132">
        <f>IFERROR(INDEX(Rastreio!$H$2:$H$200,MATCH(X1132&amp;"|"&amp;U1132,Rastreio!$A$2:$A$200,0)),"")</f>
        <v/>
      </c>
    </row>
    <row r="1133">
      <c r="A1133">
        <f>IFERROR(INDEX(STAs!$G$2:$G$61,MATCH(P1133,STAs!$F$2:$F$61,0))&amp;"","")</f>
        <v/>
      </c>
      <c r="B1133" t="n">
        <v>20010005</v>
      </c>
      <c r="C1133" t="inlineStr">
        <is>
          <t>Não</t>
        </is>
      </c>
      <c r="D1133" t="inlineStr">
        <is>
          <t>MG</t>
        </is>
      </c>
      <c r="E1133" t="inlineStr">
        <is>
          <t>SUDESTE MG</t>
        </is>
      </c>
      <c r="F1133" t="inlineStr">
        <is>
          <t>Cliente C - Misturador</t>
        </is>
      </c>
      <c r="G1133" t="inlineStr">
        <is>
          <t>Refrigeradores</t>
        </is>
      </c>
      <c r="H1133" s="10" t="n">
        <v>35</v>
      </c>
      <c r="I1133" s="10">
        <f>IFERROR(T1133*H1133,0)</f>
        <v/>
      </c>
      <c r="J1133" s="11" t="n">
        <v>46112</v>
      </c>
      <c r="K1133" s="11" t="n"/>
      <c r="L1133" t="inlineStr">
        <is>
          <t>NF Vencida</t>
        </is>
      </c>
      <c r="M1133">
        <f>IF(L1133="","",IFERROR(VLOOKUP(L1133,mapGrupoStatus,2,0),"Outros"))</f>
        <v/>
      </c>
      <c r="N1133">
        <f>IF(O1133="","",IF(O1133&lt;=30,"0-30 dias",IF(O1133&lt;=60,"31-60 dias",IF(O1133&lt;=90,"61-90 dias","Mais de 90 dias"))))</f>
        <v/>
      </c>
      <c r="O1133">
        <f>IF(OR(M1133="Pendente",M1133="Em andamento"),IF(J1133="","",TODAY()-J1133),"")</f>
        <v/>
      </c>
      <c r="P1133" t="n">
        <v>12158</v>
      </c>
      <c r="Q1133" t="inlineStr">
        <is>
          <t>Gelo Serviços (12158)</t>
        </is>
      </c>
      <c r="R1133" t="inlineStr">
        <is>
          <t>PC-0023</t>
        </is>
      </c>
      <c r="S1133" t="inlineStr">
        <is>
          <t>Relé de partida modelo 01</t>
        </is>
      </c>
      <c r="T1133" t="n">
        <v>1</v>
      </c>
      <c r="U1133" t="inlineStr"/>
      <c r="V1133">
        <f>IF(J1133="","",MONTH(J1133))</f>
        <v/>
      </c>
      <c r="W1133">
        <f>IF(J1133="","",YEAR(J1133))</f>
        <v/>
      </c>
      <c r="X1133" t="inlineStr"/>
      <c r="Y1133">
        <f>IFERROR(INDEX(Rastreio!$H$2:$H$200,MATCH(X1133&amp;"|"&amp;U1133,Rastreio!$A$2:$A$200,0)),"")</f>
        <v/>
      </c>
    </row>
    <row r="1134">
      <c r="A1134">
        <f>IFERROR(INDEX(STAs!$G$2:$G$61,MATCH(P1134,STAs!$F$2:$F$61,0))&amp;"","")</f>
        <v/>
      </c>
      <c r="B1134" t="n">
        <v>20013771</v>
      </c>
      <c r="C1134" t="inlineStr">
        <is>
          <t>Sim</t>
        </is>
      </c>
      <c r="D1134" t="inlineStr">
        <is>
          <t>CE</t>
        </is>
      </c>
      <c r="E1134" t="inlineStr">
        <is>
          <t>NORDESTE</t>
        </is>
      </c>
      <c r="F1134" t="inlineStr">
        <is>
          <t>Cliente A - Refrigerador</t>
        </is>
      </c>
      <c r="G1134" t="inlineStr">
        <is>
          <t>Misturadores</t>
        </is>
      </c>
      <c r="H1134" s="10" t="n">
        <v>200</v>
      </c>
      <c r="I1134" s="10">
        <f>IFERROR(T1134*H1134,0)</f>
        <v/>
      </c>
      <c r="J1134" s="11" t="n">
        <v>46112</v>
      </c>
      <c r="K1134" s="11" t="n">
        <v>46139</v>
      </c>
      <c r="L1134" t="inlineStr">
        <is>
          <t>Ok. Devolvida</t>
        </is>
      </c>
      <c r="M1134">
        <f>IF(L1134="","",IFERROR(VLOOKUP(L1134,mapGrupoStatus,2,0),"Outros"))</f>
        <v/>
      </c>
      <c r="N1134">
        <f>IF(O1134="","",IF(O1134&lt;=30,"0-30 dias",IF(O1134&lt;=60,"31-60 dias",IF(O1134&lt;=90,"61-90 dias","Mais de 90 dias"))))</f>
        <v/>
      </c>
      <c r="O1134">
        <f>IF(OR(M1134="Pendente",M1134="Em andamento"),IF(J1134="","",TODAY()-J1134),"")</f>
        <v/>
      </c>
      <c r="P1134" t="n">
        <v>10615</v>
      </c>
      <c r="Q1134" t="inlineStr">
        <is>
          <t>Brisa Técnica (10615)</t>
        </is>
      </c>
      <c r="R1134" t="inlineStr">
        <is>
          <t>PC-0040</t>
        </is>
      </c>
      <c r="S1134" t="inlineStr">
        <is>
          <t>Motor agitador modelo 01</t>
        </is>
      </c>
      <c r="T1134" t="n">
        <v>1</v>
      </c>
      <c r="U1134" t="n">
        <v>125</v>
      </c>
      <c r="V1134">
        <f>IF(J1134="","",MONTH(J1134))</f>
        <v/>
      </c>
      <c r="W1134">
        <f>IF(J1134="","",YEAR(J1134))</f>
        <v/>
      </c>
      <c r="X1134" t="inlineStr">
        <is>
          <t>CargoMax</t>
        </is>
      </c>
      <c r="Y1134">
        <f>IFERROR(INDEX(Rastreio!$H$2:$H$200,MATCH(X1134&amp;"|"&amp;U1134,Rastreio!$A$2:$A$200,0)),"")</f>
        <v/>
      </c>
    </row>
    <row r="1135">
      <c r="A1135">
        <f>IFERROR(INDEX(STAs!$G$2:$G$61,MATCH(P1135,STAs!$F$2:$F$61,0))&amp;"","")</f>
        <v/>
      </c>
      <c r="B1135" t="n">
        <v>20017984</v>
      </c>
      <c r="C1135" t="inlineStr">
        <is>
          <t>Não</t>
        </is>
      </c>
      <c r="D1135" t="inlineStr">
        <is>
          <t>MS</t>
        </is>
      </c>
      <c r="E1135" t="inlineStr">
        <is>
          <t>CENTRO OESTE</t>
        </is>
      </c>
      <c r="F1135" t="inlineStr">
        <is>
          <t>Cliente B - Chopeira</t>
        </is>
      </c>
      <c r="G1135" t="inlineStr">
        <is>
          <t>Chopeiras</t>
        </is>
      </c>
      <c r="H1135" s="10" t="n">
        <v>120</v>
      </c>
      <c r="I1135" s="10">
        <f>IFERROR(T1135*H1135,0)</f>
        <v/>
      </c>
      <c r="J1135" s="11" t="n">
        <v>46112</v>
      </c>
      <c r="K1135" s="11" t="n"/>
      <c r="L1135" t="inlineStr">
        <is>
          <t>Debitar do STA</t>
        </is>
      </c>
      <c r="M1135">
        <f>IF(L1135="","",IFERROR(VLOOKUP(L1135,mapGrupoStatus,2,0),"Outros"))</f>
        <v/>
      </c>
      <c r="N1135">
        <f>IF(O1135="","",IF(O1135&lt;=30,"0-30 dias",IF(O1135&lt;=60,"31-60 dias",IF(O1135&lt;=90,"61-90 dias","Mais de 90 dias"))))</f>
        <v/>
      </c>
      <c r="O1135">
        <f>IF(OR(M1135="Pendente",M1135="Em andamento"),IF(J1135="","",TODAY()-J1135),"")</f>
        <v/>
      </c>
      <c r="P1135" t="n">
        <v>10302</v>
      </c>
      <c r="Q1135" t="inlineStr">
        <is>
          <t>Ice Tech Express (10302)</t>
        </is>
      </c>
      <c r="R1135" t="inlineStr">
        <is>
          <t>PC-0032</t>
        </is>
      </c>
      <c r="S1135" t="inlineStr">
        <is>
          <t>Regulador de pressão modelo 01</t>
        </is>
      </c>
      <c r="T1135" t="n">
        <v>1</v>
      </c>
      <c r="U1135" t="inlineStr"/>
      <c r="V1135">
        <f>IF(J1135="","",MONTH(J1135))</f>
        <v/>
      </c>
      <c r="W1135">
        <f>IF(J1135="","",YEAR(J1135))</f>
        <v/>
      </c>
      <c r="X1135" t="inlineStr"/>
      <c r="Y1135">
        <f>IFERROR(INDEX(Rastreio!$H$2:$H$200,MATCH(X1135&amp;"|"&amp;U1135,Rastreio!$A$2:$A$200,0)),"")</f>
        <v/>
      </c>
    </row>
    <row r="1136">
      <c r="A1136">
        <f>IFERROR(INDEX(STAs!$G$2:$G$61,MATCH(P1136,STAs!$F$2:$F$61,0))&amp;"","")</f>
        <v/>
      </c>
      <c r="B1136" t="n">
        <v>20019516</v>
      </c>
      <c r="C1136" t="inlineStr">
        <is>
          <t>Não</t>
        </is>
      </c>
      <c r="D1136" t="inlineStr">
        <is>
          <t>RJ</t>
        </is>
      </c>
      <c r="E1136" t="inlineStr">
        <is>
          <t>SUDESTE RJ e ES</t>
        </is>
      </c>
      <c r="F1136" t="inlineStr">
        <is>
          <t>Cliente B - Chopeira</t>
        </is>
      </c>
      <c r="G1136" t="inlineStr">
        <is>
          <t>Refrigeradores</t>
        </is>
      </c>
      <c r="H1136" s="10" t="n">
        <v>70</v>
      </c>
      <c r="I1136" s="10">
        <f>IFERROR(T1136*H1136,0)</f>
        <v/>
      </c>
      <c r="J1136" s="11" t="n">
        <v>46112</v>
      </c>
      <c r="K1136" s="11" t="n"/>
      <c r="L1136" t="inlineStr">
        <is>
          <t>Debitar do STA</t>
        </is>
      </c>
      <c r="M1136">
        <f>IF(L1136="","",IFERROR(VLOOKUP(L1136,mapGrupoStatus,2,0),"Outros"))</f>
        <v/>
      </c>
      <c r="N1136">
        <f>IF(O1136="","",IF(O1136&lt;=30,"0-30 dias",IF(O1136&lt;=60,"31-60 dias",IF(O1136&lt;=90,"61-90 dias","Mais de 90 dias"))))</f>
        <v/>
      </c>
      <c r="O1136">
        <f>IF(OR(M1136="Pendente",M1136="Em andamento"),IF(J1136="","",TODAY()-J1136),"")</f>
        <v/>
      </c>
      <c r="P1136" t="n">
        <v>10676</v>
      </c>
      <c r="Q1136" t="inlineStr">
        <is>
          <t>Clima Serviços (10676)</t>
        </is>
      </c>
      <c r="R1136" t="inlineStr">
        <is>
          <t>PC-0009</t>
        </is>
      </c>
      <c r="S1136" t="inlineStr">
        <is>
          <t>Ventilador modelo 03</t>
        </is>
      </c>
      <c r="T1136" t="n">
        <v>3</v>
      </c>
      <c r="U1136" t="inlineStr"/>
      <c r="V1136">
        <f>IF(J1136="","",MONTH(J1136))</f>
        <v/>
      </c>
      <c r="W1136">
        <f>IF(J1136="","",YEAR(J1136))</f>
        <v/>
      </c>
      <c r="X1136" t="inlineStr"/>
      <c r="Y1136">
        <f>IFERROR(INDEX(Rastreio!$H$2:$H$200,MATCH(X1136&amp;"|"&amp;U1136,Rastreio!$A$2:$A$200,0)),"")</f>
        <v/>
      </c>
    </row>
    <row r="1137">
      <c r="A1137">
        <f>IFERROR(INDEX(STAs!$G$2:$G$61,MATCH(P1137,STAs!$F$2:$F$61,0))&amp;"","")</f>
        <v/>
      </c>
      <c r="B1137" t="n">
        <v>20034186</v>
      </c>
      <c r="C1137" t="inlineStr">
        <is>
          <t>Não</t>
        </is>
      </c>
      <c r="D1137" t="inlineStr">
        <is>
          <t>ES</t>
        </is>
      </c>
      <c r="E1137" t="inlineStr">
        <is>
          <t>SUDESTE RJ e ES</t>
        </is>
      </c>
      <c r="F1137" t="inlineStr">
        <is>
          <t>Cliente C - Misturador</t>
        </is>
      </c>
      <c r="G1137" t="inlineStr">
        <is>
          <t>Refrigeradores</t>
        </is>
      </c>
      <c r="H1137" s="10" t="n">
        <v>55</v>
      </c>
      <c r="I1137" s="10">
        <f>IFERROR(T1137*H1137,0)</f>
        <v/>
      </c>
      <c r="J1137" s="11" t="n">
        <v>46112</v>
      </c>
      <c r="K1137" s="11" t="n"/>
      <c r="L1137" t="inlineStr">
        <is>
          <t>Aguardando devolução</t>
        </is>
      </c>
      <c r="M1137">
        <f>IF(L1137="","",IFERROR(VLOOKUP(L1137,mapGrupoStatus,2,0),"Outros"))</f>
        <v/>
      </c>
      <c r="N1137">
        <f>IF(O1137="","",IF(O1137&lt;=30,"0-30 dias",IF(O1137&lt;=60,"31-60 dias",IF(O1137&lt;=90,"61-90 dias","Mais de 90 dias"))))</f>
        <v/>
      </c>
      <c r="O1137">
        <f>IF(OR(M1137="Pendente",M1137="Em andamento"),IF(J1137="","",TODAY()-J1137),"")</f>
        <v/>
      </c>
      <c r="P1137" t="n">
        <v>11099</v>
      </c>
      <c r="Q1137" t="inlineStr">
        <is>
          <t>Refrigel Serviços (11099)</t>
        </is>
      </c>
      <c r="R1137" t="inlineStr">
        <is>
          <t>PC-0007</t>
        </is>
      </c>
      <c r="S1137" t="inlineStr">
        <is>
          <t>Ventilador modelo 01</t>
        </is>
      </c>
      <c r="T1137" t="n">
        <v>1</v>
      </c>
      <c r="U1137" t="inlineStr"/>
      <c r="V1137">
        <f>IF(J1137="","",MONTH(J1137))</f>
        <v/>
      </c>
      <c r="W1137">
        <f>IF(J1137="","",YEAR(J1137))</f>
        <v/>
      </c>
      <c r="X1137" t="inlineStr"/>
      <c r="Y1137">
        <f>IFERROR(INDEX(Rastreio!$H$2:$H$200,MATCH(X1137&amp;"|"&amp;U1137,Rastreio!$A$2:$A$200,0)),"")</f>
        <v/>
      </c>
    </row>
    <row r="1138">
      <c r="A1138">
        <f>IFERROR(INDEX(STAs!$G$2:$G$61,MATCH(P1138,STAs!$F$2:$F$61,0))&amp;"","")</f>
        <v/>
      </c>
      <c r="B1138" t="n">
        <v>20002683</v>
      </c>
      <c r="C1138" t="inlineStr">
        <is>
          <t>Sim</t>
        </is>
      </c>
      <c r="D1138" t="inlineStr">
        <is>
          <t>PR</t>
        </is>
      </c>
      <c r="E1138" t="inlineStr">
        <is>
          <t>SUL</t>
        </is>
      </c>
      <c r="F1138" t="inlineStr">
        <is>
          <t>Cliente A - Refrigerador</t>
        </is>
      </c>
      <c r="G1138" t="inlineStr">
        <is>
          <t>Refrigeradores</t>
        </is>
      </c>
      <c r="H1138" s="10" t="n">
        <v>35</v>
      </c>
      <c r="I1138" s="10">
        <f>IFERROR(T1138*H1138,0)</f>
        <v/>
      </c>
      <c r="J1138" s="11" t="n">
        <v>46113</v>
      </c>
      <c r="K1138" s="11" t="n">
        <v>46150</v>
      </c>
      <c r="L1138" t="inlineStr">
        <is>
          <t>Ok. Devolvida</t>
        </is>
      </c>
      <c r="M1138">
        <f>IF(L1138="","",IFERROR(VLOOKUP(L1138,mapGrupoStatus,2,0),"Outros"))</f>
        <v/>
      </c>
      <c r="N1138">
        <f>IF(O1138="","",IF(O1138&lt;=30,"0-30 dias",IF(O1138&lt;=60,"31-60 dias",IF(O1138&lt;=90,"61-90 dias","Mais de 90 dias"))))</f>
        <v/>
      </c>
      <c r="O1138">
        <f>IF(OR(M1138="Pendente",M1138="Em andamento"),IF(J1138="","",TODAY()-J1138),"")</f>
        <v/>
      </c>
      <c r="P1138" t="n">
        <v>12724</v>
      </c>
      <c r="Q1138" t="inlineStr">
        <is>
          <t>Cool Service &amp; Cia (12724)</t>
        </is>
      </c>
      <c r="R1138" t="inlineStr">
        <is>
          <t>PC-0023</t>
        </is>
      </c>
      <c r="S1138" t="inlineStr">
        <is>
          <t>Relé de partida modelo 01</t>
        </is>
      </c>
      <c r="T1138" t="n">
        <v>1</v>
      </c>
      <c r="U1138" t="n">
        <v>107</v>
      </c>
      <c r="V1138">
        <f>IF(J1138="","",MONTH(J1138))</f>
        <v/>
      </c>
      <c r="W1138">
        <f>IF(J1138="","",YEAR(J1138))</f>
        <v/>
      </c>
      <c r="X1138" t="inlineStr">
        <is>
          <t>ViaCargo</t>
        </is>
      </c>
      <c r="Y1138">
        <f>IFERROR(INDEX(Rastreio!$H$2:$H$200,MATCH(X1138&amp;"|"&amp;U1138,Rastreio!$A$2:$A$200,0)),"")</f>
        <v/>
      </c>
    </row>
    <row r="1139">
      <c r="A1139">
        <f>IFERROR(INDEX(STAs!$G$2:$G$61,MATCH(P1139,STAs!$F$2:$F$61,0))&amp;"","")</f>
        <v/>
      </c>
      <c r="B1139" t="n">
        <v>20006036</v>
      </c>
      <c r="C1139" t="inlineStr">
        <is>
          <t>Não</t>
        </is>
      </c>
      <c r="D1139" t="inlineStr">
        <is>
          <t>SP</t>
        </is>
      </c>
      <c r="E1139" t="inlineStr">
        <is>
          <t>SUDESTE SP</t>
        </is>
      </c>
      <c r="F1139" t="inlineStr">
        <is>
          <t>Cliente A - Refrigerador</t>
        </is>
      </c>
      <c r="G1139" t="inlineStr">
        <is>
          <t>Misturadores</t>
        </is>
      </c>
      <c r="H1139" s="10" t="n">
        <v>50</v>
      </c>
      <c r="I1139" s="10">
        <f>IFERROR(T1139*H1139,0)</f>
        <v/>
      </c>
      <c r="J1139" s="11" t="n">
        <v>46113</v>
      </c>
      <c r="K1139" s="11" t="n"/>
      <c r="L1139" t="inlineStr">
        <is>
          <t>Aguardando Transporte</t>
        </is>
      </c>
      <c r="M1139">
        <f>IF(L1139="","",IFERROR(VLOOKUP(L1139,mapGrupoStatus,2,0),"Outros"))</f>
        <v/>
      </c>
      <c r="N1139">
        <f>IF(O1139="","",IF(O1139&lt;=30,"0-30 dias",IF(O1139&lt;=60,"31-60 dias",IF(O1139&lt;=90,"61-90 dias","Mais de 90 dias"))))</f>
        <v/>
      </c>
      <c r="O1139">
        <f>IF(OR(M1139="Pendente",M1139="Em andamento"),IF(J1139="","",TODAY()-J1139),"")</f>
        <v/>
      </c>
      <c r="P1139" t="n">
        <v>11365</v>
      </c>
      <c r="Q1139" t="inlineStr">
        <is>
          <t>Ártico Express (11365)</t>
        </is>
      </c>
      <c r="R1139" t="inlineStr">
        <is>
          <t>PC-0044</t>
        </is>
      </c>
      <c r="S1139" t="inlineStr">
        <is>
          <t>Bico dosador modelo 03</t>
        </is>
      </c>
      <c r="T1139" t="n">
        <v>1</v>
      </c>
      <c r="U1139" t="n">
        <v>111</v>
      </c>
      <c r="V1139">
        <f>IF(J1139="","",MONTH(J1139))</f>
        <v/>
      </c>
      <c r="W1139">
        <f>IF(J1139="","",YEAR(J1139))</f>
        <v/>
      </c>
      <c r="X1139" t="inlineStr">
        <is>
          <t>RotaSul</t>
        </is>
      </c>
      <c r="Y1139">
        <f>IFERROR(INDEX(Rastreio!$H$2:$H$200,MATCH(X1139&amp;"|"&amp;U1139,Rastreio!$A$2:$A$200,0)),"")</f>
        <v/>
      </c>
    </row>
    <row r="1140">
      <c r="A1140">
        <f>IFERROR(INDEX(STAs!$G$2:$G$61,MATCH(P1140,STAs!$F$2:$F$61,0))&amp;"","")</f>
        <v/>
      </c>
      <c r="B1140" t="n">
        <v>20016541</v>
      </c>
      <c r="C1140" t="inlineStr">
        <is>
          <t>Não</t>
        </is>
      </c>
      <c r="D1140" t="inlineStr">
        <is>
          <t>TO</t>
        </is>
      </c>
      <c r="E1140" t="inlineStr">
        <is>
          <t>NORTE</t>
        </is>
      </c>
      <c r="F1140" t="inlineStr">
        <is>
          <t>Cliente B - Chopeira</t>
        </is>
      </c>
      <c r="G1140" t="inlineStr">
        <is>
          <t>Refrigeradores</t>
        </is>
      </c>
      <c r="H1140" s="10" t="n">
        <v>190</v>
      </c>
      <c r="I1140" s="10">
        <f>IFERROR(T1140*H1140,0)</f>
        <v/>
      </c>
      <c r="J1140" s="11" t="n">
        <v>46113</v>
      </c>
      <c r="K1140" s="11" t="n">
        <v>46123</v>
      </c>
      <c r="L1140" t="inlineStr">
        <is>
          <t>Ok. Devolvida</t>
        </is>
      </c>
      <c r="M1140">
        <f>IF(L1140="","",IFERROR(VLOOKUP(L1140,mapGrupoStatus,2,0),"Outros"))</f>
        <v/>
      </c>
      <c r="N1140">
        <f>IF(O1140="","",IF(O1140&lt;=30,"0-30 dias",IF(O1140&lt;=60,"31-60 dias",IF(O1140&lt;=90,"61-90 dias","Mais de 90 dias"))))</f>
        <v/>
      </c>
      <c r="O1140">
        <f>IF(OR(M1140="Pendente",M1140="Em andamento"),IF(J1140="","",TODAY()-J1140),"")</f>
        <v/>
      </c>
      <c r="P1140" t="n">
        <v>10939</v>
      </c>
      <c r="Q1140" t="inlineStr">
        <is>
          <t>Zero Grau Manutenção (10939)</t>
        </is>
      </c>
      <c r="R1140" t="inlineStr">
        <is>
          <t>PC-0011</t>
        </is>
      </c>
      <c r="S1140" t="inlineStr">
        <is>
          <t>Placa eletrônica modelo 01</t>
        </is>
      </c>
      <c r="T1140" t="n">
        <v>3</v>
      </c>
      <c r="U1140" t="n">
        <v>126</v>
      </c>
      <c r="V1140">
        <f>IF(J1140="","",MONTH(J1140))</f>
        <v/>
      </c>
      <c r="W1140">
        <f>IF(J1140="","",YEAR(J1140))</f>
        <v/>
      </c>
      <c r="X1140" t="inlineStr">
        <is>
          <t>TransNorte</t>
        </is>
      </c>
      <c r="Y1140">
        <f>IFERROR(INDEX(Rastreio!$H$2:$H$200,MATCH(X1140&amp;"|"&amp;U1140,Rastreio!$A$2:$A$200,0)),"")</f>
        <v/>
      </c>
    </row>
    <row r="1141">
      <c r="A1141">
        <f>IFERROR(INDEX(STAs!$G$2:$G$61,MATCH(P1141,STAs!$F$2:$F$61,0))&amp;"","")</f>
        <v/>
      </c>
      <c r="B1141" t="n">
        <v>20019106</v>
      </c>
      <c r="C1141" t="inlineStr">
        <is>
          <t>Não</t>
        </is>
      </c>
      <c r="D1141" t="inlineStr">
        <is>
          <t>RS</t>
        </is>
      </c>
      <c r="E1141" t="inlineStr">
        <is>
          <t>SUL</t>
        </is>
      </c>
      <c r="F1141" t="inlineStr">
        <is>
          <t>Cliente C - Misturador</t>
        </is>
      </c>
      <c r="G1141" t="inlineStr">
        <is>
          <t>Misturadores</t>
        </is>
      </c>
      <c r="H1141" s="10" t="n">
        <v>60</v>
      </c>
      <c r="I1141" s="10">
        <f>IFERROR(T1141*H1141,0)</f>
        <v/>
      </c>
      <c r="J1141" s="11" t="n">
        <v>46113</v>
      </c>
      <c r="K1141" s="11" t="n"/>
      <c r="L1141" t="inlineStr">
        <is>
          <t>Aguardando devolução</t>
        </is>
      </c>
      <c r="M1141">
        <f>IF(L1141="","",IFERROR(VLOOKUP(L1141,mapGrupoStatus,2,0),"Outros"))</f>
        <v/>
      </c>
      <c r="N1141">
        <f>IF(O1141="","",IF(O1141&lt;=30,"0-30 dias",IF(O1141&lt;=60,"31-60 dias",IF(O1141&lt;=90,"61-90 dias","Mais de 90 dias"))))</f>
        <v/>
      </c>
      <c r="O1141">
        <f>IF(OR(M1141="Pendente",M1141="Em andamento"),IF(J1141="","",TODAY()-J1141),"")</f>
        <v/>
      </c>
      <c r="P1141" t="n">
        <v>12617</v>
      </c>
      <c r="Q1141" t="inlineStr">
        <is>
          <t>Gelo Manutenção (12617)</t>
        </is>
      </c>
      <c r="R1141" t="inlineStr">
        <is>
          <t>PC-0046</t>
        </is>
      </c>
      <c r="S1141" t="inlineStr">
        <is>
          <t>Sensor de nível modelo 02</t>
        </is>
      </c>
      <c r="T1141" t="n">
        <v>1</v>
      </c>
      <c r="U1141" t="inlineStr"/>
      <c r="V1141">
        <f>IF(J1141="","",MONTH(J1141))</f>
        <v/>
      </c>
      <c r="W1141">
        <f>IF(J1141="","",YEAR(J1141))</f>
        <v/>
      </c>
      <c r="X1141" t="inlineStr"/>
      <c r="Y1141">
        <f>IFERROR(INDEX(Rastreio!$H$2:$H$200,MATCH(X1141&amp;"|"&amp;U1141,Rastreio!$A$2:$A$200,0)),"")</f>
        <v/>
      </c>
    </row>
    <row r="1142">
      <c r="A1142">
        <f>IFERROR(INDEX(STAs!$G$2:$G$61,MATCH(P1142,STAs!$F$2:$F$61,0))&amp;"","")</f>
        <v/>
      </c>
      <c r="B1142" t="n">
        <v>20021779</v>
      </c>
      <c r="C1142" t="inlineStr">
        <is>
          <t>Não</t>
        </is>
      </c>
      <c r="D1142" t="inlineStr">
        <is>
          <t>PE</t>
        </is>
      </c>
      <c r="E1142" t="inlineStr">
        <is>
          <t>NORDESTE</t>
        </is>
      </c>
      <c r="F1142" t="inlineStr">
        <is>
          <t>Cliente B - Chopeira</t>
        </is>
      </c>
      <c r="G1142" t="inlineStr">
        <is>
          <t>Misturadores</t>
        </is>
      </c>
      <c r="H1142" s="10" t="n">
        <v>200</v>
      </c>
      <c r="I1142" s="10">
        <f>IFERROR(T1142*H1142,0)</f>
        <v/>
      </c>
      <c r="J1142" s="11" t="n">
        <v>46113</v>
      </c>
      <c r="K1142" s="11" t="n">
        <v>46157</v>
      </c>
      <c r="L1142" t="inlineStr">
        <is>
          <t>Ok. Devolvida</t>
        </is>
      </c>
      <c r="M1142">
        <f>IF(L1142="","",IFERROR(VLOOKUP(L1142,mapGrupoStatus,2,0),"Outros"))</f>
        <v/>
      </c>
      <c r="N1142">
        <f>IF(O1142="","",IF(O1142&lt;=30,"0-30 dias",IF(O1142&lt;=60,"31-60 dias",IF(O1142&lt;=90,"61-90 dias","Mais de 90 dias"))))</f>
        <v/>
      </c>
      <c r="O1142">
        <f>IF(OR(M1142="Pendente",M1142="Em andamento"),IF(J1142="","",TODAY()-J1142),"")</f>
        <v/>
      </c>
      <c r="P1142" t="n">
        <v>11352</v>
      </c>
      <c r="Q1142" t="inlineStr">
        <is>
          <t>Frio Express (11352)</t>
        </is>
      </c>
      <c r="R1142" t="inlineStr">
        <is>
          <t>PC-0040</t>
        </is>
      </c>
      <c r="S1142" t="inlineStr">
        <is>
          <t>Motor agitador modelo 01</t>
        </is>
      </c>
      <c r="T1142" t="n">
        <v>2</v>
      </c>
      <c r="U1142" t="n">
        <v>133</v>
      </c>
      <c r="V1142">
        <f>IF(J1142="","",MONTH(J1142))</f>
        <v/>
      </c>
      <c r="W1142">
        <f>IF(J1142="","",YEAR(J1142))</f>
        <v/>
      </c>
      <c r="X1142" t="inlineStr">
        <is>
          <t>EntregaJá</t>
        </is>
      </c>
      <c r="Y1142">
        <f>IFERROR(INDEX(Rastreio!$H$2:$H$200,MATCH(X1142&amp;"|"&amp;U1142,Rastreio!$A$2:$A$200,0)),"")</f>
        <v/>
      </c>
    </row>
    <row r="1143">
      <c r="A1143">
        <f>IFERROR(INDEX(STAs!$G$2:$G$61,MATCH(P1143,STAs!$F$2:$F$61,0))&amp;"","")</f>
        <v/>
      </c>
      <c r="B1143" t="n">
        <v>20035266</v>
      </c>
      <c r="C1143" t="inlineStr">
        <is>
          <t>Sim</t>
        </is>
      </c>
      <c r="D1143" t="inlineStr">
        <is>
          <t>PR</t>
        </is>
      </c>
      <c r="E1143" t="inlineStr">
        <is>
          <t>SUL</t>
        </is>
      </c>
      <c r="F1143" t="inlineStr">
        <is>
          <t>Cliente B - Chopeira</t>
        </is>
      </c>
      <c r="G1143" t="inlineStr">
        <is>
          <t>Chopeiras</t>
        </is>
      </c>
      <c r="H1143" s="10" t="n">
        <v>100</v>
      </c>
      <c r="I1143" s="10">
        <f>IFERROR(T1143*H1143,0)</f>
        <v/>
      </c>
      <c r="J1143" s="11" t="n">
        <v>46113</v>
      </c>
      <c r="K1143" s="11" t="n"/>
      <c r="L1143" t="inlineStr">
        <is>
          <t>Aguardando devolução</t>
        </is>
      </c>
      <c r="M1143">
        <f>IF(L1143="","",IFERROR(VLOOKUP(L1143,mapGrupoStatus,2,0),"Outros"))</f>
        <v/>
      </c>
      <c r="N1143">
        <f>IF(O1143="","",IF(O1143&lt;=30,"0-30 dias",IF(O1143&lt;=60,"31-60 dias",IF(O1143&lt;=90,"61-90 dias","Mais de 90 dias"))))</f>
        <v/>
      </c>
      <c r="O1143">
        <f>IF(OR(M1143="Pendente",M1143="Em andamento"),IF(J1143="","",TODAY()-J1143),"")</f>
        <v/>
      </c>
      <c r="P1143" t="n">
        <v>10913</v>
      </c>
      <c r="Q1143" t="inlineStr">
        <is>
          <t>Ice Tech &amp; Cia (10913)</t>
        </is>
      </c>
      <c r="R1143" t="inlineStr">
        <is>
          <t>PC-0027</t>
        </is>
      </c>
      <c r="S1143" t="inlineStr">
        <is>
          <t>Torneira de chopp modelo 02</t>
        </is>
      </c>
      <c r="T1143" t="n">
        <v>1</v>
      </c>
      <c r="U1143" t="inlineStr"/>
      <c r="V1143">
        <f>IF(J1143="","",MONTH(J1143))</f>
        <v/>
      </c>
      <c r="W1143">
        <f>IF(J1143="","",YEAR(J1143))</f>
        <v/>
      </c>
      <c r="X1143" t="inlineStr"/>
      <c r="Y1143">
        <f>IFERROR(INDEX(Rastreio!$H$2:$H$200,MATCH(X1143&amp;"|"&amp;U1143,Rastreio!$A$2:$A$200,0)),"")</f>
        <v/>
      </c>
    </row>
    <row r="1144">
      <c r="A1144">
        <f>IFERROR(INDEX(STAs!$G$2:$G$61,MATCH(P1144,STAs!$F$2:$F$61,0))&amp;"","")</f>
        <v/>
      </c>
      <c r="B1144" t="n">
        <v>20035945</v>
      </c>
      <c r="C1144" t="inlineStr">
        <is>
          <t>Não</t>
        </is>
      </c>
      <c r="D1144" t="inlineStr">
        <is>
          <t>PR</t>
        </is>
      </c>
      <c r="E1144" t="inlineStr">
        <is>
          <t>SUL</t>
        </is>
      </c>
      <c r="F1144" t="inlineStr">
        <is>
          <t>Cliente C - Misturador</t>
        </is>
      </c>
      <c r="G1144" t="inlineStr">
        <is>
          <t>Refrigeradores</t>
        </is>
      </c>
      <c r="H1144" s="10" t="n">
        <v>65</v>
      </c>
      <c r="I1144" s="10">
        <f>IFERROR(T1144*H1144,0)</f>
        <v/>
      </c>
      <c r="J1144" s="11" t="n">
        <v>46113</v>
      </c>
      <c r="K1144" s="11" t="n">
        <v>46157</v>
      </c>
      <c r="L1144" t="inlineStr">
        <is>
          <t>Ok. Devolvida</t>
        </is>
      </c>
      <c r="M1144">
        <f>IF(L1144="","",IFERROR(VLOOKUP(L1144,mapGrupoStatus,2,0),"Outros"))</f>
        <v/>
      </c>
      <c r="N1144">
        <f>IF(O1144="","",IF(O1144&lt;=30,"0-30 dias",IF(O1144&lt;=60,"31-60 dias",IF(O1144&lt;=90,"61-90 dias","Mais de 90 dias"))))</f>
        <v/>
      </c>
      <c r="O1144">
        <f>IF(OR(M1144="Pendente",M1144="Em andamento"),IF(J1144="","",TODAY()-J1144),"")</f>
        <v/>
      </c>
      <c r="P1144" t="n">
        <v>10504</v>
      </c>
      <c r="Q1144" t="inlineStr">
        <is>
          <t>Zero Grau Ltda (10504)</t>
        </is>
      </c>
      <c r="R1144" t="inlineStr">
        <is>
          <t>PC-0010</t>
        </is>
      </c>
      <c r="S1144" t="inlineStr">
        <is>
          <t>Ventilador modelo 04</t>
        </is>
      </c>
      <c r="T1144" t="n">
        <v>1</v>
      </c>
      <c r="U1144" t="n">
        <v>166</v>
      </c>
      <c r="V1144">
        <f>IF(J1144="","",MONTH(J1144))</f>
        <v/>
      </c>
      <c r="W1144">
        <f>IF(J1144="","",YEAR(J1144))</f>
        <v/>
      </c>
      <c r="X1144" t="inlineStr">
        <is>
          <t>RotaSul</t>
        </is>
      </c>
      <c r="Y1144">
        <f>IFERROR(INDEX(Rastreio!$H$2:$H$200,MATCH(X1144&amp;"|"&amp;U1144,Rastreio!$A$2:$A$200,0)),"")</f>
        <v/>
      </c>
    </row>
    <row r="1145">
      <c r="A1145">
        <f>IFERROR(INDEX(STAs!$G$2:$G$61,MATCH(P1145,STAs!$F$2:$F$61,0))&amp;"","")</f>
        <v/>
      </c>
      <c r="B1145" t="n">
        <v>20039683</v>
      </c>
      <c r="C1145" t="inlineStr">
        <is>
          <t>Não</t>
        </is>
      </c>
      <c r="D1145" t="inlineStr">
        <is>
          <t>MG</t>
        </is>
      </c>
      <c r="E1145" t="inlineStr">
        <is>
          <t>SUDESTE MG</t>
        </is>
      </c>
      <c r="F1145" t="inlineStr">
        <is>
          <t>Cliente A - Refrigerador</t>
        </is>
      </c>
      <c r="G1145" t="inlineStr">
        <is>
          <t>Chopeiras</t>
        </is>
      </c>
      <c r="H1145" s="10" t="n">
        <v>85</v>
      </c>
      <c r="I1145" s="10">
        <f>IFERROR(T1145*H1145,0)</f>
        <v/>
      </c>
      <c r="J1145" s="11" t="n">
        <v>46113</v>
      </c>
      <c r="K1145" s="11" t="n">
        <v>46119</v>
      </c>
      <c r="L1145" t="inlineStr">
        <is>
          <t>Ok. Devolvida</t>
        </is>
      </c>
      <c r="M1145">
        <f>IF(L1145="","",IFERROR(VLOOKUP(L1145,mapGrupoStatus,2,0),"Outros"))</f>
        <v/>
      </c>
      <c r="N1145">
        <f>IF(O1145="","",IF(O1145&lt;=30,"0-30 dias",IF(O1145&lt;=60,"31-60 dias",IF(O1145&lt;=90,"61-90 dias","Mais de 90 dias"))))</f>
        <v/>
      </c>
      <c r="O1145">
        <f>IF(OR(M1145="Pendente",M1145="Em andamento"),IF(J1145="","",TODAY()-J1145),"")</f>
        <v/>
      </c>
      <c r="P1145" t="n">
        <v>12470</v>
      </c>
      <c r="Q1145" t="inlineStr">
        <is>
          <t>Cool Service Técnica (12470)</t>
        </is>
      </c>
      <c r="R1145" t="inlineStr">
        <is>
          <t>PC-0028</t>
        </is>
      </c>
      <c r="S1145" t="inlineStr">
        <is>
          <t>Torneira de chopp modelo 03</t>
        </is>
      </c>
      <c r="T1145" t="n">
        <v>1</v>
      </c>
      <c r="U1145" t="n">
        <v>160</v>
      </c>
      <c r="V1145">
        <f>IF(J1145="","",MONTH(J1145))</f>
        <v/>
      </c>
      <c r="W1145">
        <f>IF(J1145="","",YEAR(J1145))</f>
        <v/>
      </c>
      <c r="X1145" t="inlineStr">
        <is>
          <t>ViaCargo</t>
        </is>
      </c>
      <c r="Y1145">
        <f>IFERROR(INDEX(Rastreio!$H$2:$H$200,MATCH(X1145&amp;"|"&amp;U1145,Rastreio!$A$2:$A$200,0)),"")</f>
        <v/>
      </c>
    </row>
    <row r="1146">
      <c r="A1146">
        <f>IFERROR(INDEX(STAs!$G$2:$G$61,MATCH(P1146,STAs!$F$2:$F$61,0))&amp;"","")</f>
        <v/>
      </c>
      <c r="B1146" t="n">
        <v>20040319</v>
      </c>
      <c r="C1146" t="inlineStr">
        <is>
          <t>Não</t>
        </is>
      </c>
      <c r="D1146" t="inlineStr">
        <is>
          <t>RO</t>
        </is>
      </c>
      <c r="E1146" t="inlineStr">
        <is>
          <t>NORTE</t>
        </is>
      </c>
      <c r="F1146" t="inlineStr">
        <is>
          <t>Cliente C - Misturador</t>
        </is>
      </c>
      <c r="G1146" t="inlineStr">
        <is>
          <t>Refrigeradores</t>
        </is>
      </c>
      <c r="H1146" s="10" t="n">
        <v>45</v>
      </c>
      <c r="I1146" s="10">
        <f>IFERROR(T1146*H1146,0)</f>
        <v/>
      </c>
      <c r="J1146" s="11" t="n">
        <v>46113</v>
      </c>
      <c r="K1146" s="11" t="n"/>
      <c r="L1146" t="inlineStr">
        <is>
          <t>Não Devolve-Norte</t>
        </is>
      </c>
      <c r="M1146">
        <f>IF(L1146="","",IFERROR(VLOOKUP(L1146,mapGrupoStatus,2,0),"Outros"))</f>
        <v/>
      </c>
      <c r="N1146">
        <f>IF(O1146="","",IF(O1146&lt;=30,"0-30 dias",IF(O1146&lt;=60,"31-60 dias",IF(O1146&lt;=90,"61-90 dias","Mais de 90 dias"))))</f>
        <v/>
      </c>
      <c r="O1146">
        <f>IF(OR(M1146="Pendente",M1146="Em andamento"),IF(J1146="","",TODAY()-J1146),"")</f>
        <v/>
      </c>
      <c r="P1146" t="n">
        <v>12019</v>
      </c>
      <c r="Q1146" t="inlineStr">
        <is>
          <t>Ártico Serviços (12019)</t>
        </is>
      </c>
      <c r="R1146" t="inlineStr">
        <is>
          <t>PC-0019</t>
        </is>
      </c>
      <c r="S1146" t="inlineStr">
        <is>
          <t>Gaxeta da porta modelo 02</t>
        </is>
      </c>
      <c r="T1146" t="n">
        <v>1</v>
      </c>
      <c r="U1146" t="inlineStr"/>
      <c r="V1146">
        <f>IF(J1146="","",MONTH(J1146))</f>
        <v/>
      </c>
      <c r="W1146">
        <f>IF(J1146="","",YEAR(J1146))</f>
        <v/>
      </c>
      <c r="X1146" t="inlineStr"/>
      <c r="Y1146">
        <f>IFERROR(INDEX(Rastreio!$H$2:$H$200,MATCH(X1146&amp;"|"&amp;U1146,Rastreio!$A$2:$A$200,0)),"")</f>
        <v/>
      </c>
    </row>
    <row r="1147">
      <c r="A1147">
        <f>IFERROR(INDEX(STAs!$G$2:$G$61,MATCH(P1147,STAs!$F$2:$F$61,0))&amp;"","")</f>
        <v/>
      </c>
      <c r="B1147" t="n">
        <v>20004943</v>
      </c>
      <c r="C1147" t="inlineStr">
        <is>
          <t>Não</t>
        </is>
      </c>
      <c r="D1147" t="inlineStr">
        <is>
          <t>PI</t>
        </is>
      </c>
      <c r="E1147" t="inlineStr">
        <is>
          <t>NORDESTE</t>
        </is>
      </c>
      <c r="F1147" t="inlineStr">
        <is>
          <t>Cliente C - Misturador</t>
        </is>
      </c>
      <c r="G1147" t="inlineStr">
        <is>
          <t>Misturadores</t>
        </is>
      </c>
      <c r="H1147" s="10" t="n">
        <v>265</v>
      </c>
      <c r="I1147" s="10">
        <f>IFERROR(T1147*H1147,0)</f>
        <v/>
      </c>
      <c r="J1147" s="11" t="n">
        <v>46114</v>
      </c>
      <c r="K1147" s="11" t="n">
        <v>46131</v>
      </c>
      <c r="L1147" t="inlineStr">
        <is>
          <t>Ok. Devolvida</t>
        </is>
      </c>
      <c r="M1147">
        <f>IF(L1147="","",IFERROR(VLOOKUP(L1147,mapGrupoStatus,2,0),"Outros"))</f>
        <v/>
      </c>
      <c r="N1147">
        <f>IF(O1147="","",IF(O1147&lt;=30,"0-30 dias",IF(O1147&lt;=60,"31-60 dias",IF(O1147&lt;=90,"61-90 dias","Mais de 90 dias"))))</f>
        <v/>
      </c>
      <c r="O1147">
        <f>IF(OR(M1147="Pendente",M1147="Em andamento"),IF(J1147="","",TODAY()-J1147),"")</f>
        <v/>
      </c>
      <c r="P1147" t="n">
        <v>12936</v>
      </c>
      <c r="Q1147" t="inlineStr">
        <is>
          <t>Frigo Técnica (12936)</t>
        </is>
      </c>
      <c r="R1147" t="inlineStr">
        <is>
          <t>PC-0038</t>
        </is>
      </c>
      <c r="S1147" t="inlineStr">
        <is>
          <t>Bomba de recirculação modelo 02</t>
        </is>
      </c>
      <c r="T1147" t="n">
        <v>2</v>
      </c>
      <c r="U1147" t="n">
        <v>111</v>
      </c>
      <c r="V1147">
        <f>IF(J1147="","",MONTH(J1147))</f>
        <v/>
      </c>
      <c r="W1147">
        <f>IF(J1147="","",YEAR(J1147))</f>
        <v/>
      </c>
      <c r="X1147" t="inlineStr">
        <is>
          <t>ViaCargo</t>
        </is>
      </c>
      <c r="Y1147">
        <f>IFERROR(INDEX(Rastreio!$H$2:$H$200,MATCH(X1147&amp;"|"&amp;U1147,Rastreio!$A$2:$A$200,0)),"")</f>
        <v/>
      </c>
    </row>
    <row r="1148">
      <c r="A1148">
        <f>IFERROR(INDEX(STAs!$G$2:$G$61,MATCH(P1148,STAs!$F$2:$F$61,0))&amp;"","")</f>
        <v/>
      </c>
      <c r="B1148" t="n">
        <v>20012572</v>
      </c>
      <c r="C1148" t="inlineStr">
        <is>
          <t>Não</t>
        </is>
      </c>
      <c r="D1148" t="inlineStr">
        <is>
          <t>ES</t>
        </is>
      </c>
      <c r="E1148" t="inlineStr">
        <is>
          <t>SUDESTE RJ e ES</t>
        </is>
      </c>
      <c r="F1148" t="inlineStr">
        <is>
          <t>Cliente A - Refrigerador</t>
        </is>
      </c>
      <c r="G1148" t="inlineStr">
        <is>
          <t>Refrigeradores</t>
        </is>
      </c>
      <c r="H1148" s="10" t="n">
        <v>35</v>
      </c>
      <c r="I1148" s="10">
        <f>IFERROR(T1148*H1148,0)</f>
        <v/>
      </c>
      <c r="J1148" s="11" t="n">
        <v>46114</v>
      </c>
      <c r="K1148" s="11" t="n"/>
      <c r="L1148" t="inlineStr">
        <is>
          <t>Debitar do STA</t>
        </is>
      </c>
      <c r="M1148">
        <f>IF(L1148="","",IFERROR(VLOOKUP(L1148,mapGrupoStatus,2,0),"Outros"))</f>
        <v/>
      </c>
      <c r="N1148">
        <f>IF(O1148="","",IF(O1148&lt;=30,"0-30 dias",IF(O1148&lt;=60,"31-60 dias",IF(O1148&lt;=90,"61-90 dias","Mais de 90 dias"))))</f>
        <v/>
      </c>
      <c r="O1148">
        <f>IF(OR(M1148="Pendente",M1148="Em andamento"),IF(J1148="","",TODAY()-J1148),"")</f>
        <v/>
      </c>
      <c r="P1148" t="n">
        <v>11099</v>
      </c>
      <c r="Q1148" t="inlineStr">
        <is>
          <t>Refrigel Serviços (11099)</t>
        </is>
      </c>
      <c r="R1148" t="inlineStr">
        <is>
          <t>PC-0023</t>
        </is>
      </c>
      <c r="S1148" t="inlineStr">
        <is>
          <t>Relé de partida modelo 01</t>
        </is>
      </c>
      <c r="T1148" t="n">
        <v>2</v>
      </c>
      <c r="U1148" t="inlineStr"/>
      <c r="V1148">
        <f>IF(J1148="","",MONTH(J1148))</f>
        <v/>
      </c>
      <c r="W1148">
        <f>IF(J1148="","",YEAR(J1148))</f>
        <v/>
      </c>
      <c r="X1148" t="inlineStr"/>
      <c r="Y1148">
        <f>IFERROR(INDEX(Rastreio!$H$2:$H$200,MATCH(X1148&amp;"|"&amp;U1148,Rastreio!$A$2:$A$200,0)),"")</f>
        <v/>
      </c>
    </row>
    <row r="1149">
      <c r="A1149">
        <f>IFERROR(INDEX(STAs!$G$2:$G$61,MATCH(P1149,STAs!$F$2:$F$61,0))&amp;"","")</f>
        <v/>
      </c>
      <c r="B1149" t="n">
        <v>20032678</v>
      </c>
      <c r="C1149" t="inlineStr">
        <is>
          <t>Não</t>
        </is>
      </c>
      <c r="D1149" t="inlineStr">
        <is>
          <t>ES</t>
        </is>
      </c>
      <c r="E1149" t="inlineStr">
        <is>
          <t>SUDESTE RJ e ES</t>
        </is>
      </c>
      <c r="F1149" t="inlineStr">
        <is>
          <t>Cliente B - Chopeira</t>
        </is>
      </c>
      <c r="G1149" t="inlineStr">
        <is>
          <t>Misturadores</t>
        </is>
      </c>
      <c r="H1149" s="10" t="n">
        <v>255</v>
      </c>
      <c r="I1149" s="10">
        <f>IFERROR(T1149*H1149,0)</f>
        <v/>
      </c>
      <c r="J1149" s="11" t="n">
        <v>46114</v>
      </c>
      <c r="K1149" s="11" t="n">
        <v>46144</v>
      </c>
      <c r="L1149" t="inlineStr">
        <is>
          <t>Ok. Devolvida</t>
        </is>
      </c>
      <c r="M1149">
        <f>IF(L1149="","",IFERROR(VLOOKUP(L1149,mapGrupoStatus,2,0),"Outros"))</f>
        <v/>
      </c>
      <c r="N1149">
        <f>IF(O1149="","",IF(O1149&lt;=30,"0-30 dias",IF(O1149&lt;=60,"31-60 dias",IF(O1149&lt;=90,"61-90 dias","Mais de 90 dias"))))</f>
        <v/>
      </c>
      <c r="O1149">
        <f>IF(OR(M1149="Pendente",M1149="Em andamento"),IF(J1149="","",TODAY()-J1149),"")</f>
        <v/>
      </c>
      <c r="P1149" t="n">
        <v>11396</v>
      </c>
      <c r="Q1149" t="inlineStr">
        <is>
          <t>Frio Manutenção (11396)</t>
        </is>
      </c>
      <c r="R1149" t="inlineStr">
        <is>
          <t>PC-0037</t>
        </is>
      </c>
      <c r="S1149" t="inlineStr">
        <is>
          <t>Bomba de recirculação modelo 01</t>
        </is>
      </c>
      <c r="T1149" t="n">
        <v>1</v>
      </c>
      <c r="U1149" t="n">
        <v>158</v>
      </c>
      <c r="V1149">
        <f>IF(J1149="","",MONTH(J1149))</f>
        <v/>
      </c>
      <c r="W1149">
        <f>IF(J1149="","",YEAR(J1149))</f>
        <v/>
      </c>
      <c r="X1149" t="inlineStr">
        <is>
          <t>LogExpress</t>
        </is>
      </c>
      <c r="Y1149">
        <f>IFERROR(INDEX(Rastreio!$H$2:$H$200,MATCH(X1149&amp;"|"&amp;U1149,Rastreio!$A$2:$A$200,0)),"")</f>
        <v/>
      </c>
    </row>
    <row r="1150">
      <c r="A1150">
        <f>IFERROR(INDEX(STAs!$G$2:$G$61,MATCH(P1150,STAs!$F$2:$F$61,0))&amp;"","")</f>
        <v/>
      </c>
      <c r="B1150" t="n">
        <v>20037345</v>
      </c>
      <c r="C1150" t="inlineStr">
        <is>
          <t>Não</t>
        </is>
      </c>
      <c r="D1150" t="inlineStr">
        <is>
          <t>BA</t>
        </is>
      </c>
      <c r="E1150" t="inlineStr">
        <is>
          <t>NORDESTE</t>
        </is>
      </c>
      <c r="F1150" t="inlineStr">
        <is>
          <t>Cliente A - Refrigerador</t>
        </is>
      </c>
      <c r="G1150" t="inlineStr">
        <is>
          <t>Refrigeradores</t>
        </is>
      </c>
      <c r="H1150" s="10" t="n">
        <v>40</v>
      </c>
      <c r="I1150" s="10">
        <f>IFERROR(T1150*H1150,0)</f>
        <v/>
      </c>
      <c r="J1150" s="11" t="n">
        <v>46114</v>
      </c>
      <c r="K1150" s="11" t="n"/>
      <c r="L1150" t="inlineStr">
        <is>
          <t>Em andamento</t>
        </is>
      </c>
      <c r="M1150">
        <f>IF(L1150="","",IFERROR(VLOOKUP(L1150,mapGrupoStatus,2,0),"Outros"))</f>
        <v/>
      </c>
      <c r="N1150">
        <f>IF(O1150="","",IF(O1150&lt;=30,"0-30 dias",IF(O1150&lt;=60,"31-60 dias",IF(O1150&lt;=90,"61-90 dias","Mais de 90 dias"))))</f>
        <v/>
      </c>
      <c r="O1150">
        <f>IF(OR(M1150="Pendente",M1150="Em andamento"),IF(J1150="","",TODAY()-J1150),"")</f>
        <v/>
      </c>
      <c r="P1150" t="n">
        <v>11244</v>
      </c>
      <c r="Q1150" t="inlineStr">
        <is>
          <t>Refrigeração Manutenção (11244)</t>
        </is>
      </c>
      <c r="R1150" t="inlineStr">
        <is>
          <t>PC-0005</t>
        </is>
      </c>
      <c r="S1150" t="inlineStr">
        <is>
          <t>Termostato modelo 02</t>
        </is>
      </c>
      <c r="T1150" t="n">
        <v>1</v>
      </c>
      <c r="U1150" t="n">
        <v>158</v>
      </c>
      <c r="V1150">
        <f>IF(J1150="","",MONTH(J1150))</f>
        <v/>
      </c>
      <c r="W1150">
        <f>IF(J1150="","",YEAR(J1150))</f>
        <v/>
      </c>
      <c r="X1150" t="inlineStr">
        <is>
          <t>ViaCargo</t>
        </is>
      </c>
      <c r="Y1150">
        <f>IFERROR(INDEX(Rastreio!$H$2:$H$200,MATCH(X1150&amp;"|"&amp;U1150,Rastreio!$A$2:$A$200,0)),"")</f>
        <v/>
      </c>
    </row>
    <row r="1151">
      <c r="A1151">
        <f>IFERROR(INDEX(STAs!$G$2:$G$61,MATCH(P1151,STAs!$F$2:$F$61,0))&amp;"","")</f>
        <v/>
      </c>
      <c r="B1151" t="n">
        <v>20040083</v>
      </c>
      <c r="C1151" t="inlineStr">
        <is>
          <t>Não</t>
        </is>
      </c>
      <c r="D1151" t="inlineStr">
        <is>
          <t>SP</t>
        </is>
      </c>
      <c r="E1151" t="inlineStr">
        <is>
          <t>SUDESTE SP</t>
        </is>
      </c>
      <c r="F1151" t="inlineStr">
        <is>
          <t>Cliente B - Chopeira</t>
        </is>
      </c>
      <c r="G1151" t="inlineStr">
        <is>
          <t>Refrigeradores</t>
        </is>
      </c>
      <c r="H1151" s="10" t="n">
        <v>185</v>
      </c>
      <c r="I1151" s="10">
        <f>IFERROR(T1151*H1151,0)</f>
        <v/>
      </c>
      <c r="J1151" s="11" t="n">
        <v>46114</v>
      </c>
      <c r="K1151" s="11" t="n">
        <v>46119</v>
      </c>
      <c r="L1151" t="inlineStr">
        <is>
          <t>Ok. Devolvida</t>
        </is>
      </c>
      <c r="M1151">
        <f>IF(L1151="","",IFERROR(VLOOKUP(L1151,mapGrupoStatus,2,0),"Outros"))</f>
        <v/>
      </c>
      <c r="N1151">
        <f>IF(O1151="","",IF(O1151&lt;=30,"0-30 dias",IF(O1151&lt;=60,"31-60 dias",IF(O1151&lt;=90,"61-90 dias","Mais de 90 dias"))))</f>
        <v/>
      </c>
      <c r="O1151">
        <f>IF(OR(M1151="Pendente",M1151="Em andamento"),IF(J1151="","",TODAY()-J1151),"")</f>
        <v/>
      </c>
      <c r="P1151" t="n">
        <v>12901</v>
      </c>
      <c r="Q1151" t="inlineStr">
        <is>
          <t>Frio Serviços (12901)</t>
        </is>
      </c>
      <c r="R1151" t="inlineStr">
        <is>
          <t>PC-0013</t>
        </is>
      </c>
      <c r="S1151" t="inlineStr">
        <is>
          <t>Placa eletrônica modelo 03</t>
        </is>
      </c>
      <c r="T1151" t="n">
        <v>2</v>
      </c>
      <c r="U1151" t="n">
        <v>158</v>
      </c>
      <c r="V1151">
        <f>IF(J1151="","",MONTH(J1151))</f>
        <v/>
      </c>
      <c r="W1151">
        <f>IF(J1151="","",YEAR(J1151))</f>
        <v/>
      </c>
      <c r="X1151" t="inlineStr">
        <is>
          <t>EntregaJá</t>
        </is>
      </c>
      <c r="Y1151">
        <f>IFERROR(INDEX(Rastreio!$H$2:$H$200,MATCH(X1151&amp;"|"&amp;U1151,Rastreio!$A$2:$A$200,0)),"")</f>
        <v/>
      </c>
    </row>
    <row r="1152">
      <c r="A1152">
        <f>IFERROR(INDEX(STAs!$G$2:$G$61,MATCH(P1152,STAs!$F$2:$F$61,0))&amp;"","")</f>
        <v/>
      </c>
      <c r="B1152" t="n">
        <v>20001935</v>
      </c>
      <c r="C1152" t="inlineStr">
        <is>
          <t>Sim</t>
        </is>
      </c>
      <c r="D1152" t="inlineStr">
        <is>
          <t>GO</t>
        </is>
      </c>
      <c r="E1152" t="inlineStr">
        <is>
          <t>CENTRO OESTE</t>
        </is>
      </c>
      <c r="F1152" t="inlineStr">
        <is>
          <t>Cliente B - Chopeira</t>
        </is>
      </c>
      <c r="G1152" t="inlineStr">
        <is>
          <t>Refrigeradores</t>
        </is>
      </c>
      <c r="H1152" s="10" t="n">
        <v>190</v>
      </c>
      <c r="I1152" s="10">
        <f>IFERROR(T1152*H1152,0)</f>
        <v/>
      </c>
      <c r="J1152" s="11" t="n">
        <v>46115</v>
      </c>
      <c r="K1152" s="11" t="n">
        <v>46130</v>
      </c>
      <c r="L1152" t="inlineStr">
        <is>
          <t>Ok. Devolvida</t>
        </is>
      </c>
      <c r="M1152">
        <f>IF(L1152="","",IFERROR(VLOOKUP(L1152,mapGrupoStatus,2,0),"Outros"))</f>
        <v/>
      </c>
      <c r="N1152">
        <f>IF(O1152="","",IF(O1152&lt;=30,"0-30 dias",IF(O1152&lt;=60,"31-60 dias",IF(O1152&lt;=90,"61-90 dias","Mais de 90 dias"))))</f>
        <v/>
      </c>
      <c r="O1152">
        <f>IF(OR(M1152="Pendente",M1152="Em andamento"),IF(J1152="","",TODAY()-J1152),"")</f>
        <v/>
      </c>
      <c r="P1152" t="n">
        <v>11677</v>
      </c>
      <c r="Q1152" t="inlineStr">
        <is>
          <t>Cool Service Manutenção (11677)</t>
        </is>
      </c>
      <c r="R1152" t="inlineStr">
        <is>
          <t>PC-0014</t>
        </is>
      </c>
      <c r="S1152" t="inlineStr">
        <is>
          <t>Placa eletrônica modelo 04</t>
        </is>
      </c>
      <c r="T1152" t="n">
        <v>1</v>
      </c>
      <c r="U1152" t="n">
        <v>104</v>
      </c>
      <c r="V1152">
        <f>IF(J1152="","",MONTH(J1152))</f>
        <v/>
      </c>
      <c r="W1152">
        <f>IF(J1152="","",YEAR(J1152))</f>
        <v/>
      </c>
      <c r="X1152" t="inlineStr">
        <is>
          <t>ViaCargo</t>
        </is>
      </c>
      <c r="Y1152">
        <f>IFERROR(INDEX(Rastreio!$H$2:$H$200,MATCH(X1152&amp;"|"&amp;U1152,Rastreio!$A$2:$A$200,0)),"")</f>
        <v/>
      </c>
    </row>
    <row r="1153">
      <c r="A1153">
        <f>IFERROR(INDEX(STAs!$G$2:$G$61,MATCH(P1153,STAs!$F$2:$F$61,0))&amp;"","")</f>
        <v/>
      </c>
      <c r="B1153" t="n">
        <v>20007981</v>
      </c>
      <c r="C1153" t="inlineStr">
        <is>
          <t>Não</t>
        </is>
      </c>
      <c r="D1153" t="inlineStr">
        <is>
          <t>PR</t>
        </is>
      </c>
      <c r="E1153" t="inlineStr">
        <is>
          <t>SUL</t>
        </is>
      </c>
      <c r="F1153" t="inlineStr">
        <is>
          <t>Cliente C - Misturador</t>
        </is>
      </c>
      <c r="G1153" t="inlineStr">
        <is>
          <t>Misturadores</t>
        </is>
      </c>
      <c r="H1153" s="10" t="n">
        <v>265</v>
      </c>
      <c r="I1153" s="10">
        <f>IFERROR(T1153*H1153,0)</f>
        <v/>
      </c>
      <c r="J1153" s="11" t="n">
        <v>46115</v>
      </c>
      <c r="K1153" s="11" t="n">
        <v>46129</v>
      </c>
      <c r="L1153" t="inlineStr">
        <is>
          <t>Ok. Devolvida</t>
        </is>
      </c>
      <c r="M1153">
        <f>IF(L1153="","",IFERROR(VLOOKUP(L1153,mapGrupoStatus,2,0),"Outros"))</f>
        <v/>
      </c>
      <c r="N1153">
        <f>IF(O1153="","",IF(O1153&lt;=30,"0-30 dias",IF(O1153&lt;=60,"31-60 dias",IF(O1153&lt;=90,"61-90 dias","Mais de 90 dias"))))</f>
        <v/>
      </c>
      <c r="O1153">
        <f>IF(OR(M1153="Pendente",M1153="Em andamento"),IF(J1153="","",TODAY()-J1153),"")</f>
        <v/>
      </c>
      <c r="P1153" t="n">
        <v>11898</v>
      </c>
      <c r="Q1153" t="inlineStr">
        <is>
          <t>Refrigel Express (11898)</t>
        </is>
      </c>
      <c r="R1153" t="inlineStr">
        <is>
          <t>PC-0038</t>
        </is>
      </c>
      <c r="S1153" t="inlineStr">
        <is>
          <t>Bomba de recirculação modelo 02</t>
        </is>
      </c>
      <c r="T1153" t="n">
        <v>1</v>
      </c>
      <c r="U1153" t="n">
        <v>111</v>
      </c>
      <c r="V1153">
        <f>IF(J1153="","",MONTH(J1153))</f>
        <v/>
      </c>
      <c r="W1153">
        <f>IF(J1153="","",YEAR(J1153))</f>
        <v/>
      </c>
      <c r="X1153" t="inlineStr">
        <is>
          <t>TransNorte</t>
        </is>
      </c>
      <c r="Y1153">
        <f>IFERROR(INDEX(Rastreio!$H$2:$H$200,MATCH(X1153&amp;"|"&amp;U1153,Rastreio!$A$2:$A$200,0)),"")</f>
        <v/>
      </c>
    </row>
    <row r="1154">
      <c r="A1154">
        <f>IFERROR(INDEX(STAs!$G$2:$G$61,MATCH(P1154,STAs!$F$2:$F$61,0))&amp;"","")</f>
        <v/>
      </c>
      <c r="B1154" t="n">
        <v>20008739</v>
      </c>
      <c r="C1154" t="inlineStr">
        <is>
          <t>Não</t>
        </is>
      </c>
      <c r="D1154" t="inlineStr">
        <is>
          <t>AP</t>
        </is>
      </c>
      <c r="E1154" t="inlineStr">
        <is>
          <t>NORTE</t>
        </is>
      </c>
      <c r="F1154" t="inlineStr">
        <is>
          <t>Cliente C - Misturador</t>
        </is>
      </c>
      <c r="G1154" t="inlineStr">
        <is>
          <t>Misturadores</t>
        </is>
      </c>
      <c r="H1154" s="10" t="n">
        <v>50</v>
      </c>
      <c r="I1154" s="10">
        <f>IFERROR(T1154*H1154,0)</f>
        <v/>
      </c>
      <c r="J1154" s="11" t="n">
        <v>46115</v>
      </c>
      <c r="K1154" s="11" t="n"/>
      <c r="L1154" t="inlineStr">
        <is>
          <t>Não Devolve-Norte</t>
        </is>
      </c>
      <c r="M1154">
        <f>IF(L1154="","",IFERROR(VLOOKUP(L1154,mapGrupoStatus,2,0),"Outros"))</f>
        <v/>
      </c>
      <c r="N1154">
        <f>IF(O1154="","",IF(O1154&lt;=30,"0-30 dias",IF(O1154&lt;=60,"31-60 dias",IF(O1154&lt;=90,"61-90 dias","Mais de 90 dias"))))</f>
        <v/>
      </c>
      <c r="O1154">
        <f>IF(OR(M1154="Pendente",M1154="Em andamento"),IF(J1154="","",TODAY()-J1154),"")</f>
        <v/>
      </c>
      <c r="P1154" t="n">
        <v>11859</v>
      </c>
      <c r="Q1154" t="inlineStr">
        <is>
          <t>Ice Tech Serviços (11859)</t>
        </is>
      </c>
      <c r="R1154" t="inlineStr">
        <is>
          <t>PC-0045</t>
        </is>
      </c>
      <c r="S1154" t="inlineStr">
        <is>
          <t>Sensor de nível modelo 01</t>
        </is>
      </c>
      <c r="T1154" t="n">
        <v>1</v>
      </c>
      <c r="U1154" t="inlineStr"/>
      <c r="V1154">
        <f>IF(J1154="","",MONTH(J1154))</f>
        <v/>
      </c>
      <c r="W1154">
        <f>IF(J1154="","",YEAR(J1154))</f>
        <v/>
      </c>
      <c r="X1154" t="inlineStr"/>
      <c r="Y1154">
        <f>IFERROR(INDEX(Rastreio!$H$2:$H$200,MATCH(X1154&amp;"|"&amp;U1154,Rastreio!$A$2:$A$200,0)),"")</f>
        <v/>
      </c>
    </row>
    <row r="1155">
      <c r="A1155">
        <f>IFERROR(INDEX(STAs!$G$2:$G$61,MATCH(P1155,STAs!$F$2:$F$61,0))&amp;"","")</f>
        <v/>
      </c>
      <c r="B1155" t="n">
        <v>20016696</v>
      </c>
      <c r="C1155" t="inlineStr">
        <is>
          <t>Não</t>
        </is>
      </c>
      <c r="D1155" t="inlineStr">
        <is>
          <t>RO</t>
        </is>
      </c>
      <c r="E1155" t="inlineStr">
        <is>
          <t>NORTE</t>
        </is>
      </c>
      <c r="F1155" t="inlineStr">
        <is>
          <t>Cliente C - Misturador</t>
        </is>
      </c>
      <c r="G1155" t="inlineStr">
        <is>
          <t>Refrigeradores</t>
        </is>
      </c>
      <c r="H1155" s="10" t="n">
        <v>45</v>
      </c>
      <c r="I1155" s="10">
        <f>IFERROR(T1155*H1155,0)</f>
        <v/>
      </c>
      <c r="J1155" s="11" t="n">
        <v>46115</v>
      </c>
      <c r="K1155" s="11" t="n"/>
      <c r="L1155" t="inlineStr">
        <is>
          <t>Em andamento</t>
        </is>
      </c>
      <c r="M1155">
        <f>IF(L1155="","",IFERROR(VLOOKUP(L1155,mapGrupoStatus,2,0),"Outros"))</f>
        <v/>
      </c>
      <c r="N1155">
        <f>IF(O1155="","",IF(O1155&lt;=30,"0-30 dias",IF(O1155&lt;=60,"31-60 dias",IF(O1155&lt;=90,"61-90 dias","Mais de 90 dias"))))</f>
        <v/>
      </c>
      <c r="O1155">
        <f>IF(OR(M1155="Pendente",M1155="Em andamento"),IF(J1155="","",TODAY()-J1155),"")</f>
        <v/>
      </c>
      <c r="P1155" t="n">
        <v>10172</v>
      </c>
      <c r="Q1155" t="inlineStr">
        <is>
          <t>Frigo Serviços (10172)</t>
        </is>
      </c>
      <c r="R1155" t="inlineStr">
        <is>
          <t>PC-0018</t>
        </is>
      </c>
      <c r="S1155" t="inlineStr">
        <is>
          <t>Gaxeta da porta modelo 01</t>
        </is>
      </c>
      <c r="T1155" t="n">
        <v>1</v>
      </c>
      <c r="U1155" t="n">
        <v>130</v>
      </c>
      <c r="V1155">
        <f>IF(J1155="","",MONTH(J1155))</f>
        <v/>
      </c>
      <c r="W1155">
        <f>IF(J1155="","",YEAR(J1155))</f>
        <v/>
      </c>
      <c r="X1155" t="inlineStr">
        <is>
          <t>LogExpress</t>
        </is>
      </c>
      <c r="Y1155">
        <f>IFERROR(INDEX(Rastreio!$H$2:$H$200,MATCH(X1155&amp;"|"&amp;U1155,Rastreio!$A$2:$A$200,0)),"")</f>
        <v/>
      </c>
    </row>
    <row r="1156">
      <c r="A1156">
        <f>IFERROR(INDEX(STAs!$G$2:$G$61,MATCH(P1156,STAs!$F$2:$F$61,0))&amp;"","")</f>
        <v/>
      </c>
      <c r="B1156" t="n">
        <v>20025669</v>
      </c>
      <c r="C1156" t="inlineStr">
        <is>
          <t>Não</t>
        </is>
      </c>
      <c r="D1156" t="inlineStr">
        <is>
          <t>AC</t>
        </is>
      </c>
      <c r="E1156" t="inlineStr">
        <is>
          <t>NORTE</t>
        </is>
      </c>
      <c r="F1156" t="inlineStr">
        <is>
          <t>Cliente A - Refrigerador</t>
        </is>
      </c>
      <c r="G1156" t="inlineStr">
        <is>
          <t>Misturadores</t>
        </is>
      </c>
      <c r="H1156" s="10" t="n">
        <v>60</v>
      </c>
      <c r="I1156" s="10">
        <f>IFERROR(T1156*H1156,0)</f>
        <v/>
      </c>
      <c r="J1156" s="11" t="n">
        <v>46115</v>
      </c>
      <c r="K1156" s="11" t="n">
        <v>46136</v>
      </c>
      <c r="L1156" t="inlineStr">
        <is>
          <t>Ok. Devolvida</t>
        </is>
      </c>
      <c r="M1156">
        <f>IF(L1156="","",IFERROR(VLOOKUP(L1156,mapGrupoStatus,2,0),"Outros"))</f>
        <v/>
      </c>
      <c r="N1156">
        <f>IF(O1156="","",IF(O1156&lt;=30,"0-30 dias",IF(O1156&lt;=60,"31-60 dias",IF(O1156&lt;=90,"61-90 dias","Mais de 90 dias"))))</f>
        <v/>
      </c>
      <c r="O1156">
        <f>IF(OR(M1156="Pendente",M1156="Em andamento"),IF(J1156="","",TODAY()-J1156),"")</f>
        <v/>
      </c>
      <c r="P1156" t="n">
        <v>11022</v>
      </c>
      <c r="Q1156" t="inlineStr">
        <is>
          <t>Brisa Ltda (11022)</t>
        </is>
      </c>
      <c r="R1156" t="inlineStr">
        <is>
          <t>PC-0046</t>
        </is>
      </c>
      <c r="S1156" t="inlineStr">
        <is>
          <t>Sensor de nível modelo 02</t>
        </is>
      </c>
      <c r="T1156" t="n">
        <v>2</v>
      </c>
      <c r="U1156" t="n">
        <v>144</v>
      </c>
      <c r="V1156">
        <f>IF(J1156="","",MONTH(J1156))</f>
        <v/>
      </c>
      <c r="W1156">
        <f>IF(J1156="","",YEAR(J1156))</f>
        <v/>
      </c>
      <c r="X1156" t="inlineStr">
        <is>
          <t>TransNorte</t>
        </is>
      </c>
      <c r="Y1156">
        <f>IFERROR(INDEX(Rastreio!$H$2:$H$200,MATCH(X1156&amp;"|"&amp;U1156,Rastreio!$A$2:$A$200,0)),"")</f>
        <v/>
      </c>
    </row>
    <row r="1157">
      <c r="A1157">
        <f>IFERROR(INDEX(STAs!$G$2:$G$61,MATCH(P1157,STAs!$F$2:$F$61,0))&amp;"","")</f>
        <v/>
      </c>
      <c r="B1157" t="n">
        <v>20029527</v>
      </c>
      <c r="C1157" t="inlineStr">
        <is>
          <t>Não</t>
        </is>
      </c>
      <c r="D1157" t="inlineStr">
        <is>
          <t>SC</t>
        </is>
      </c>
      <c r="E1157" t="inlineStr">
        <is>
          <t>SUL</t>
        </is>
      </c>
      <c r="F1157" t="inlineStr">
        <is>
          <t>Cliente C - Misturador</t>
        </is>
      </c>
      <c r="G1157" t="inlineStr">
        <is>
          <t>Refrigeradores</t>
        </is>
      </c>
      <c r="H1157" s="10" t="n">
        <v>175</v>
      </c>
      <c r="I1157" s="10">
        <f>IFERROR(T1157*H1157,0)</f>
        <v/>
      </c>
      <c r="J1157" s="11" t="n">
        <v>46115</v>
      </c>
      <c r="K1157" s="11" t="n"/>
      <c r="L1157" t="inlineStr">
        <is>
          <t>Em andamento</t>
        </is>
      </c>
      <c r="M1157">
        <f>IF(L1157="","",IFERROR(VLOOKUP(L1157,mapGrupoStatus,2,0),"Outros"))</f>
        <v/>
      </c>
      <c r="N1157">
        <f>IF(O1157="","",IF(O1157&lt;=30,"0-30 dias",IF(O1157&lt;=60,"31-60 dias",IF(O1157&lt;=90,"61-90 dias","Mais de 90 dias"))))</f>
        <v/>
      </c>
      <c r="O1157">
        <f>IF(OR(M1157="Pendente",M1157="Em andamento"),IF(J1157="","",TODAY()-J1157),"")</f>
        <v/>
      </c>
      <c r="P1157" t="n">
        <v>12138</v>
      </c>
      <c r="Q1157" t="inlineStr">
        <is>
          <t>Refrigeração Serviços (12138)</t>
        </is>
      </c>
      <c r="R1157" t="inlineStr">
        <is>
          <t>PC-0012</t>
        </is>
      </c>
      <c r="S1157" t="inlineStr">
        <is>
          <t>Placa eletrônica modelo 02</t>
        </is>
      </c>
      <c r="T1157" t="n">
        <v>1</v>
      </c>
      <c r="U1157" t="n">
        <v>152</v>
      </c>
      <c r="V1157">
        <f>IF(J1157="","",MONTH(J1157))</f>
        <v/>
      </c>
      <c r="W1157">
        <f>IF(J1157="","",YEAR(J1157))</f>
        <v/>
      </c>
      <c r="X1157" t="inlineStr">
        <is>
          <t>CargoMax</t>
        </is>
      </c>
      <c r="Y1157">
        <f>IFERROR(INDEX(Rastreio!$H$2:$H$200,MATCH(X1157&amp;"|"&amp;U1157,Rastreio!$A$2:$A$200,0)),"")</f>
        <v/>
      </c>
    </row>
    <row r="1158">
      <c r="A1158">
        <f>IFERROR(INDEX(STAs!$G$2:$G$61,MATCH(P1158,STAs!$F$2:$F$61,0))&amp;"","")</f>
        <v/>
      </c>
      <c r="B1158" t="n">
        <v>20036521</v>
      </c>
      <c r="C1158" t="inlineStr">
        <is>
          <t>Não</t>
        </is>
      </c>
      <c r="D1158" t="inlineStr">
        <is>
          <t>RR</t>
        </is>
      </c>
      <c r="E1158" t="inlineStr">
        <is>
          <t>NORTE</t>
        </is>
      </c>
      <c r="F1158" t="inlineStr">
        <is>
          <t>Cliente B - Chopeira</t>
        </is>
      </c>
      <c r="G1158" t="inlineStr">
        <is>
          <t>Misturadores</t>
        </is>
      </c>
      <c r="H1158" s="10" t="n">
        <v>60</v>
      </c>
      <c r="I1158" s="10">
        <f>IFERROR(T1158*H1158,0)</f>
        <v/>
      </c>
      <c r="J1158" s="11" t="n">
        <v>46115</v>
      </c>
      <c r="K1158" s="11" t="n"/>
      <c r="L1158" t="inlineStr">
        <is>
          <t>Debitar do STA</t>
        </is>
      </c>
      <c r="M1158">
        <f>IF(L1158="","",IFERROR(VLOOKUP(L1158,mapGrupoStatus,2,0),"Outros"))</f>
        <v/>
      </c>
      <c r="N1158">
        <f>IF(O1158="","",IF(O1158&lt;=30,"0-30 dias",IF(O1158&lt;=60,"31-60 dias",IF(O1158&lt;=90,"61-90 dias","Mais de 90 dias"))))</f>
        <v/>
      </c>
      <c r="O1158">
        <f>IF(OR(M1158="Pendente",M1158="Em andamento"),IF(J1158="","",TODAY()-J1158),"")</f>
        <v/>
      </c>
      <c r="P1158" t="n">
        <v>10468</v>
      </c>
      <c r="Q1158" t="inlineStr">
        <is>
          <t>Clima Express (10468)</t>
        </is>
      </c>
      <c r="R1158" t="inlineStr">
        <is>
          <t>PC-0048</t>
        </is>
      </c>
      <c r="S1158" t="inlineStr">
        <is>
          <t>Sensor de nível modelo 04</t>
        </is>
      </c>
      <c r="T1158" t="n">
        <v>1</v>
      </c>
      <c r="U1158" t="inlineStr"/>
      <c r="V1158">
        <f>IF(J1158="","",MONTH(J1158))</f>
        <v/>
      </c>
      <c r="W1158">
        <f>IF(J1158="","",YEAR(J1158))</f>
        <v/>
      </c>
      <c r="X1158" t="inlineStr"/>
      <c r="Y1158">
        <f>IFERROR(INDEX(Rastreio!$H$2:$H$200,MATCH(X1158&amp;"|"&amp;U1158,Rastreio!$A$2:$A$200,0)),"")</f>
        <v/>
      </c>
    </row>
    <row r="1159">
      <c r="A1159">
        <f>IFERROR(INDEX(STAs!$G$2:$G$61,MATCH(P1159,STAs!$F$2:$F$61,0))&amp;"","")</f>
        <v/>
      </c>
      <c r="B1159" t="n">
        <v>20006556</v>
      </c>
      <c r="C1159" t="inlineStr">
        <is>
          <t>Não</t>
        </is>
      </c>
      <c r="D1159" t="inlineStr">
        <is>
          <t>SP</t>
        </is>
      </c>
      <c r="E1159" t="inlineStr">
        <is>
          <t>SUDESTE SP</t>
        </is>
      </c>
      <c r="F1159" t="inlineStr">
        <is>
          <t>Cliente A - Refrigerador</t>
        </is>
      </c>
      <c r="G1159" t="inlineStr">
        <is>
          <t>Refrigeradores</t>
        </is>
      </c>
      <c r="H1159" s="10" t="n">
        <v>30</v>
      </c>
      <c r="I1159" s="10">
        <f>IFERROR(T1159*H1159,0)</f>
        <v/>
      </c>
      <c r="J1159" s="11" t="n">
        <v>46116</v>
      </c>
      <c r="K1159" s="11" t="n">
        <v>46164</v>
      </c>
      <c r="L1159" t="inlineStr">
        <is>
          <t>Ok. Devolvida</t>
        </is>
      </c>
      <c r="M1159">
        <f>IF(L1159="","",IFERROR(VLOOKUP(L1159,mapGrupoStatus,2,0),"Outros"))</f>
        <v/>
      </c>
      <c r="N1159">
        <f>IF(O1159="","",IF(O1159&lt;=30,"0-30 dias",IF(O1159&lt;=60,"31-60 dias",IF(O1159&lt;=90,"61-90 dias","Mais de 90 dias"))))</f>
        <v/>
      </c>
      <c r="O1159">
        <f>IF(OR(M1159="Pendente",M1159="Em andamento"),IF(J1159="","",TODAY()-J1159),"")</f>
        <v/>
      </c>
      <c r="P1159" t="n">
        <v>10413</v>
      </c>
      <c r="Q1159" t="inlineStr">
        <is>
          <t>Polar Manutenção (10413)</t>
        </is>
      </c>
      <c r="R1159" t="inlineStr">
        <is>
          <t>PC-0025</t>
        </is>
      </c>
      <c r="S1159" t="inlineStr">
        <is>
          <t>Relé de partida modelo 03</t>
        </is>
      </c>
      <c r="T1159" t="n">
        <v>1</v>
      </c>
      <c r="U1159" t="n">
        <v>110</v>
      </c>
      <c r="V1159">
        <f>IF(J1159="","",MONTH(J1159))</f>
        <v/>
      </c>
      <c r="W1159">
        <f>IF(J1159="","",YEAR(J1159))</f>
        <v/>
      </c>
      <c r="X1159" t="inlineStr">
        <is>
          <t>TransNorte</t>
        </is>
      </c>
      <c r="Y1159">
        <f>IFERROR(INDEX(Rastreio!$H$2:$H$200,MATCH(X1159&amp;"|"&amp;U1159,Rastreio!$A$2:$A$200,0)),"")</f>
        <v/>
      </c>
    </row>
    <row r="1160">
      <c r="A1160">
        <f>IFERROR(INDEX(STAs!$G$2:$G$61,MATCH(P1160,STAs!$F$2:$F$61,0))&amp;"","")</f>
        <v/>
      </c>
      <c r="B1160" t="n">
        <v>20011348</v>
      </c>
      <c r="C1160" t="inlineStr">
        <is>
          <t>Não</t>
        </is>
      </c>
      <c r="D1160" t="inlineStr">
        <is>
          <t>RR</t>
        </is>
      </c>
      <c r="E1160" t="inlineStr">
        <is>
          <t>NORTE</t>
        </is>
      </c>
      <c r="F1160" t="inlineStr">
        <is>
          <t>Cliente C - Misturador</t>
        </is>
      </c>
      <c r="G1160" t="inlineStr">
        <is>
          <t>Refrigeradores</t>
        </is>
      </c>
      <c r="H1160" s="10" t="n">
        <v>325</v>
      </c>
      <c r="I1160" s="10">
        <f>IFERROR(T1160*H1160,0)</f>
        <v/>
      </c>
      <c r="J1160" s="11" t="n">
        <v>46116</v>
      </c>
      <c r="K1160" s="11" t="n">
        <v>46175</v>
      </c>
      <c r="L1160" t="inlineStr">
        <is>
          <t>Ok. Devolvida</t>
        </is>
      </c>
      <c r="M1160">
        <f>IF(L1160="","",IFERROR(VLOOKUP(L1160,mapGrupoStatus,2,0),"Outros"))</f>
        <v/>
      </c>
      <c r="N1160">
        <f>IF(O1160="","",IF(O1160&lt;=30,"0-30 dias",IF(O1160&lt;=60,"31-60 dias",IF(O1160&lt;=90,"61-90 dias","Mais de 90 dias"))))</f>
        <v/>
      </c>
      <c r="O1160">
        <f>IF(OR(M1160="Pendente",M1160="Em andamento"),IF(J1160="","",TODAY()-J1160),"")</f>
        <v/>
      </c>
      <c r="P1160" t="n">
        <v>12422</v>
      </c>
      <c r="Q1160" t="inlineStr">
        <is>
          <t>Assistência Técnica Refrigeração (12422)</t>
        </is>
      </c>
      <c r="R1160" t="inlineStr">
        <is>
          <t>PC-0001</t>
        </is>
      </c>
      <c r="S1160" t="inlineStr">
        <is>
          <t>Compressor modelo 01</t>
        </is>
      </c>
      <c r="T1160" t="n">
        <v>1</v>
      </c>
      <c r="U1160" t="n">
        <v>122</v>
      </c>
      <c r="V1160">
        <f>IF(J1160="","",MONTH(J1160))</f>
        <v/>
      </c>
      <c r="W1160">
        <f>IF(J1160="","",YEAR(J1160))</f>
        <v/>
      </c>
      <c r="X1160" t="inlineStr">
        <is>
          <t>EntregaJá</t>
        </is>
      </c>
      <c r="Y1160">
        <f>IFERROR(INDEX(Rastreio!$H$2:$H$200,MATCH(X1160&amp;"|"&amp;U1160,Rastreio!$A$2:$A$200,0)),"")</f>
        <v/>
      </c>
    </row>
    <row r="1161">
      <c r="A1161">
        <f>IFERROR(INDEX(STAs!$G$2:$G$61,MATCH(P1161,STAs!$F$2:$F$61,0))&amp;"","")</f>
        <v/>
      </c>
      <c r="B1161" t="n">
        <v>20027522</v>
      </c>
      <c r="C1161" t="inlineStr">
        <is>
          <t>Não</t>
        </is>
      </c>
      <c r="D1161" t="inlineStr">
        <is>
          <t>ES</t>
        </is>
      </c>
      <c r="E1161" t="inlineStr">
        <is>
          <t>SUDESTE RJ e ES</t>
        </is>
      </c>
      <c r="F1161" t="inlineStr">
        <is>
          <t>Cliente B - Chopeira</t>
        </is>
      </c>
      <c r="G1161" t="inlineStr">
        <is>
          <t>Chopeiras</t>
        </is>
      </c>
      <c r="H1161" s="10" t="n">
        <v>85</v>
      </c>
      <c r="I1161" s="10">
        <f>IFERROR(T1161*H1161,0)</f>
        <v/>
      </c>
      <c r="J1161" s="11" t="n">
        <v>46116</v>
      </c>
      <c r="K1161" s="11" t="n"/>
      <c r="L1161" t="inlineStr">
        <is>
          <t>Não Devolve-Norte</t>
        </is>
      </c>
      <c r="M1161">
        <f>IF(L1161="","",IFERROR(VLOOKUP(L1161,mapGrupoStatus,2,0),"Outros"))</f>
        <v/>
      </c>
      <c r="N1161">
        <f>IF(O1161="","",IF(O1161&lt;=30,"0-30 dias",IF(O1161&lt;=60,"31-60 dias",IF(O1161&lt;=90,"61-90 dias","Mais de 90 dias"))))</f>
        <v/>
      </c>
      <c r="O1161">
        <f>IF(OR(M1161="Pendente",M1161="Em andamento"),IF(J1161="","",TODAY()-J1161),"")</f>
        <v/>
      </c>
      <c r="P1161" t="n">
        <v>11162</v>
      </c>
      <c r="Q1161" t="inlineStr">
        <is>
          <t>Ártico Refrigeração (11162)</t>
        </is>
      </c>
      <c r="R1161" t="inlineStr">
        <is>
          <t>PC-0028</t>
        </is>
      </c>
      <c r="S1161" t="inlineStr">
        <is>
          <t>Torneira de chopp modelo 03</t>
        </is>
      </c>
      <c r="T1161" t="n">
        <v>1</v>
      </c>
      <c r="U1161" t="inlineStr"/>
      <c r="V1161">
        <f>IF(J1161="","",MONTH(J1161))</f>
        <v/>
      </c>
      <c r="W1161">
        <f>IF(J1161="","",YEAR(J1161))</f>
        <v/>
      </c>
      <c r="X1161" t="inlineStr"/>
      <c r="Y1161">
        <f>IFERROR(INDEX(Rastreio!$H$2:$H$200,MATCH(X1161&amp;"|"&amp;U1161,Rastreio!$A$2:$A$200,0)),"")</f>
        <v/>
      </c>
    </row>
    <row r="1162">
      <c r="A1162">
        <f>IFERROR(INDEX(STAs!$G$2:$G$61,MATCH(P1162,STAs!$F$2:$F$61,0))&amp;"","")</f>
        <v/>
      </c>
      <c r="B1162" t="n">
        <v>20028060</v>
      </c>
      <c r="C1162" t="inlineStr">
        <is>
          <t>Não</t>
        </is>
      </c>
      <c r="D1162" t="inlineStr">
        <is>
          <t>GO</t>
        </is>
      </c>
      <c r="E1162" t="inlineStr">
        <is>
          <t>CENTRO OESTE</t>
        </is>
      </c>
      <c r="F1162" t="inlineStr">
        <is>
          <t>Cliente A - Refrigerador</t>
        </is>
      </c>
      <c r="G1162" t="inlineStr">
        <is>
          <t>Refrigeradores</t>
        </is>
      </c>
      <c r="H1162" s="10" t="n">
        <v>175</v>
      </c>
      <c r="I1162" s="10">
        <f>IFERROR(T1162*H1162,0)</f>
        <v/>
      </c>
      <c r="J1162" s="11" t="n">
        <v>46116</v>
      </c>
      <c r="K1162" s="11" t="n"/>
      <c r="L1162" t="inlineStr">
        <is>
          <t>Debitar do STA</t>
        </is>
      </c>
      <c r="M1162">
        <f>IF(L1162="","",IFERROR(VLOOKUP(L1162,mapGrupoStatus,2,0),"Outros"))</f>
        <v/>
      </c>
      <c r="N1162">
        <f>IF(O1162="","",IF(O1162&lt;=30,"0-30 dias",IF(O1162&lt;=60,"31-60 dias",IF(O1162&lt;=90,"61-90 dias","Mais de 90 dias"))))</f>
        <v/>
      </c>
      <c r="O1162">
        <f>IF(OR(M1162="Pendente",M1162="Em andamento"),IF(J1162="","",TODAY()-J1162),"")</f>
        <v/>
      </c>
      <c r="P1162" t="n">
        <v>10317</v>
      </c>
      <c r="Q1162" t="inlineStr">
        <is>
          <t>Termotec Manutenção (10317)</t>
        </is>
      </c>
      <c r="R1162" t="inlineStr">
        <is>
          <t>PC-0012</t>
        </is>
      </c>
      <c r="S1162" t="inlineStr">
        <is>
          <t>Placa eletrônica modelo 02</t>
        </is>
      </c>
      <c r="T1162" t="n">
        <v>1</v>
      </c>
      <c r="U1162" t="inlineStr"/>
      <c r="V1162">
        <f>IF(J1162="","",MONTH(J1162))</f>
        <v/>
      </c>
      <c r="W1162">
        <f>IF(J1162="","",YEAR(J1162))</f>
        <v/>
      </c>
      <c r="X1162" t="inlineStr"/>
      <c r="Y1162">
        <f>IFERROR(INDEX(Rastreio!$H$2:$H$200,MATCH(X1162&amp;"|"&amp;U1162,Rastreio!$A$2:$A$200,0)),"")</f>
        <v/>
      </c>
    </row>
    <row r="1163">
      <c r="A1163">
        <f>IFERROR(INDEX(STAs!$G$2:$G$61,MATCH(P1163,STAs!$F$2:$F$61,0))&amp;"","")</f>
        <v/>
      </c>
      <c r="B1163" t="n">
        <v>20030929</v>
      </c>
      <c r="C1163" t="inlineStr">
        <is>
          <t>Não</t>
        </is>
      </c>
      <c r="D1163" t="inlineStr">
        <is>
          <t>RJ</t>
        </is>
      </c>
      <c r="E1163" t="inlineStr">
        <is>
          <t>SUDESTE RJ e ES</t>
        </is>
      </c>
      <c r="F1163" t="inlineStr">
        <is>
          <t>Cliente A - Refrigerador</t>
        </is>
      </c>
      <c r="G1163" t="inlineStr">
        <is>
          <t>Chopeiras</t>
        </is>
      </c>
      <c r="H1163" s="10" t="n">
        <v>115</v>
      </c>
      <c r="I1163" s="10">
        <f>IFERROR(T1163*H1163,0)</f>
        <v/>
      </c>
      <c r="J1163" s="11" t="n">
        <v>46116</v>
      </c>
      <c r="K1163" s="11" t="n">
        <v>46138</v>
      </c>
      <c r="L1163" t="inlineStr">
        <is>
          <t>Ok. Devolvida</t>
        </is>
      </c>
      <c r="M1163">
        <f>IF(L1163="","",IFERROR(VLOOKUP(L1163,mapGrupoStatus,2,0),"Outros"))</f>
        <v/>
      </c>
      <c r="N1163">
        <f>IF(O1163="","",IF(O1163&lt;=30,"0-30 dias",IF(O1163&lt;=60,"31-60 dias",IF(O1163&lt;=90,"61-90 dias","Mais de 90 dias"))))</f>
        <v/>
      </c>
      <c r="O1163">
        <f>IF(OR(M1163="Pendente",M1163="Em andamento"),IF(J1163="","",TODAY()-J1163),"")</f>
        <v/>
      </c>
      <c r="P1163" t="n">
        <v>12811</v>
      </c>
      <c r="Q1163" t="inlineStr">
        <is>
          <t>Norte Frio Técnica (12811)</t>
        </is>
      </c>
      <c r="R1163" t="inlineStr">
        <is>
          <t>PC-0033</t>
        </is>
      </c>
      <c r="S1163" t="inlineStr">
        <is>
          <t>Regulador de pressão modelo 02</t>
        </is>
      </c>
      <c r="T1163" t="n">
        <v>1</v>
      </c>
      <c r="U1163" t="n">
        <v>154</v>
      </c>
      <c r="V1163">
        <f>IF(J1163="","",MONTH(J1163))</f>
        <v/>
      </c>
      <c r="W1163">
        <f>IF(J1163="","",YEAR(J1163))</f>
        <v/>
      </c>
      <c r="X1163" t="inlineStr">
        <is>
          <t>CargoMax</t>
        </is>
      </c>
      <c r="Y1163">
        <f>IFERROR(INDEX(Rastreio!$H$2:$H$200,MATCH(X1163&amp;"|"&amp;U1163,Rastreio!$A$2:$A$200,0)),"")</f>
        <v/>
      </c>
    </row>
    <row r="1164">
      <c r="A1164">
        <f>IFERROR(INDEX(STAs!$G$2:$G$61,MATCH(P1164,STAs!$F$2:$F$61,0))&amp;"","")</f>
        <v/>
      </c>
      <c r="B1164" t="n">
        <v>20005625</v>
      </c>
      <c r="C1164" t="inlineStr">
        <is>
          <t>Sim</t>
        </is>
      </c>
      <c r="D1164" t="inlineStr">
        <is>
          <t>PR</t>
        </is>
      </c>
      <c r="E1164" t="inlineStr">
        <is>
          <t>SUL</t>
        </is>
      </c>
      <c r="F1164" t="inlineStr">
        <is>
          <t>Cliente A - Refrigerador</t>
        </is>
      </c>
      <c r="G1164" t="inlineStr">
        <is>
          <t>Refrigeradores</t>
        </is>
      </c>
      <c r="H1164" s="10" t="n">
        <v>30</v>
      </c>
      <c r="I1164" s="10">
        <f>IFERROR(T1164*H1164,0)</f>
        <v/>
      </c>
      <c r="J1164" s="11" t="n">
        <v>46117</v>
      </c>
      <c r="K1164" s="11" t="n"/>
      <c r="L1164" t="inlineStr">
        <is>
          <t>Aguardando devolução</t>
        </is>
      </c>
      <c r="M1164">
        <f>IF(L1164="","",IFERROR(VLOOKUP(L1164,mapGrupoStatus,2,0),"Outros"))</f>
        <v/>
      </c>
      <c r="N1164">
        <f>IF(O1164="","",IF(O1164&lt;=30,"0-30 dias",IF(O1164&lt;=60,"31-60 dias",IF(O1164&lt;=90,"61-90 dias","Mais de 90 dias"))))</f>
        <v/>
      </c>
      <c r="O1164">
        <f>IF(OR(M1164="Pendente",M1164="Em andamento"),IF(J1164="","",TODAY()-J1164),"")</f>
        <v/>
      </c>
      <c r="P1164" t="n">
        <v>10753</v>
      </c>
      <c r="Q1164" t="inlineStr">
        <is>
          <t>Refrigel &amp; Cia (10753)</t>
        </is>
      </c>
      <c r="R1164" t="inlineStr">
        <is>
          <t>PC-0017</t>
        </is>
      </c>
      <c r="S1164" t="inlineStr">
        <is>
          <t>Filtro secador modelo 03</t>
        </is>
      </c>
      <c r="T1164" t="n">
        <v>1</v>
      </c>
      <c r="U1164" t="inlineStr"/>
      <c r="V1164">
        <f>IF(J1164="","",MONTH(J1164))</f>
        <v/>
      </c>
      <c r="W1164">
        <f>IF(J1164="","",YEAR(J1164))</f>
        <v/>
      </c>
      <c r="X1164" t="inlineStr"/>
      <c r="Y1164">
        <f>IFERROR(INDEX(Rastreio!$H$2:$H$200,MATCH(X1164&amp;"|"&amp;U1164,Rastreio!$A$2:$A$200,0)),"")</f>
        <v/>
      </c>
    </row>
    <row r="1165">
      <c r="A1165">
        <f>IFERROR(INDEX(STAs!$G$2:$G$61,MATCH(P1165,STAs!$F$2:$F$61,0))&amp;"","")</f>
        <v/>
      </c>
      <c r="B1165" t="n">
        <v>20008230</v>
      </c>
      <c r="C1165" t="inlineStr">
        <is>
          <t>Não</t>
        </is>
      </c>
      <c r="D1165" t="inlineStr">
        <is>
          <t>RR</t>
        </is>
      </c>
      <c r="E1165" t="inlineStr">
        <is>
          <t>NORTE</t>
        </is>
      </c>
      <c r="F1165" t="inlineStr">
        <is>
          <t>Cliente B - Chopeira</t>
        </is>
      </c>
      <c r="G1165" t="inlineStr">
        <is>
          <t>Refrigeradores</t>
        </is>
      </c>
      <c r="H1165" s="10" t="n">
        <v>35</v>
      </c>
      <c r="I1165" s="10">
        <f>IFERROR(T1165*H1165,0)</f>
        <v/>
      </c>
      <c r="J1165" s="11" t="n">
        <v>46117</v>
      </c>
      <c r="K1165" s="11" t="n"/>
      <c r="L1165" t="inlineStr">
        <is>
          <t>NF Vencida</t>
        </is>
      </c>
      <c r="M1165">
        <f>IF(L1165="","",IFERROR(VLOOKUP(L1165,mapGrupoStatus,2,0),"Outros"))</f>
        <v/>
      </c>
      <c r="N1165">
        <f>IF(O1165="","",IF(O1165&lt;=30,"0-30 dias",IF(O1165&lt;=60,"31-60 dias",IF(O1165&lt;=90,"61-90 dias","Mais de 90 dias"))))</f>
        <v/>
      </c>
      <c r="O1165">
        <f>IF(OR(M1165="Pendente",M1165="Em andamento"),IF(J1165="","",TODAY()-J1165),"")</f>
        <v/>
      </c>
      <c r="P1165" t="n">
        <v>12422</v>
      </c>
      <c r="Q1165" t="inlineStr">
        <is>
          <t>Assistência Técnica Refrigeração (12422)</t>
        </is>
      </c>
      <c r="R1165" t="inlineStr">
        <is>
          <t>PC-0020</t>
        </is>
      </c>
      <c r="S1165" t="inlineStr">
        <is>
          <t>Gaxeta da porta modelo 03</t>
        </is>
      </c>
      <c r="T1165" t="n">
        <v>1</v>
      </c>
      <c r="U1165" t="inlineStr"/>
      <c r="V1165">
        <f>IF(J1165="","",MONTH(J1165))</f>
        <v/>
      </c>
      <c r="W1165">
        <f>IF(J1165="","",YEAR(J1165))</f>
        <v/>
      </c>
      <c r="X1165" t="inlineStr"/>
      <c r="Y1165">
        <f>IFERROR(INDEX(Rastreio!$H$2:$H$200,MATCH(X1165&amp;"|"&amp;U1165,Rastreio!$A$2:$A$200,0)),"")</f>
        <v/>
      </c>
    </row>
    <row r="1166">
      <c r="A1166">
        <f>IFERROR(INDEX(STAs!$G$2:$G$61,MATCH(P1166,STAs!$F$2:$F$61,0))&amp;"","")</f>
        <v/>
      </c>
      <c r="B1166" t="n">
        <v>20017827</v>
      </c>
      <c r="C1166" t="inlineStr">
        <is>
          <t>Não</t>
        </is>
      </c>
      <c r="D1166" t="inlineStr">
        <is>
          <t>RR</t>
        </is>
      </c>
      <c r="E1166" t="inlineStr">
        <is>
          <t>NORTE</t>
        </is>
      </c>
      <c r="F1166" t="inlineStr">
        <is>
          <t>Cliente A - Refrigerador</t>
        </is>
      </c>
      <c r="G1166" t="inlineStr">
        <is>
          <t>Misturadores</t>
        </is>
      </c>
      <c r="H1166" s="10" t="n">
        <v>60</v>
      </c>
      <c r="I1166" s="10">
        <f>IFERROR(T1166*H1166,0)</f>
        <v/>
      </c>
      <c r="J1166" s="11" t="n">
        <v>46117</v>
      </c>
      <c r="K1166" s="11" t="n"/>
      <c r="L1166" t="inlineStr">
        <is>
          <t>Não Devolve-Norte</t>
        </is>
      </c>
      <c r="M1166">
        <f>IF(L1166="","",IFERROR(VLOOKUP(L1166,mapGrupoStatus,2,0),"Outros"))</f>
        <v/>
      </c>
      <c r="N1166">
        <f>IF(O1166="","",IF(O1166&lt;=30,"0-30 dias",IF(O1166&lt;=60,"31-60 dias",IF(O1166&lt;=90,"61-90 dias","Mais de 90 dias"))))</f>
        <v/>
      </c>
      <c r="O1166">
        <f>IF(OR(M1166="Pendente",M1166="Em andamento"),IF(J1166="","",TODAY()-J1166),"")</f>
        <v/>
      </c>
      <c r="P1166" t="n">
        <v>12422</v>
      </c>
      <c r="Q1166" t="inlineStr">
        <is>
          <t>Assistência Técnica Refrigeração (12422)</t>
        </is>
      </c>
      <c r="R1166" t="inlineStr">
        <is>
          <t>PC-0048</t>
        </is>
      </c>
      <c r="S1166" t="inlineStr">
        <is>
          <t>Sensor de nível modelo 04</t>
        </is>
      </c>
      <c r="T1166" t="n">
        <v>3</v>
      </c>
      <c r="U1166" t="inlineStr"/>
      <c r="V1166">
        <f>IF(J1166="","",MONTH(J1166))</f>
        <v/>
      </c>
      <c r="W1166">
        <f>IF(J1166="","",YEAR(J1166))</f>
        <v/>
      </c>
      <c r="X1166" t="inlineStr"/>
      <c r="Y1166">
        <f>IFERROR(INDEX(Rastreio!$H$2:$H$200,MATCH(X1166&amp;"|"&amp;U1166,Rastreio!$A$2:$A$200,0)),"")</f>
        <v/>
      </c>
    </row>
    <row r="1167">
      <c r="A1167">
        <f>IFERROR(INDEX(STAs!$G$2:$G$61,MATCH(P1167,STAs!$F$2:$F$61,0))&amp;"","")</f>
        <v/>
      </c>
      <c r="B1167" t="n">
        <v>20023102</v>
      </c>
      <c r="C1167" t="inlineStr">
        <is>
          <t>Não</t>
        </is>
      </c>
      <c r="D1167" t="inlineStr">
        <is>
          <t>SP</t>
        </is>
      </c>
      <c r="E1167" t="inlineStr">
        <is>
          <t>SUDESTE SP</t>
        </is>
      </c>
      <c r="F1167" t="inlineStr">
        <is>
          <t>Cliente A - Refrigerador</t>
        </is>
      </c>
      <c r="G1167" t="inlineStr">
        <is>
          <t>Refrigeradores</t>
        </is>
      </c>
      <c r="H1167" s="10" t="n">
        <v>185</v>
      </c>
      <c r="I1167" s="10">
        <f>IFERROR(T1167*H1167,0)</f>
        <v/>
      </c>
      <c r="J1167" s="11" t="n">
        <v>46117</v>
      </c>
      <c r="K1167" s="11" t="n">
        <v>46145</v>
      </c>
      <c r="L1167" t="inlineStr">
        <is>
          <t>Ok. Devolvida</t>
        </is>
      </c>
      <c r="M1167">
        <f>IF(L1167="","",IFERROR(VLOOKUP(L1167,mapGrupoStatus,2,0),"Outros"))</f>
        <v/>
      </c>
      <c r="N1167">
        <f>IF(O1167="","",IF(O1167&lt;=30,"0-30 dias",IF(O1167&lt;=60,"31-60 dias",IF(O1167&lt;=90,"61-90 dias","Mais de 90 dias"))))</f>
        <v/>
      </c>
      <c r="O1167">
        <f>IF(OR(M1167="Pendente",M1167="Em andamento"),IF(J1167="","",TODAY()-J1167),"")</f>
        <v/>
      </c>
      <c r="P1167" t="n">
        <v>11710</v>
      </c>
      <c r="Q1167" t="inlineStr">
        <is>
          <t>Brisa &amp; Cia (11710)</t>
        </is>
      </c>
      <c r="R1167" t="inlineStr">
        <is>
          <t>PC-0013</t>
        </is>
      </c>
      <c r="S1167" t="inlineStr">
        <is>
          <t>Placa eletrônica modelo 03</t>
        </is>
      </c>
      <c r="T1167" t="n">
        <v>1</v>
      </c>
      <c r="U1167" t="n">
        <v>135</v>
      </c>
      <c r="V1167">
        <f>IF(J1167="","",MONTH(J1167))</f>
        <v/>
      </c>
      <c r="W1167">
        <f>IF(J1167="","",YEAR(J1167))</f>
        <v/>
      </c>
      <c r="X1167" t="inlineStr">
        <is>
          <t>EntregaJá</t>
        </is>
      </c>
      <c r="Y1167">
        <f>IFERROR(INDEX(Rastreio!$H$2:$H$200,MATCH(X1167&amp;"|"&amp;U1167,Rastreio!$A$2:$A$200,0)),"")</f>
        <v/>
      </c>
    </row>
    <row r="1168">
      <c r="A1168">
        <f>IFERROR(INDEX(STAs!$G$2:$G$61,MATCH(P1168,STAs!$F$2:$F$61,0))&amp;"","")</f>
        <v/>
      </c>
      <c r="B1168" t="n">
        <v>20031228</v>
      </c>
      <c r="C1168" t="inlineStr">
        <is>
          <t>Não</t>
        </is>
      </c>
      <c r="D1168" t="inlineStr">
        <is>
          <t>BA</t>
        </is>
      </c>
      <c r="E1168" t="inlineStr">
        <is>
          <t>NORDESTE</t>
        </is>
      </c>
      <c r="F1168" t="inlineStr">
        <is>
          <t>Cliente B - Chopeira</t>
        </is>
      </c>
      <c r="G1168" t="inlineStr">
        <is>
          <t>Misturadores</t>
        </is>
      </c>
      <c r="H1168" s="10" t="n">
        <v>40</v>
      </c>
      <c r="I1168" s="10">
        <f>IFERROR(T1168*H1168,0)</f>
        <v/>
      </c>
      <c r="J1168" s="11" t="n">
        <v>46117</v>
      </c>
      <c r="K1168" s="11" t="n"/>
      <c r="L1168" t="inlineStr">
        <is>
          <t>Aguardando devolução</t>
        </is>
      </c>
      <c r="M1168">
        <f>IF(L1168="","",IFERROR(VLOOKUP(L1168,mapGrupoStatus,2,0),"Outros"))</f>
        <v/>
      </c>
      <c r="N1168">
        <f>IF(O1168="","",IF(O1168&lt;=30,"0-30 dias",IF(O1168&lt;=60,"31-60 dias",IF(O1168&lt;=90,"61-90 dias","Mais de 90 dias"))))</f>
        <v/>
      </c>
      <c r="O1168">
        <f>IF(OR(M1168="Pendente",M1168="Em andamento"),IF(J1168="","",TODAY()-J1168),"")</f>
        <v/>
      </c>
      <c r="P1168" t="n">
        <v>11538</v>
      </c>
      <c r="Q1168" t="inlineStr">
        <is>
          <t>Clima Manutenção (11538)</t>
        </is>
      </c>
      <c r="R1168" t="inlineStr">
        <is>
          <t>PC-0042</t>
        </is>
      </c>
      <c r="S1168" t="inlineStr">
        <is>
          <t>Bico dosador modelo 01</t>
        </is>
      </c>
      <c r="T1168" t="n">
        <v>1</v>
      </c>
      <c r="U1168" t="inlineStr"/>
      <c r="V1168">
        <f>IF(J1168="","",MONTH(J1168))</f>
        <v/>
      </c>
      <c r="W1168">
        <f>IF(J1168="","",YEAR(J1168))</f>
        <v/>
      </c>
      <c r="X1168" t="inlineStr"/>
      <c r="Y1168">
        <f>IFERROR(INDEX(Rastreio!$H$2:$H$200,MATCH(X1168&amp;"|"&amp;U1168,Rastreio!$A$2:$A$200,0)),"")</f>
        <v/>
      </c>
    </row>
    <row r="1169">
      <c r="A1169">
        <f>IFERROR(INDEX(STAs!$G$2:$G$61,MATCH(P1169,STAs!$F$2:$F$61,0))&amp;"","")</f>
        <v/>
      </c>
      <c r="B1169" t="n">
        <v>20031463</v>
      </c>
      <c r="C1169" t="inlineStr">
        <is>
          <t>Não</t>
        </is>
      </c>
      <c r="D1169" t="inlineStr">
        <is>
          <t>PA</t>
        </is>
      </c>
      <c r="E1169" t="inlineStr">
        <is>
          <t>NORTE</t>
        </is>
      </c>
      <c r="F1169" t="inlineStr">
        <is>
          <t>Cliente C - Misturador</t>
        </is>
      </c>
      <c r="G1169" t="inlineStr">
        <is>
          <t>Misturadores</t>
        </is>
      </c>
      <c r="H1169" s="10" t="n">
        <v>60</v>
      </c>
      <c r="I1169" s="10">
        <f>IFERROR(T1169*H1169,0)</f>
        <v/>
      </c>
      <c r="J1169" s="11" t="n">
        <v>46117</v>
      </c>
      <c r="K1169" s="11" t="n"/>
      <c r="L1169" t="inlineStr">
        <is>
          <t>Não Devolve-Norte</t>
        </is>
      </c>
      <c r="M1169">
        <f>IF(L1169="","",IFERROR(VLOOKUP(L1169,mapGrupoStatus,2,0),"Outros"))</f>
        <v/>
      </c>
      <c r="N1169">
        <f>IF(O1169="","",IF(O1169&lt;=30,"0-30 dias",IF(O1169&lt;=60,"31-60 dias",IF(O1169&lt;=90,"61-90 dias","Mais de 90 dias"))))</f>
        <v/>
      </c>
      <c r="O1169">
        <f>IF(OR(M1169="Pendente",M1169="Em andamento"),IF(J1169="","",TODAY()-J1169),"")</f>
        <v/>
      </c>
      <c r="P1169" t="n">
        <v>11986</v>
      </c>
      <c r="Q1169" t="inlineStr">
        <is>
          <t>Polar Serviços (11986)</t>
        </is>
      </c>
      <c r="R1169" t="inlineStr">
        <is>
          <t>PC-0048</t>
        </is>
      </c>
      <c r="S1169" t="inlineStr">
        <is>
          <t>Sensor de nível modelo 04</t>
        </is>
      </c>
      <c r="T1169" t="n">
        <v>1</v>
      </c>
      <c r="U1169" t="inlineStr"/>
      <c r="V1169">
        <f>IF(J1169="","",MONTH(J1169))</f>
        <v/>
      </c>
      <c r="W1169">
        <f>IF(J1169="","",YEAR(J1169))</f>
        <v/>
      </c>
      <c r="X1169" t="inlineStr"/>
      <c r="Y1169">
        <f>IFERROR(INDEX(Rastreio!$H$2:$H$200,MATCH(X1169&amp;"|"&amp;U1169,Rastreio!$A$2:$A$200,0)),"")</f>
        <v/>
      </c>
    </row>
    <row r="1170">
      <c r="A1170">
        <f>IFERROR(INDEX(STAs!$G$2:$G$61,MATCH(P1170,STAs!$F$2:$F$61,0))&amp;"","")</f>
        <v/>
      </c>
      <c r="B1170" t="n">
        <v>20004553</v>
      </c>
      <c r="C1170" t="inlineStr">
        <is>
          <t>Não</t>
        </is>
      </c>
      <c r="D1170" t="inlineStr">
        <is>
          <t>AC</t>
        </is>
      </c>
      <c r="E1170" t="inlineStr">
        <is>
          <t>NORTE</t>
        </is>
      </c>
      <c r="F1170" t="inlineStr">
        <is>
          <t>Cliente B - Chopeira</t>
        </is>
      </c>
      <c r="G1170" t="inlineStr">
        <is>
          <t>Chopeiras</t>
        </is>
      </c>
      <c r="H1170" s="10" t="n">
        <v>215</v>
      </c>
      <c r="I1170" s="10">
        <f>IFERROR(T1170*H1170,0)</f>
        <v/>
      </c>
      <c r="J1170" s="11" t="n">
        <v>46118</v>
      </c>
      <c r="K1170" s="11" t="n">
        <v>46138</v>
      </c>
      <c r="L1170" t="inlineStr">
        <is>
          <t>Ok. Devolvida</t>
        </is>
      </c>
      <c r="M1170">
        <f>IF(L1170="","",IFERROR(VLOOKUP(L1170,mapGrupoStatus,2,0),"Outros"))</f>
        <v/>
      </c>
      <c r="N1170">
        <f>IF(O1170="","",IF(O1170&lt;=30,"0-30 dias",IF(O1170&lt;=60,"31-60 dias",IF(O1170&lt;=90,"61-90 dias","Mais de 90 dias"))))</f>
        <v/>
      </c>
      <c r="O1170">
        <f>IF(OR(M1170="Pendente",M1170="Em andamento"),IF(J1170="","",TODAY()-J1170),"")</f>
        <v/>
      </c>
      <c r="P1170" t="n">
        <v>11022</v>
      </c>
      <c r="Q1170" t="inlineStr">
        <is>
          <t>Brisa Ltda (11022)</t>
        </is>
      </c>
      <c r="R1170" t="inlineStr">
        <is>
          <t>PC-0030</t>
        </is>
      </c>
      <c r="S1170" t="inlineStr">
        <is>
          <t>Serpentina modelo 02</t>
        </is>
      </c>
      <c r="T1170" t="n">
        <v>1</v>
      </c>
      <c r="U1170" t="n">
        <v>110</v>
      </c>
      <c r="V1170">
        <f>IF(J1170="","",MONTH(J1170))</f>
        <v/>
      </c>
      <c r="W1170">
        <f>IF(J1170="","",YEAR(J1170))</f>
        <v/>
      </c>
      <c r="X1170" t="inlineStr">
        <is>
          <t>RotaSul</t>
        </is>
      </c>
      <c r="Y1170">
        <f>IFERROR(INDEX(Rastreio!$H$2:$H$200,MATCH(X1170&amp;"|"&amp;U1170,Rastreio!$A$2:$A$200,0)),"")</f>
        <v/>
      </c>
    </row>
    <row r="1171">
      <c r="A1171">
        <f>IFERROR(INDEX(STAs!$G$2:$G$61,MATCH(P1171,STAs!$F$2:$F$61,0))&amp;"","")</f>
        <v/>
      </c>
      <c r="B1171" t="n">
        <v>20027825</v>
      </c>
      <c r="C1171" t="inlineStr">
        <is>
          <t>Não</t>
        </is>
      </c>
      <c r="D1171" t="inlineStr">
        <is>
          <t>GO</t>
        </is>
      </c>
      <c r="E1171" t="inlineStr">
        <is>
          <t>CENTRO OESTE</t>
        </is>
      </c>
      <c r="F1171" t="inlineStr">
        <is>
          <t>Cliente B - Chopeira</t>
        </is>
      </c>
      <c r="G1171" t="inlineStr">
        <is>
          <t>Chopeiras</t>
        </is>
      </c>
      <c r="H1171" s="10" t="n">
        <v>215</v>
      </c>
      <c r="I1171" s="10">
        <f>IFERROR(T1171*H1171,0)</f>
        <v/>
      </c>
      <c r="J1171" s="11" t="n">
        <v>46118</v>
      </c>
      <c r="K1171" s="11" t="n">
        <v>46141</v>
      </c>
      <c r="L1171" t="inlineStr">
        <is>
          <t>Ok. Devolvida</t>
        </is>
      </c>
      <c r="M1171">
        <f>IF(L1171="","",IFERROR(VLOOKUP(L1171,mapGrupoStatus,2,0),"Outros"))</f>
        <v/>
      </c>
      <c r="N1171">
        <f>IF(O1171="","",IF(O1171&lt;=30,"0-30 dias",IF(O1171&lt;=60,"31-60 dias",IF(O1171&lt;=90,"61-90 dias","Mais de 90 dias"))))</f>
        <v/>
      </c>
      <c r="O1171">
        <f>IF(OR(M1171="Pendente",M1171="Em andamento"),IF(J1171="","",TODAY()-J1171),"")</f>
        <v/>
      </c>
      <c r="P1171" t="n">
        <v>10317</v>
      </c>
      <c r="Q1171" t="inlineStr">
        <is>
          <t>Termotec Manutenção (10317)</t>
        </is>
      </c>
      <c r="R1171" t="inlineStr">
        <is>
          <t>PC-0030</t>
        </is>
      </c>
      <c r="S1171" t="inlineStr">
        <is>
          <t>Serpentina modelo 02</t>
        </is>
      </c>
      <c r="T1171" t="n">
        <v>1</v>
      </c>
      <c r="U1171" t="n">
        <v>149</v>
      </c>
      <c r="V1171">
        <f>IF(J1171="","",MONTH(J1171))</f>
        <v/>
      </c>
      <c r="W1171">
        <f>IF(J1171="","",YEAR(J1171))</f>
        <v/>
      </c>
      <c r="X1171" t="inlineStr">
        <is>
          <t>RotaSul</t>
        </is>
      </c>
      <c r="Y1171">
        <f>IFERROR(INDEX(Rastreio!$H$2:$H$200,MATCH(X1171&amp;"|"&amp;U1171,Rastreio!$A$2:$A$200,0)),"")</f>
        <v/>
      </c>
    </row>
    <row r="1172">
      <c r="A1172">
        <f>IFERROR(INDEX(STAs!$G$2:$G$61,MATCH(P1172,STAs!$F$2:$F$61,0))&amp;"","")</f>
        <v/>
      </c>
      <c r="B1172" t="n">
        <v>20033149</v>
      </c>
      <c r="C1172" t="inlineStr">
        <is>
          <t>Não</t>
        </is>
      </c>
      <c r="D1172" t="inlineStr">
        <is>
          <t>PI</t>
        </is>
      </c>
      <c r="E1172" t="inlineStr">
        <is>
          <t>NORDESTE</t>
        </is>
      </c>
      <c r="F1172" t="inlineStr">
        <is>
          <t>Cliente A - Refrigerador</t>
        </is>
      </c>
      <c r="G1172" t="inlineStr">
        <is>
          <t>Refrigeradores</t>
        </is>
      </c>
      <c r="H1172" s="10" t="n">
        <v>35</v>
      </c>
      <c r="I1172" s="10">
        <f>IFERROR(T1172*H1172,0)</f>
        <v/>
      </c>
      <c r="J1172" s="11" t="n">
        <v>46118</v>
      </c>
      <c r="K1172" s="11" t="n"/>
      <c r="L1172" t="inlineStr">
        <is>
          <t>NPD</t>
        </is>
      </c>
      <c r="M1172">
        <f>IF(L1172="","",IFERROR(VLOOKUP(L1172,mapGrupoStatus,2,0),"Outros"))</f>
        <v/>
      </c>
      <c r="N1172">
        <f>IF(O1172="","",IF(O1172&lt;=30,"0-30 dias",IF(O1172&lt;=60,"31-60 dias",IF(O1172&lt;=90,"61-90 dias","Mais de 90 dias"))))</f>
        <v/>
      </c>
      <c r="O1172">
        <f>IF(OR(M1172="Pendente",M1172="Em andamento"),IF(J1172="","",TODAY()-J1172),"")</f>
        <v/>
      </c>
      <c r="P1172" t="n">
        <v>10562</v>
      </c>
      <c r="Q1172" t="inlineStr">
        <is>
          <t>Clima &amp; Cia (10562)</t>
        </is>
      </c>
      <c r="R1172" t="inlineStr">
        <is>
          <t>PC-0020</t>
        </is>
      </c>
      <c r="S1172" t="inlineStr">
        <is>
          <t>Gaxeta da porta modelo 03</t>
        </is>
      </c>
      <c r="T1172" t="n">
        <v>2</v>
      </c>
      <c r="U1172" t="inlineStr"/>
      <c r="V1172">
        <f>IF(J1172="","",MONTH(J1172))</f>
        <v/>
      </c>
      <c r="W1172">
        <f>IF(J1172="","",YEAR(J1172))</f>
        <v/>
      </c>
      <c r="X1172" t="inlineStr"/>
      <c r="Y1172">
        <f>IFERROR(INDEX(Rastreio!$H$2:$H$200,MATCH(X1172&amp;"|"&amp;U1172,Rastreio!$A$2:$A$200,0)),"")</f>
        <v/>
      </c>
    </row>
    <row r="1173">
      <c r="A1173">
        <f>IFERROR(INDEX(STAs!$G$2:$G$61,MATCH(P1173,STAs!$F$2:$F$61,0))&amp;"","")</f>
        <v/>
      </c>
      <c r="B1173" t="n">
        <v>20038396</v>
      </c>
      <c r="C1173" t="inlineStr">
        <is>
          <t>Sim</t>
        </is>
      </c>
      <c r="D1173" t="inlineStr">
        <is>
          <t>PR</t>
        </is>
      </c>
      <c r="E1173" t="inlineStr">
        <is>
          <t>SUL</t>
        </is>
      </c>
      <c r="F1173" t="inlineStr">
        <is>
          <t>Cliente A - Refrigerador</t>
        </is>
      </c>
      <c r="G1173" t="inlineStr">
        <is>
          <t>Refrigeradores</t>
        </is>
      </c>
      <c r="H1173" s="10" t="n">
        <v>30</v>
      </c>
      <c r="I1173" s="10">
        <f>IFERROR(T1173*H1173,0)</f>
        <v/>
      </c>
      <c r="J1173" s="11" t="n">
        <v>46118</v>
      </c>
      <c r="K1173" s="11" t="n"/>
      <c r="L1173" t="inlineStr">
        <is>
          <t>Em andamento</t>
        </is>
      </c>
      <c r="M1173">
        <f>IF(L1173="","",IFERROR(VLOOKUP(L1173,mapGrupoStatus,2,0),"Outros"))</f>
        <v/>
      </c>
      <c r="N1173">
        <f>IF(O1173="","",IF(O1173&lt;=30,"0-30 dias",IF(O1173&lt;=60,"31-60 dias",IF(O1173&lt;=90,"61-90 dias","Mais de 90 dias"))))</f>
        <v/>
      </c>
      <c r="O1173">
        <f>IF(OR(M1173="Pendente",M1173="Em andamento"),IF(J1173="","",TODAY()-J1173),"")</f>
        <v/>
      </c>
      <c r="P1173" t="n">
        <v>10913</v>
      </c>
      <c r="Q1173" t="inlineStr">
        <is>
          <t>Ice Tech &amp; Cia (10913)</t>
        </is>
      </c>
      <c r="R1173" t="inlineStr">
        <is>
          <t>PC-0017</t>
        </is>
      </c>
      <c r="S1173" t="inlineStr">
        <is>
          <t>Filtro secador modelo 03</t>
        </is>
      </c>
      <c r="T1173" t="n">
        <v>2</v>
      </c>
      <c r="U1173" t="n">
        <v>166</v>
      </c>
      <c r="V1173">
        <f>IF(J1173="","",MONTH(J1173))</f>
        <v/>
      </c>
      <c r="W1173">
        <f>IF(J1173="","",YEAR(J1173))</f>
        <v/>
      </c>
      <c r="X1173" t="inlineStr">
        <is>
          <t>TransNorte</t>
        </is>
      </c>
      <c r="Y1173">
        <f>IFERROR(INDEX(Rastreio!$H$2:$H$200,MATCH(X1173&amp;"|"&amp;U1173,Rastreio!$A$2:$A$200,0)),"")</f>
        <v/>
      </c>
    </row>
    <row r="1174">
      <c r="A1174">
        <f>IFERROR(INDEX(STAs!$G$2:$G$61,MATCH(P1174,STAs!$F$2:$F$61,0))&amp;"","")</f>
        <v/>
      </c>
      <c r="B1174" t="n">
        <v>20001760</v>
      </c>
      <c r="C1174" t="inlineStr">
        <is>
          <t>Não</t>
        </is>
      </c>
      <c r="D1174" t="inlineStr">
        <is>
          <t>MG</t>
        </is>
      </c>
      <c r="E1174" t="inlineStr">
        <is>
          <t>SUDESTE MG</t>
        </is>
      </c>
      <c r="F1174" t="inlineStr">
        <is>
          <t>Cliente C - Misturador</t>
        </is>
      </c>
      <c r="G1174" t="inlineStr">
        <is>
          <t>Refrigeradores</t>
        </is>
      </c>
      <c r="H1174" s="10" t="n">
        <v>55</v>
      </c>
      <c r="I1174" s="10">
        <f>IFERROR(T1174*H1174,0)</f>
        <v/>
      </c>
      <c r="J1174" s="11" t="n">
        <v>46119</v>
      </c>
      <c r="K1174" s="11" t="n">
        <v>46140</v>
      </c>
      <c r="L1174" t="inlineStr">
        <is>
          <t>Ok. Devolvida</t>
        </is>
      </c>
      <c r="M1174">
        <f>IF(L1174="","",IFERROR(VLOOKUP(L1174,mapGrupoStatus,2,0),"Outros"))</f>
        <v/>
      </c>
      <c r="N1174">
        <f>IF(O1174="","",IF(O1174&lt;=30,"0-30 dias",IF(O1174&lt;=60,"31-60 dias",IF(O1174&lt;=90,"61-90 dias","Mais de 90 dias"))))</f>
        <v/>
      </c>
      <c r="O1174">
        <f>IF(OR(M1174="Pendente",M1174="Em andamento"),IF(J1174="","",TODAY()-J1174),"")</f>
        <v/>
      </c>
      <c r="P1174" t="n">
        <v>12158</v>
      </c>
      <c r="Q1174" t="inlineStr">
        <is>
          <t>Gelo Serviços (12158)</t>
        </is>
      </c>
      <c r="R1174" t="inlineStr">
        <is>
          <t>PC-0007</t>
        </is>
      </c>
      <c r="S1174" t="inlineStr">
        <is>
          <t>Ventilador modelo 01</t>
        </is>
      </c>
      <c r="T1174" t="n">
        <v>2</v>
      </c>
      <c r="U1174" t="n">
        <v>103</v>
      </c>
      <c r="V1174">
        <f>IF(J1174="","",MONTH(J1174))</f>
        <v/>
      </c>
      <c r="W1174">
        <f>IF(J1174="","",YEAR(J1174))</f>
        <v/>
      </c>
      <c r="X1174" t="inlineStr">
        <is>
          <t>ViaCargo</t>
        </is>
      </c>
      <c r="Y1174">
        <f>IFERROR(INDEX(Rastreio!$H$2:$H$200,MATCH(X1174&amp;"|"&amp;U1174,Rastreio!$A$2:$A$200,0)),"")</f>
        <v/>
      </c>
    </row>
    <row r="1175">
      <c r="A1175">
        <f>IFERROR(INDEX(STAs!$G$2:$G$61,MATCH(P1175,STAs!$F$2:$F$61,0))&amp;"","")</f>
        <v/>
      </c>
      <c r="B1175" t="n">
        <v>20008830</v>
      </c>
      <c r="C1175" t="inlineStr">
        <is>
          <t>Não</t>
        </is>
      </c>
      <c r="D1175" t="inlineStr">
        <is>
          <t>BA</t>
        </is>
      </c>
      <c r="E1175" t="inlineStr">
        <is>
          <t>NORDESTE</t>
        </is>
      </c>
      <c r="F1175" t="inlineStr">
        <is>
          <t>Cliente A - Refrigerador</t>
        </is>
      </c>
      <c r="G1175" t="inlineStr">
        <is>
          <t>Misturadores</t>
        </is>
      </c>
      <c r="H1175" s="10" t="n">
        <v>50</v>
      </c>
      <c r="I1175" s="10">
        <f>IFERROR(T1175*H1175,0)</f>
        <v/>
      </c>
      <c r="J1175" s="11" t="n">
        <v>46119</v>
      </c>
      <c r="K1175" s="11" t="n"/>
      <c r="L1175" t="inlineStr">
        <is>
          <t>Aguardando Transporte</t>
        </is>
      </c>
      <c r="M1175">
        <f>IF(L1175="","",IFERROR(VLOOKUP(L1175,mapGrupoStatus,2,0),"Outros"))</f>
        <v/>
      </c>
      <c r="N1175">
        <f>IF(O1175="","",IF(O1175&lt;=30,"0-30 dias",IF(O1175&lt;=60,"31-60 dias",IF(O1175&lt;=90,"61-90 dias","Mais de 90 dias"))))</f>
        <v/>
      </c>
      <c r="O1175">
        <f>IF(OR(M1175="Pendente",M1175="Em andamento"),IF(J1175="","",TODAY()-J1175),"")</f>
        <v/>
      </c>
      <c r="P1175" t="n">
        <v>11244</v>
      </c>
      <c r="Q1175" t="inlineStr">
        <is>
          <t>Refrigeração Manutenção (11244)</t>
        </is>
      </c>
      <c r="R1175" t="inlineStr">
        <is>
          <t>PC-0044</t>
        </is>
      </c>
      <c r="S1175" t="inlineStr">
        <is>
          <t>Bico dosador modelo 03</t>
        </is>
      </c>
      <c r="T1175" t="n">
        <v>1</v>
      </c>
      <c r="U1175" t="n">
        <v>115</v>
      </c>
      <c r="V1175">
        <f>IF(J1175="","",MONTH(J1175))</f>
        <v/>
      </c>
      <c r="W1175">
        <f>IF(J1175="","",YEAR(J1175))</f>
        <v/>
      </c>
      <c r="X1175" t="inlineStr">
        <is>
          <t>LogExpress</t>
        </is>
      </c>
      <c r="Y1175">
        <f>IFERROR(INDEX(Rastreio!$H$2:$H$200,MATCH(X1175&amp;"|"&amp;U1175,Rastreio!$A$2:$A$200,0)),"")</f>
        <v/>
      </c>
    </row>
    <row r="1176">
      <c r="A1176">
        <f>IFERROR(INDEX(STAs!$G$2:$G$61,MATCH(P1176,STAs!$F$2:$F$61,0))&amp;"","")</f>
        <v/>
      </c>
      <c r="B1176" t="n">
        <v>20015356</v>
      </c>
      <c r="C1176" t="inlineStr">
        <is>
          <t>Não</t>
        </is>
      </c>
      <c r="D1176" t="inlineStr">
        <is>
          <t>RJ</t>
        </is>
      </c>
      <c r="E1176" t="inlineStr">
        <is>
          <t>SUDESTE RJ e ES</t>
        </is>
      </c>
      <c r="F1176" t="inlineStr">
        <is>
          <t>Cliente B - Chopeira</t>
        </is>
      </c>
      <c r="G1176" t="inlineStr">
        <is>
          <t>Refrigeradores</t>
        </is>
      </c>
      <c r="H1176" s="10" t="n">
        <v>40</v>
      </c>
      <c r="I1176" s="10">
        <f>IFERROR(T1176*H1176,0)</f>
        <v/>
      </c>
      <c r="J1176" s="11" t="n">
        <v>46119</v>
      </c>
      <c r="K1176" s="11" t="n">
        <v>46177</v>
      </c>
      <c r="L1176" t="inlineStr">
        <is>
          <t>Ok. Devolvida</t>
        </is>
      </c>
      <c r="M1176">
        <f>IF(L1176="","",IFERROR(VLOOKUP(L1176,mapGrupoStatus,2,0),"Outros"))</f>
        <v/>
      </c>
      <c r="N1176">
        <f>IF(O1176="","",IF(O1176&lt;=30,"0-30 dias",IF(O1176&lt;=60,"31-60 dias",IF(O1176&lt;=90,"61-90 dias","Mais de 90 dias"))))</f>
        <v/>
      </c>
      <c r="O1176">
        <f>IF(OR(M1176="Pendente",M1176="Em andamento"),IF(J1176="","",TODAY()-J1176),"")</f>
        <v/>
      </c>
      <c r="P1176" t="n">
        <v>10676</v>
      </c>
      <c r="Q1176" t="inlineStr">
        <is>
          <t>Clima Serviços (10676)</t>
        </is>
      </c>
      <c r="R1176" t="inlineStr">
        <is>
          <t>PC-0005</t>
        </is>
      </c>
      <c r="S1176" t="inlineStr">
        <is>
          <t>Termostato modelo 02</t>
        </is>
      </c>
      <c r="T1176" t="n">
        <v>1</v>
      </c>
      <c r="U1176" t="n">
        <v>126</v>
      </c>
      <c r="V1176">
        <f>IF(J1176="","",MONTH(J1176))</f>
        <v/>
      </c>
      <c r="W1176">
        <f>IF(J1176="","",YEAR(J1176))</f>
        <v/>
      </c>
      <c r="X1176" t="inlineStr">
        <is>
          <t>EntregaJá</t>
        </is>
      </c>
      <c r="Y1176">
        <f>IFERROR(INDEX(Rastreio!$H$2:$H$200,MATCH(X1176&amp;"|"&amp;U1176,Rastreio!$A$2:$A$200,0)),"")</f>
        <v/>
      </c>
    </row>
    <row r="1177">
      <c r="A1177">
        <f>IFERROR(INDEX(STAs!$G$2:$G$61,MATCH(P1177,STAs!$F$2:$F$61,0))&amp;"","")</f>
        <v/>
      </c>
      <c r="B1177" t="n">
        <v>20018866</v>
      </c>
      <c r="C1177" t="inlineStr">
        <is>
          <t>Não</t>
        </is>
      </c>
      <c r="D1177" t="inlineStr">
        <is>
          <t>ES</t>
        </is>
      </c>
      <c r="E1177" t="inlineStr">
        <is>
          <t>SUDESTE RJ e ES</t>
        </is>
      </c>
      <c r="F1177" t="inlineStr">
        <is>
          <t>Cliente A - Refrigerador</t>
        </is>
      </c>
      <c r="G1177" t="inlineStr">
        <is>
          <t>Refrigeradores</t>
        </is>
      </c>
      <c r="H1177" s="10" t="n">
        <v>35</v>
      </c>
      <c r="I1177" s="10">
        <f>IFERROR(T1177*H1177,0)</f>
        <v/>
      </c>
      <c r="J1177" s="11" t="n">
        <v>46119</v>
      </c>
      <c r="K1177" s="11" t="n">
        <v>46127</v>
      </c>
      <c r="L1177" t="inlineStr">
        <is>
          <t>Ok. Devolvida</t>
        </is>
      </c>
      <c r="M1177">
        <f>IF(L1177="","",IFERROR(VLOOKUP(L1177,mapGrupoStatus,2,0),"Outros"))</f>
        <v/>
      </c>
      <c r="N1177">
        <f>IF(O1177="","",IF(O1177&lt;=30,"0-30 dias",IF(O1177&lt;=60,"31-60 dias",IF(O1177&lt;=90,"61-90 dias","Mais de 90 dias"))))</f>
        <v/>
      </c>
      <c r="O1177">
        <f>IF(OR(M1177="Pendente",M1177="Em andamento"),IF(J1177="","",TODAY()-J1177),"")</f>
        <v/>
      </c>
      <c r="P1177" t="n">
        <v>12555</v>
      </c>
      <c r="Q1177" t="inlineStr">
        <is>
          <t>Cool Service Serviços (12555)</t>
        </is>
      </c>
      <c r="R1177" t="inlineStr">
        <is>
          <t>PC-0016</t>
        </is>
      </c>
      <c r="S1177" t="inlineStr">
        <is>
          <t>Filtro secador modelo 02</t>
        </is>
      </c>
      <c r="T1177" t="n">
        <v>1</v>
      </c>
      <c r="U1177" t="n">
        <v>136</v>
      </c>
      <c r="V1177">
        <f>IF(J1177="","",MONTH(J1177))</f>
        <v/>
      </c>
      <c r="W1177">
        <f>IF(J1177="","",YEAR(J1177))</f>
        <v/>
      </c>
      <c r="X1177" t="inlineStr">
        <is>
          <t>CargoMax</t>
        </is>
      </c>
      <c r="Y1177">
        <f>IFERROR(INDEX(Rastreio!$H$2:$H$200,MATCH(X1177&amp;"|"&amp;U1177,Rastreio!$A$2:$A$200,0)),"")</f>
        <v/>
      </c>
    </row>
    <row r="1178">
      <c r="A1178">
        <f>IFERROR(INDEX(STAs!$G$2:$G$61,MATCH(P1178,STAs!$F$2:$F$61,0))&amp;"","")</f>
        <v/>
      </c>
      <c r="B1178" t="n">
        <v>20024295</v>
      </c>
      <c r="C1178" t="inlineStr">
        <is>
          <t>Não</t>
        </is>
      </c>
      <c r="D1178" t="inlineStr">
        <is>
          <t>RJ</t>
        </is>
      </c>
      <c r="E1178" t="inlineStr">
        <is>
          <t>SUDESTE RJ e ES</t>
        </is>
      </c>
      <c r="F1178" t="inlineStr">
        <is>
          <t>Cliente B - Chopeira</t>
        </is>
      </c>
      <c r="G1178" t="inlineStr">
        <is>
          <t>Refrigeradores</t>
        </is>
      </c>
      <c r="H1178" s="10" t="n">
        <v>25</v>
      </c>
      <c r="I1178" s="10">
        <f>IFERROR(T1178*H1178,0)</f>
        <v/>
      </c>
      <c r="J1178" s="11" t="n">
        <v>46119</v>
      </c>
      <c r="K1178" s="11" t="n">
        <v>46156</v>
      </c>
      <c r="L1178" t="inlineStr">
        <is>
          <t>Ok. Devolvida</t>
        </is>
      </c>
      <c r="M1178">
        <f>IF(L1178="","",IFERROR(VLOOKUP(L1178,mapGrupoStatus,2,0),"Outros"))</f>
        <v/>
      </c>
      <c r="N1178">
        <f>IF(O1178="","",IF(O1178&lt;=30,"0-30 dias",IF(O1178&lt;=60,"31-60 dias",IF(O1178&lt;=90,"61-90 dias","Mais de 90 dias"))))</f>
        <v/>
      </c>
      <c r="O1178">
        <f>IF(OR(M1178="Pendente",M1178="Em andamento"),IF(J1178="","",TODAY()-J1178),"")</f>
        <v/>
      </c>
      <c r="P1178" t="n">
        <v>10676</v>
      </c>
      <c r="Q1178" t="inlineStr">
        <is>
          <t>Clima Serviços (10676)</t>
        </is>
      </c>
      <c r="R1178" t="inlineStr">
        <is>
          <t>PC-0015</t>
        </is>
      </c>
      <c r="S1178" t="inlineStr">
        <is>
          <t>Filtro secador modelo 01</t>
        </is>
      </c>
      <c r="T1178" t="n">
        <v>1</v>
      </c>
      <c r="U1178" t="n">
        <v>140</v>
      </c>
      <c r="V1178">
        <f>IF(J1178="","",MONTH(J1178))</f>
        <v/>
      </c>
      <c r="W1178">
        <f>IF(J1178="","",YEAR(J1178))</f>
        <v/>
      </c>
      <c r="X1178" t="inlineStr">
        <is>
          <t>RotaSul</t>
        </is>
      </c>
      <c r="Y1178">
        <f>IFERROR(INDEX(Rastreio!$H$2:$H$200,MATCH(X1178&amp;"|"&amp;U1178,Rastreio!$A$2:$A$200,0)),"")</f>
        <v/>
      </c>
    </row>
    <row r="1179">
      <c r="A1179">
        <f>IFERROR(INDEX(STAs!$G$2:$G$61,MATCH(P1179,STAs!$F$2:$F$61,0))&amp;"","")</f>
        <v/>
      </c>
      <c r="B1179" t="n">
        <v>20002066</v>
      </c>
      <c r="C1179" t="inlineStr">
        <is>
          <t>Não</t>
        </is>
      </c>
      <c r="D1179" t="inlineStr">
        <is>
          <t>MT</t>
        </is>
      </c>
      <c r="E1179" t="inlineStr">
        <is>
          <t>CENTRO OESTE</t>
        </is>
      </c>
      <c r="F1179" t="inlineStr">
        <is>
          <t>Cliente B - Chopeira</t>
        </is>
      </c>
      <c r="G1179" t="inlineStr">
        <is>
          <t>Refrigeradores</t>
        </is>
      </c>
      <c r="H1179" s="10" t="n">
        <v>155</v>
      </c>
      <c r="I1179" s="10">
        <f>IFERROR(T1179*H1179,0)</f>
        <v/>
      </c>
      <c r="J1179" s="11" t="n">
        <v>46120</v>
      </c>
      <c r="K1179" s="11" t="n"/>
      <c r="L1179" t="inlineStr">
        <is>
          <t>Em transporte</t>
        </is>
      </c>
      <c r="M1179">
        <f>IF(L1179="","",IFERROR(VLOOKUP(L1179,mapGrupoStatus,2,0),"Outros"))</f>
        <v/>
      </c>
      <c r="N1179">
        <f>IF(O1179="","",IF(O1179&lt;=30,"0-30 dias",IF(O1179&lt;=60,"31-60 dias",IF(O1179&lt;=90,"61-90 dias","Mais de 90 dias"))))</f>
        <v/>
      </c>
      <c r="O1179">
        <f>IF(OR(M1179="Pendente",M1179="Em andamento"),IF(J1179="","",TODAY()-J1179),"")</f>
        <v/>
      </c>
      <c r="P1179" t="n">
        <v>10227</v>
      </c>
      <c r="Q1179" t="inlineStr">
        <is>
          <t>Assistência Técnica ME (10227)</t>
        </is>
      </c>
      <c r="R1179" t="inlineStr">
        <is>
          <t>PC-0021</t>
        </is>
      </c>
      <c r="S1179" t="inlineStr">
        <is>
          <t>Controlador digital modelo 01</t>
        </is>
      </c>
      <c r="T1179" t="n">
        <v>1</v>
      </c>
      <c r="U1179" t="n">
        <v>106</v>
      </c>
      <c r="V1179">
        <f>IF(J1179="","",MONTH(J1179))</f>
        <v/>
      </c>
      <c r="W1179">
        <f>IF(J1179="","",YEAR(J1179))</f>
        <v/>
      </c>
      <c r="X1179" t="inlineStr">
        <is>
          <t>EntregaJá</t>
        </is>
      </c>
      <c r="Y1179">
        <f>IFERROR(INDEX(Rastreio!$H$2:$H$200,MATCH(X1179&amp;"|"&amp;U1179,Rastreio!$A$2:$A$200,0)),"")</f>
        <v/>
      </c>
    </row>
    <row r="1180">
      <c r="A1180">
        <f>IFERROR(INDEX(STAs!$G$2:$G$61,MATCH(P1180,STAs!$F$2:$F$61,0))&amp;"","")</f>
        <v/>
      </c>
      <c r="B1180" t="n">
        <v>20005898</v>
      </c>
      <c r="C1180" t="inlineStr">
        <is>
          <t>Não</t>
        </is>
      </c>
      <c r="D1180" t="inlineStr">
        <is>
          <t>PI</t>
        </is>
      </c>
      <c r="E1180" t="inlineStr">
        <is>
          <t>NORDESTE</t>
        </is>
      </c>
      <c r="F1180" t="inlineStr">
        <is>
          <t>Cliente C - Misturador</t>
        </is>
      </c>
      <c r="G1180" t="inlineStr">
        <is>
          <t>Chopeiras</t>
        </is>
      </c>
      <c r="H1180" s="10" t="n">
        <v>210</v>
      </c>
      <c r="I1180" s="10">
        <f>IFERROR(T1180*H1180,0)</f>
        <v/>
      </c>
      <c r="J1180" s="11" t="n">
        <v>46120</v>
      </c>
      <c r="K1180" s="11" t="n">
        <v>46170</v>
      </c>
      <c r="L1180" t="inlineStr">
        <is>
          <t>Ok. Devolvida</t>
        </is>
      </c>
      <c r="M1180">
        <f>IF(L1180="","",IFERROR(VLOOKUP(L1180,mapGrupoStatus,2,0),"Outros"))</f>
        <v/>
      </c>
      <c r="N1180">
        <f>IF(O1180="","",IF(O1180&lt;=30,"0-30 dias",IF(O1180&lt;=60,"31-60 dias",IF(O1180&lt;=90,"61-90 dias","Mais de 90 dias"))))</f>
        <v/>
      </c>
      <c r="O1180">
        <f>IF(OR(M1180="Pendente",M1180="Em andamento"),IF(J1180="","",TODAY()-J1180),"")</f>
        <v/>
      </c>
      <c r="P1180" t="n">
        <v>10562</v>
      </c>
      <c r="Q1180" t="inlineStr">
        <is>
          <t>Clima &amp; Cia (10562)</t>
        </is>
      </c>
      <c r="R1180" t="inlineStr">
        <is>
          <t>PC-0029</t>
        </is>
      </c>
      <c r="S1180" t="inlineStr">
        <is>
          <t>Serpentina modelo 01</t>
        </is>
      </c>
      <c r="T1180" t="n">
        <v>2</v>
      </c>
      <c r="U1180" t="n">
        <v>110</v>
      </c>
      <c r="V1180">
        <f>IF(J1180="","",MONTH(J1180))</f>
        <v/>
      </c>
      <c r="W1180">
        <f>IF(J1180="","",YEAR(J1180))</f>
        <v/>
      </c>
      <c r="X1180" t="inlineStr">
        <is>
          <t>TransNorte</t>
        </is>
      </c>
      <c r="Y1180">
        <f>IFERROR(INDEX(Rastreio!$H$2:$H$200,MATCH(X1180&amp;"|"&amp;U1180,Rastreio!$A$2:$A$200,0)),"")</f>
        <v/>
      </c>
    </row>
    <row r="1181">
      <c r="A1181">
        <f>IFERROR(INDEX(STAs!$G$2:$G$61,MATCH(P1181,STAs!$F$2:$F$61,0))&amp;"","")</f>
        <v/>
      </c>
      <c r="B1181" t="n">
        <v>20018179</v>
      </c>
      <c r="C1181" t="inlineStr">
        <is>
          <t>Não</t>
        </is>
      </c>
      <c r="D1181" t="inlineStr">
        <is>
          <t>RO</t>
        </is>
      </c>
      <c r="E1181" t="inlineStr">
        <is>
          <t>NORTE</t>
        </is>
      </c>
      <c r="F1181" t="inlineStr">
        <is>
          <t>Cliente B - Chopeira</t>
        </is>
      </c>
      <c r="G1181" t="inlineStr">
        <is>
          <t>Chopeiras</t>
        </is>
      </c>
      <c r="H1181" s="10" t="n">
        <v>85</v>
      </c>
      <c r="I1181" s="10">
        <f>IFERROR(T1181*H1181,0)</f>
        <v/>
      </c>
      <c r="J1181" s="11" t="n">
        <v>46120</v>
      </c>
      <c r="K1181" s="11" t="n"/>
      <c r="L1181" t="inlineStr">
        <is>
          <t>Não Devolve-Norte</t>
        </is>
      </c>
      <c r="M1181">
        <f>IF(L1181="","",IFERROR(VLOOKUP(L1181,mapGrupoStatus,2,0),"Outros"))</f>
        <v/>
      </c>
      <c r="N1181">
        <f>IF(O1181="","",IF(O1181&lt;=30,"0-30 dias",IF(O1181&lt;=60,"31-60 dias",IF(O1181&lt;=90,"61-90 dias","Mais de 90 dias"))))</f>
        <v/>
      </c>
      <c r="O1181">
        <f>IF(OR(M1181="Pendente",M1181="Em andamento"),IF(J1181="","",TODAY()-J1181),"")</f>
        <v/>
      </c>
      <c r="P1181" t="n">
        <v>10172</v>
      </c>
      <c r="Q1181" t="inlineStr">
        <is>
          <t>Frigo Serviços (10172)</t>
        </is>
      </c>
      <c r="R1181" t="inlineStr">
        <is>
          <t>PC-0026</t>
        </is>
      </c>
      <c r="S1181" t="inlineStr">
        <is>
          <t>Torneira de chopp modelo 01</t>
        </is>
      </c>
      <c r="T1181" t="n">
        <v>1</v>
      </c>
      <c r="U1181" t="inlineStr"/>
      <c r="V1181">
        <f>IF(J1181="","",MONTH(J1181))</f>
        <v/>
      </c>
      <c r="W1181">
        <f>IF(J1181="","",YEAR(J1181))</f>
        <v/>
      </c>
      <c r="X1181" t="inlineStr"/>
      <c r="Y1181">
        <f>IFERROR(INDEX(Rastreio!$H$2:$H$200,MATCH(X1181&amp;"|"&amp;U1181,Rastreio!$A$2:$A$200,0)),"")</f>
        <v/>
      </c>
    </row>
    <row r="1182">
      <c r="A1182">
        <f>IFERROR(INDEX(STAs!$G$2:$G$61,MATCH(P1182,STAs!$F$2:$F$61,0))&amp;"","")</f>
        <v/>
      </c>
      <c r="B1182" t="n">
        <v>20024787</v>
      </c>
      <c r="C1182" t="inlineStr">
        <is>
          <t>Não</t>
        </is>
      </c>
      <c r="D1182" t="inlineStr">
        <is>
          <t>AP</t>
        </is>
      </c>
      <c r="E1182" t="inlineStr">
        <is>
          <t>NORTE</t>
        </is>
      </c>
      <c r="F1182" t="inlineStr">
        <is>
          <t>Cliente C - Misturador</t>
        </is>
      </c>
      <c r="G1182" t="inlineStr">
        <is>
          <t>Refrigeradores</t>
        </is>
      </c>
      <c r="H1182" s="10" t="n">
        <v>65</v>
      </c>
      <c r="I1182" s="10">
        <f>IFERROR(T1182*H1182,0)</f>
        <v/>
      </c>
      <c r="J1182" s="11" t="n">
        <v>46120</v>
      </c>
      <c r="K1182" s="11" t="n">
        <v>46168</v>
      </c>
      <c r="L1182" t="inlineStr">
        <is>
          <t>Ok. Devolvida</t>
        </is>
      </c>
      <c r="M1182">
        <f>IF(L1182="","",IFERROR(VLOOKUP(L1182,mapGrupoStatus,2,0),"Outros"))</f>
        <v/>
      </c>
      <c r="N1182">
        <f>IF(O1182="","",IF(O1182&lt;=30,"0-30 dias",IF(O1182&lt;=60,"31-60 dias",IF(O1182&lt;=90,"61-90 dias","Mais de 90 dias"))))</f>
        <v/>
      </c>
      <c r="O1182">
        <f>IF(OR(M1182="Pendente",M1182="Em andamento"),IF(J1182="","",TODAY()-J1182),"")</f>
        <v/>
      </c>
      <c r="P1182" t="n">
        <v>11859</v>
      </c>
      <c r="Q1182" t="inlineStr">
        <is>
          <t>Ice Tech Serviços (11859)</t>
        </is>
      </c>
      <c r="R1182" t="inlineStr">
        <is>
          <t>PC-0010</t>
        </is>
      </c>
      <c r="S1182" t="inlineStr">
        <is>
          <t>Ventilador modelo 04</t>
        </is>
      </c>
      <c r="T1182" t="n">
        <v>1</v>
      </c>
      <c r="U1182" t="n">
        <v>144</v>
      </c>
      <c r="V1182">
        <f>IF(J1182="","",MONTH(J1182))</f>
        <v/>
      </c>
      <c r="W1182">
        <f>IF(J1182="","",YEAR(J1182))</f>
        <v/>
      </c>
      <c r="X1182" t="inlineStr">
        <is>
          <t>RotaSul</t>
        </is>
      </c>
      <c r="Y1182">
        <f>IFERROR(INDEX(Rastreio!$H$2:$H$200,MATCH(X1182&amp;"|"&amp;U1182,Rastreio!$A$2:$A$200,0)),"")</f>
        <v/>
      </c>
    </row>
    <row r="1183">
      <c r="A1183">
        <f>IFERROR(INDEX(STAs!$G$2:$G$61,MATCH(P1183,STAs!$F$2:$F$61,0))&amp;"","")</f>
        <v/>
      </c>
      <c r="B1183" t="n">
        <v>20039783</v>
      </c>
      <c r="C1183" t="inlineStr">
        <is>
          <t>Sim</t>
        </is>
      </c>
      <c r="D1183" t="inlineStr">
        <is>
          <t>SP</t>
        </is>
      </c>
      <c r="E1183" t="inlineStr">
        <is>
          <t>SUDESTE SP</t>
        </is>
      </c>
      <c r="F1183" t="inlineStr">
        <is>
          <t>Cliente A - Refrigerador</t>
        </is>
      </c>
      <c r="G1183" t="inlineStr">
        <is>
          <t>Refrigeradores</t>
        </is>
      </c>
      <c r="H1183" s="10" t="n">
        <v>65</v>
      </c>
      <c r="I1183" s="10">
        <f>IFERROR(T1183*H1183,0)</f>
        <v/>
      </c>
      <c r="J1183" s="11" t="n">
        <v>46120</v>
      </c>
      <c r="K1183" s="11" t="n">
        <v>46130</v>
      </c>
      <c r="L1183" t="inlineStr">
        <is>
          <t>Ok. Devolvida</t>
        </is>
      </c>
      <c r="M1183">
        <f>IF(L1183="","",IFERROR(VLOOKUP(L1183,mapGrupoStatus,2,0),"Outros"))</f>
        <v/>
      </c>
      <c r="N1183">
        <f>IF(O1183="","",IF(O1183&lt;=30,"0-30 dias",IF(O1183&lt;=60,"31-60 dias",IF(O1183&lt;=90,"61-90 dias","Mais de 90 dias"))))</f>
        <v/>
      </c>
      <c r="O1183">
        <f>IF(OR(M1183="Pendente",M1183="Em andamento"),IF(J1183="","",TODAY()-J1183),"")</f>
        <v/>
      </c>
      <c r="P1183" t="n">
        <v>10010</v>
      </c>
      <c r="Q1183" t="inlineStr">
        <is>
          <t>Cool Service ME (10010)</t>
        </is>
      </c>
      <c r="R1183" t="inlineStr">
        <is>
          <t>PC-0010</t>
        </is>
      </c>
      <c r="S1183" t="inlineStr">
        <is>
          <t>Ventilador modelo 04</t>
        </is>
      </c>
      <c r="T1183" t="n">
        <v>1</v>
      </c>
      <c r="U1183" t="n">
        <v>157</v>
      </c>
      <c r="V1183">
        <f>IF(J1183="","",MONTH(J1183))</f>
        <v/>
      </c>
      <c r="W1183">
        <f>IF(J1183="","",YEAR(J1183))</f>
        <v/>
      </c>
      <c r="X1183" t="inlineStr">
        <is>
          <t>EntregaJá</t>
        </is>
      </c>
      <c r="Y1183">
        <f>IFERROR(INDEX(Rastreio!$H$2:$H$200,MATCH(X1183&amp;"|"&amp;U1183,Rastreio!$A$2:$A$200,0)),"")</f>
        <v/>
      </c>
    </row>
    <row r="1184">
      <c r="A1184">
        <f>IFERROR(INDEX(STAs!$G$2:$G$61,MATCH(P1184,STAs!$F$2:$F$61,0))&amp;"","")</f>
        <v/>
      </c>
      <c r="B1184" t="n">
        <v>20001739</v>
      </c>
      <c r="C1184" t="inlineStr">
        <is>
          <t>Não</t>
        </is>
      </c>
      <c r="D1184" t="inlineStr">
        <is>
          <t>GO</t>
        </is>
      </c>
      <c r="E1184" t="inlineStr">
        <is>
          <t>CENTRO OESTE</t>
        </is>
      </c>
      <c r="F1184" t="inlineStr">
        <is>
          <t>Cliente B - Chopeira</t>
        </is>
      </c>
      <c r="G1184" t="inlineStr">
        <is>
          <t>Chopeiras</t>
        </is>
      </c>
      <c r="H1184" s="10" t="n">
        <v>85</v>
      </c>
      <c r="I1184" s="10">
        <f>IFERROR(T1184*H1184,0)</f>
        <v/>
      </c>
      <c r="J1184" s="11" t="n">
        <v>46121</v>
      </c>
      <c r="K1184" s="11" t="n">
        <v>46140</v>
      </c>
      <c r="L1184" t="inlineStr">
        <is>
          <t>Ok. Devolvida</t>
        </is>
      </c>
      <c r="M1184">
        <f>IF(L1184="","",IFERROR(VLOOKUP(L1184,mapGrupoStatus,2,0),"Outros"))</f>
        <v/>
      </c>
      <c r="N1184">
        <f>IF(O1184="","",IF(O1184&lt;=30,"0-30 dias",IF(O1184&lt;=60,"31-60 dias",IF(O1184&lt;=90,"61-90 dias","Mais de 90 dias"))))</f>
        <v/>
      </c>
      <c r="O1184">
        <f>IF(OR(M1184="Pendente",M1184="Em andamento"),IF(J1184="","",TODAY()-J1184),"")</f>
        <v/>
      </c>
      <c r="P1184" t="n">
        <v>12007</v>
      </c>
      <c r="Q1184" t="inlineStr">
        <is>
          <t>Refrigel Ltda (12007)</t>
        </is>
      </c>
      <c r="R1184" t="inlineStr">
        <is>
          <t>PC-0036</t>
        </is>
      </c>
      <c r="S1184" t="inlineStr">
        <is>
          <t>Válvula extratora modelo 02</t>
        </is>
      </c>
      <c r="T1184" t="n">
        <v>1</v>
      </c>
      <c r="U1184" t="n">
        <v>106</v>
      </c>
      <c r="V1184">
        <f>IF(J1184="","",MONTH(J1184))</f>
        <v/>
      </c>
      <c r="W1184">
        <f>IF(J1184="","",YEAR(J1184))</f>
        <v/>
      </c>
      <c r="X1184" t="inlineStr">
        <is>
          <t>RotaSul</t>
        </is>
      </c>
      <c r="Y1184">
        <f>IFERROR(INDEX(Rastreio!$H$2:$H$200,MATCH(X1184&amp;"|"&amp;U1184,Rastreio!$A$2:$A$200,0)),"")</f>
        <v/>
      </c>
    </row>
    <row r="1185">
      <c r="A1185">
        <f>IFERROR(INDEX(STAs!$G$2:$G$61,MATCH(P1185,STAs!$F$2:$F$61,0))&amp;"","")</f>
        <v/>
      </c>
      <c r="B1185" t="n">
        <v>20007717</v>
      </c>
      <c r="C1185" t="inlineStr">
        <is>
          <t>Não</t>
        </is>
      </c>
      <c r="D1185" t="inlineStr">
        <is>
          <t>PR</t>
        </is>
      </c>
      <c r="E1185" t="inlineStr">
        <is>
          <t>SUL</t>
        </is>
      </c>
      <c r="F1185" t="inlineStr">
        <is>
          <t>Cliente A - Refrigerador</t>
        </is>
      </c>
      <c r="G1185" t="inlineStr">
        <is>
          <t>Chopeiras</t>
        </is>
      </c>
      <c r="H1185" s="10" t="n">
        <v>205</v>
      </c>
      <c r="I1185" s="10">
        <f>IFERROR(T1185*H1185,0)</f>
        <v/>
      </c>
      <c r="J1185" s="11" t="n">
        <v>46121</v>
      </c>
      <c r="K1185" s="11" t="n"/>
      <c r="L1185" t="inlineStr">
        <is>
          <t>Debitar do STA</t>
        </is>
      </c>
      <c r="M1185">
        <f>IF(L1185="","",IFERROR(VLOOKUP(L1185,mapGrupoStatus,2,0),"Outros"))</f>
        <v/>
      </c>
      <c r="N1185">
        <f>IF(O1185="","",IF(O1185&lt;=30,"0-30 dias",IF(O1185&lt;=60,"31-60 dias",IF(O1185&lt;=90,"61-90 dias","Mais de 90 dias"))))</f>
        <v/>
      </c>
      <c r="O1185">
        <f>IF(OR(M1185="Pendente",M1185="Em andamento"),IF(J1185="","",TODAY()-J1185),"")</f>
        <v/>
      </c>
      <c r="P1185" t="n">
        <v>11898</v>
      </c>
      <c r="Q1185" t="inlineStr">
        <is>
          <t>Refrigel Express (11898)</t>
        </is>
      </c>
      <c r="R1185" t="inlineStr">
        <is>
          <t>PC-0031</t>
        </is>
      </c>
      <c r="S1185" t="inlineStr">
        <is>
          <t>Serpentina modelo 03</t>
        </is>
      </c>
      <c r="T1185" t="n">
        <v>1</v>
      </c>
      <c r="U1185" t="inlineStr"/>
      <c r="V1185">
        <f>IF(J1185="","",MONTH(J1185))</f>
        <v/>
      </c>
      <c r="W1185">
        <f>IF(J1185="","",YEAR(J1185))</f>
        <v/>
      </c>
      <c r="X1185" t="inlineStr"/>
      <c r="Y1185">
        <f>IFERROR(INDEX(Rastreio!$H$2:$H$200,MATCH(X1185&amp;"|"&amp;U1185,Rastreio!$A$2:$A$200,0)),"")</f>
        <v/>
      </c>
    </row>
    <row r="1186">
      <c r="A1186">
        <f>IFERROR(INDEX(STAs!$G$2:$G$61,MATCH(P1186,STAs!$F$2:$F$61,0))&amp;"","")</f>
        <v/>
      </c>
      <c r="B1186" t="n">
        <v>20018437</v>
      </c>
      <c r="C1186" t="inlineStr">
        <is>
          <t>Não</t>
        </is>
      </c>
      <c r="D1186" t="inlineStr">
        <is>
          <t>ES</t>
        </is>
      </c>
      <c r="E1186" t="inlineStr">
        <is>
          <t>SUDESTE RJ e ES</t>
        </is>
      </c>
      <c r="F1186" t="inlineStr">
        <is>
          <t>Cliente B - Chopeira</t>
        </is>
      </c>
      <c r="G1186" t="inlineStr">
        <is>
          <t>Refrigeradores</t>
        </is>
      </c>
      <c r="H1186" s="10" t="n">
        <v>45</v>
      </c>
      <c r="I1186" s="10">
        <f>IFERROR(T1186*H1186,0)</f>
        <v/>
      </c>
      <c r="J1186" s="11" t="n">
        <v>46121</v>
      </c>
      <c r="K1186" s="11" t="n">
        <v>46142</v>
      </c>
      <c r="L1186" t="inlineStr">
        <is>
          <t>Ok. Devolvida</t>
        </is>
      </c>
      <c r="M1186">
        <f>IF(L1186="","",IFERROR(VLOOKUP(L1186,mapGrupoStatus,2,0),"Outros"))</f>
        <v/>
      </c>
      <c r="N1186">
        <f>IF(O1186="","",IF(O1186&lt;=30,"0-30 dias",IF(O1186&lt;=60,"31-60 dias",IF(O1186&lt;=90,"61-90 dias","Mais de 90 dias"))))</f>
        <v/>
      </c>
      <c r="O1186">
        <f>IF(OR(M1186="Pendente",M1186="Em andamento"),IF(J1186="","",TODAY()-J1186),"")</f>
        <v/>
      </c>
      <c r="P1186" t="n">
        <v>12555</v>
      </c>
      <c r="Q1186" t="inlineStr">
        <is>
          <t>Cool Service Serviços (12555)</t>
        </is>
      </c>
      <c r="R1186" t="inlineStr">
        <is>
          <t>PC-0018</t>
        </is>
      </c>
      <c r="S1186" t="inlineStr">
        <is>
          <t>Gaxeta da porta modelo 01</t>
        </is>
      </c>
      <c r="T1186" t="n">
        <v>1</v>
      </c>
      <c r="U1186" t="n">
        <v>134</v>
      </c>
      <c r="V1186">
        <f>IF(J1186="","",MONTH(J1186))</f>
        <v/>
      </c>
      <c r="W1186">
        <f>IF(J1186="","",YEAR(J1186))</f>
        <v/>
      </c>
      <c r="X1186" t="inlineStr">
        <is>
          <t>CargoMax</t>
        </is>
      </c>
      <c r="Y1186">
        <f>IFERROR(INDEX(Rastreio!$H$2:$H$200,MATCH(X1186&amp;"|"&amp;U1186,Rastreio!$A$2:$A$200,0)),"")</f>
        <v/>
      </c>
    </row>
    <row r="1187">
      <c r="A1187">
        <f>IFERROR(INDEX(STAs!$G$2:$G$61,MATCH(P1187,STAs!$F$2:$F$61,0))&amp;"","")</f>
        <v/>
      </c>
      <c r="B1187" t="n">
        <v>20024047</v>
      </c>
      <c r="C1187" t="inlineStr">
        <is>
          <t>Não</t>
        </is>
      </c>
      <c r="D1187" t="inlineStr">
        <is>
          <t>ES</t>
        </is>
      </c>
      <c r="E1187" t="inlineStr">
        <is>
          <t>SUDESTE RJ e ES</t>
        </is>
      </c>
      <c r="F1187" t="inlineStr">
        <is>
          <t>Cliente A - Refrigerador</t>
        </is>
      </c>
      <c r="G1187" t="inlineStr">
        <is>
          <t>Refrigeradores</t>
        </is>
      </c>
      <c r="H1187" s="10" t="n">
        <v>325</v>
      </c>
      <c r="I1187" s="10">
        <f>IFERROR(T1187*H1187,0)</f>
        <v/>
      </c>
      <c r="J1187" s="11" t="n">
        <v>46121</v>
      </c>
      <c r="K1187" s="11" t="n">
        <v>46131</v>
      </c>
      <c r="L1187" t="inlineStr">
        <is>
          <t>Ok. Devolvida</t>
        </is>
      </c>
      <c r="M1187">
        <f>IF(L1187="","",IFERROR(VLOOKUP(L1187,mapGrupoStatus,2,0),"Outros"))</f>
        <v/>
      </c>
      <c r="N1187">
        <f>IF(O1187="","",IF(O1187&lt;=30,"0-30 dias",IF(O1187&lt;=60,"31-60 dias",IF(O1187&lt;=90,"61-90 dias","Mais de 90 dias"))))</f>
        <v/>
      </c>
      <c r="O1187">
        <f>IF(OR(M1187="Pendente",M1187="Em andamento"),IF(J1187="","",TODAY()-J1187),"")</f>
        <v/>
      </c>
      <c r="P1187" t="n">
        <v>11162</v>
      </c>
      <c r="Q1187" t="inlineStr">
        <is>
          <t>Ártico Refrigeração (11162)</t>
        </is>
      </c>
      <c r="R1187" t="inlineStr">
        <is>
          <t>PC-0001</t>
        </is>
      </c>
      <c r="S1187" t="inlineStr">
        <is>
          <t>Compressor modelo 01</t>
        </is>
      </c>
      <c r="T1187" t="n">
        <v>1</v>
      </c>
      <c r="U1187" t="n">
        <v>142</v>
      </c>
      <c r="V1187">
        <f>IF(J1187="","",MONTH(J1187))</f>
        <v/>
      </c>
      <c r="W1187">
        <f>IF(J1187="","",YEAR(J1187))</f>
        <v/>
      </c>
      <c r="X1187" t="inlineStr">
        <is>
          <t>CargoMax</t>
        </is>
      </c>
      <c r="Y1187">
        <f>IFERROR(INDEX(Rastreio!$H$2:$H$200,MATCH(X1187&amp;"|"&amp;U1187,Rastreio!$A$2:$A$200,0)),"")</f>
        <v/>
      </c>
    </row>
    <row r="1188">
      <c r="A1188">
        <f>IFERROR(INDEX(STAs!$G$2:$G$61,MATCH(P1188,STAs!$F$2:$F$61,0))&amp;"","")</f>
        <v/>
      </c>
      <c r="B1188" t="n">
        <v>20000143</v>
      </c>
      <c r="C1188" t="inlineStr">
        <is>
          <t>Não</t>
        </is>
      </c>
      <c r="D1188" t="inlineStr">
        <is>
          <t>MG</t>
        </is>
      </c>
      <c r="E1188" t="inlineStr">
        <is>
          <t>SUDESTE MG</t>
        </is>
      </c>
      <c r="F1188" t="inlineStr">
        <is>
          <t>Cliente C - Misturador</t>
        </is>
      </c>
      <c r="G1188" t="inlineStr">
        <is>
          <t>Chopeiras</t>
        </is>
      </c>
      <c r="H1188" s="10" t="n">
        <v>120</v>
      </c>
      <c r="I1188" s="10">
        <f>IFERROR(T1188*H1188,0)</f>
        <v/>
      </c>
      <c r="J1188" s="11" t="n">
        <v>46122</v>
      </c>
      <c r="K1188" s="11" t="n"/>
      <c r="L1188" t="inlineStr">
        <is>
          <t>Não Devolve-Norte</t>
        </is>
      </c>
      <c r="M1188">
        <f>IF(L1188="","",IFERROR(VLOOKUP(L1188,mapGrupoStatus,2,0),"Outros"))</f>
        <v/>
      </c>
      <c r="N1188">
        <f>IF(O1188="","",IF(O1188&lt;=30,"0-30 dias",IF(O1188&lt;=60,"31-60 dias",IF(O1188&lt;=90,"61-90 dias","Mais de 90 dias"))))</f>
        <v/>
      </c>
      <c r="O1188">
        <f>IF(OR(M1188="Pendente",M1188="Em andamento"),IF(J1188="","",TODAY()-J1188),"")</f>
        <v/>
      </c>
      <c r="P1188" t="n">
        <v>12470</v>
      </c>
      <c r="Q1188" t="inlineStr">
        <is>
          <t>Cool Service Técnica (12470)</t>
        </is>
      </c>
      <c r="R1188" t="inlineStr">
        <is>
          <t>PC-0032</t>
        </is>
      </c>
      <c r="S1188" t="inlineStr">
        <is>
          <t>Regulador de pressão modelo 01</t>
        </is>
      </c>
      <c r="T1188" t="n">
        <v>2</v>
      </c>
      <c r="U1188" t="inlineStr"/>
      <c r="V1188">
        <f>IF(J1188="","",MONTH(J1188))</f>
        <v/>
      </c>
      <c r="W1188">
        <f>IF(J1188="","",YEAR(J1188))</f>
        <v/>
      </c>
      <c r="X1188" t="inlineStr"/>
      <c r="Y1188">
        <f>IFERROR(INDEX(Rastreio!$H$2:$H$200,MATCH(X1188&amp;"|"&amp;U1188,Rastreio!$A$2:$A$200,0)),"")</f>
        <v/>
      </c>
    </row>
    <row r="1189">
      <c r="A1189">
        <f>IFERROR(INDEX(STAs!$G$2:$G$61,MATCH(P1189,STAs!$F$2:$F$61,0))&amp;"","")</f>
        <v/>
      </c>
      <c r="B1189" t="n">
        <v>20018413</v>
      </c>
      <c r="C1189" t="inlineStr">
        <is>
          <t>Não</t>
        </is>
      </c>
      <c r="D1189" t="inlineStr">
        <is>
          <t>RJ</t>
        </is>
      </c>
      <c r="E1189" t="inlineStr">
        <is>
          <t>SUDESTE RJ e ES</t>
        </is>
      </c>
      <c r="F1189" t="inlineStr">
        <is>
          <t>Cliente A - Refrigerador</t>
        </is>
      </c>
      <c r="G1189" t="inlineStr">
        <is>
          <t>Misturadores</t>
        </is>
      </c>
      <c r="H1189" s="10" t="n">
        <v>60</v>
      </c>
      <c r="I1189" s="10">
        <f>IFERROR(T1189*H1189,0)</f>
        <v/>
      </c>
      <c r="J1189" s="11" t="n">
        <v>46122</v>
      </c>
      <c r="K1189" s="11" t="n">
        <v>46134</v>
      </c>
      <c r="L1189" t="inlineStr">
        <is>
          <t>Ok. Devolvida</t>
        </is>
      </c>
      <c r="M1189">
        <f>IF(L1189="","",IFERROR(VLOOKUP(L1189,mapGrupoStatus,2,0),"Outros"))</f>
        <v/>
      </c>
      <c r="N1189">
        <f>IF(O1189="","",IF(O1189&lt;=30,"0-30 dias",IF(O1189&lt;=60,"31-60 dias",IF(O1189&lt;=90,"61-90 dias","Mais de 90 dias"))))</f>
        <v/>
      </c>
      <c r="O1189">
        <f>IF(OR(M1189="Pendente",M1189="Em andamento"),IF(J1189="","",TODAY()-J1189),"")</f>
        <v/>
      </c>
      <c r="P1189" t="n">
        <v>11059</v>
      </c>
      <c r="Q1189" t="inlineStr">
        <is>
          <t>Frio Ltda (11059)</t>
        </is>
      </c>
      <c r="R1189" t="inlineStr">
        <is>
          <t>PC-0046</t>
        </is>
      </c>
      <c r="S1189" t="inlineStr">
        <is>
          <t>Sensor de nível modelo 02</t>
        </is>
      </c>
      <c r="T1189" t="n">
        <v>1</v>
      </c>
      <c r="U1189" t="n">
        <v>135</v>
      </c>
      <c r="V1189">
        <f>IF(J1189="","",MONTH(J1189))</f>
        <v/>
      </c>
      <c r="W1189">
        <f>IF(J1189="","",YEAR(J1189))</f>
        <v/>
      </c>
      <c r="X1189" t="inlineStr">
        <is>
          <t>ViaCargo</t>
        </is>
      </c>
      <c r="Y1189">
        <f>IFERROR(INDEX(Rastreio!$H$2:$H$200,MATCH(X1189&amp;"|"&amp;U1189,Rastreio!$A$2:$A$200,0)),"")</f>
        <v/>
      </c>
    </row>
    <row r="1190">
      <c r="A1190">
        <f>IFERROR(INDEX(STAs!$G$2:$G$61,MATCH(P1190,STAs!$F$2:$F$61,0))&amp;"","")</f>
        <v/>
      </c>
      <c r="B1190" t="n">
        <v>20020604</v>
      </c>
      <c r="C1190" t="inlineStr">
        <is>
          <t>Não</t>
        </is>
      </c>
      <c r="D1190" t="inlineStr">
        <is>
          <t>GO</t>
        </is>
      </c>
      <c r="E1190" t="inlineStr">
        <is>
          <t>CENTRO OESTE</t>
        </is>
      </c>
      <c r="F1190" t="inlineStr">
        <is>
          <t>Cliente B - Chopeira</t>
        </is>
      </c>
      <c r="G1190" t="inlineStr">
        <is>
          <t>Refrigeradores</t>
        </is>
      </c>
      <c r="H1190" s="10" t="n">
        <v>40</v>
      </c>
      <c r="I1190" s="10">
        <f>IFERROR(T1190*H1190,0)</f>
        <v/>
      </c>
      <c r="J1190" s="11" t="n">
        <v>46122</v>
      </c>
      <c r="K1190" s="11" t="n"/>
      <c r="L1190" t="inlineStr">
        <is>
          <t>Aguardando devolução</t>
        </is>
      </c>
      <c r="M1190">
        <f>IF(L1190="","",IFERROR(VLOOKUP(L1190,mapGrupoStatus,2,0),"Outros"))</f>
        <v/>
      </c>
      <c r="N1190">
        <f>IF(O1190="","",IF(O1190&lt;=30,"0-30 dias",IF(O1190&lt;=60,"31-60 dias",IF(O1190&lt;=90,"61-90 dias","Mais de 90 dias"))))</f>
        <v/>
      </c>
      <c r="O1190">
        <f>IF(OR(M1190="Pendente",M1190="Em andamento"),IF(J1190="","",TODAY()-J1190),"")</f>
        <v/>
      </c>
      <c r="P1190" t="n">
        <v>12007</v>
      </c>
      <c r="Q1190" t="inlineStr">
        <is>
          <t>Refrigel Ltda (12007)</t>
        </is>
      </c>
      <c r="R1190" t="inlineStr">
        <is>
          <t>PC-0004</t>
        </is>
      </c>
      <c r="S1190" t="inlineStr">
        <is>
          <t>Termostato modelo 01</t>
        </is>
      </c>
      <c r="T1190" t="n">
        <v>1</v>
      </c>
      <c r="U1190" t="inlineStr"/>
      <c r="V1190">
        <f>IF(J1190="","",MONTH(J1190))</f>
        <v/>
      </c>
      <c r="W1190">
        <f>IF(J1190="","",YEAR(J1190))</f>
        <v/>
      </c>
      <c r="X1190" t="inlineStr"/>
      <c r="Y1190">
        <f>IFERROR(INDEX(Rastreio!$H$2:$H$200,MATCH(X1190&amp;"|"&amp;U1190,Rastreio!$A$2:$A$200,0)),"")</f>
        <v/>
      </c>
    </row>
    <row r="1191">
      <c r="A1191">
        <f>IFERROR(INDEX(STAs!$G$2:$G$61,MATCH(P1191,STAs!$F$2:$F$61,0))&amp;"","")</f>
        <v/>
      </c>
      <c r="B1191" t="n">
        <v>20029438</v>
      </c>
      <c r="C1191" t="inlineStr">
        <is>
          <t>Não</t>
        </is>
      </c>
      <c r="D1191" t="inlineStr">
        <is>
          <t>RS</t>
        </is>
      </c>
      <c r="E1191" t="inlineStr">
        <is>
          <t>SUL</t>
        </is>
      </c>
      <c r="F1191" t="inlineStr">
        <is>
          <t>Cliente C - Misturador</t>
        </is>
      </c>
      <c r="G1191" t="inlineStr">
        <is>
          <t>Refrigeradores</t>
        </is>
      </c>
      <c r="H1191" s="10" t="n">
        <v>55</v>
      </c>
      <c r="I1191" s="10">
        <f>IFERROR(T1191*H1191,0)</f>
        <v/>
      </c>
      <c r="J1191" s="11" t="n">
        <v>46122</v>
      </c>
      <c r="K1191" s="11" t="n">
        <v>46132</v>
      </c>
      <c r="L1191" t="inlineStr">
        <is>
          <t>Ok. Devolvida</t>
        </is>
      </c>
      <c r="M1191">
        <f>IF(L1191="","",IFERROR(VLOOKUP(L1191,mapGrupoStatus,2,0),"Outros"))</f>
        <v/>
      </c>
      <c r="N1191">
        <f>IF(O1191="","",IF(O1191&lt;=30,"0-30 dias",IF(O1191&lt;=60,"31-60 dias",IF(O1191&lt;=90,"61-90 dias","Mais de 90 dias"))))</f>
        <v/>
      </c>
      <c r="O1191">
        <f>IF(OR(M1191="Pendente",M1191="Em andamento"),IF(J1191="","",TODAY()-J1191),"")</f>
        <v/>
      </c>
      <c r="P1191" t="n">
        <v>12617</v>
      </c>
      <c r="Q1191" t="inlineStr">
        <is>
          <t>Gelo Manutenção (12617)</t>
        </is>
      </c>
      <c r="R1191" t="inlineStr">
        <is>
          <t>PC-0008</t>
        </is>
      </c>
      <c r="S1191" t="inlineStr">
        <is>
          <t>Ventilador modelo 02</t>
        </is>
      </c>
      <c r="T1191" t="n">
        <v>1</v>
      </c>
      <c r="U1191" t="n">
        <v>151</v>
      </c>
      <c r="V1191">
        <f>IF(J1191="","",MONTH(J1191))</f>
        <v/>
      </c>
      <c r="W1191">
        <f>IF(J1191="","",YEAR(J1191))</f>
        <v/>
      </c>
      <c r="X1191" t="inlineStr">
        <is>
          <t>TransNorte</t>
        </is>
      </c>
      <c r="Y1191">
        <f>IFERROR(INDEX(Rastreio!$H$2:$H$200,MATCH(X1191&amp;"|"&amp;U1191,Rastreio!$A$2:$A$200,0)),"")</f>
        <v/>
      </c>
    </row>
    <row r="1192">
      <c r="A1192">
        <f>IFERROR(INDEX(STAs!$G$2:$G$61,MATCH(P1192,STAs!$F$2:$F$61,0))&amp;"","")</f>
        <v/>
      </c>
      <c r="B1192" t="n">
        <v>20031469</v>
      </c>
      <c r="C1192" t="inlineStr">
        <is>
          <t>Não</t>
        </is>
      </c>
      <c r="D1192" t="inlineStr">
        <is>
          <t>GO</t>
        </is>
      </c>
      <c r="E1192" t="inlineStr">
        <is>
          <t>CENTRO OESTE</t>
        </is>
      </c>
      <c r="F1192" t="inlineStr">
        <is>
          <t>Cliente A - Refrigerador</t>
        </is>
      </c>
      <c r="G1192" t="inlineStr">
        <is>
          <t>Misturadores</t>
        </is>
      </c>
      <c r="H1192" s="10" t="n">
        <v>60</v>
      </c>
      <c r="I1192" s="10">
        <f>IFERROR(T1192*H1192,0)</f>
        <v/>
      </c>
      <c r="J1192" s="11" t="n">
        <v>46122</v>
      </c>
      <c r="K1192" s="11" t="n"/>
      <c r="L1192" t="inlineStr">
        <is>
          <t>Não Devolve-Norte</t>
        </is>
      </c>
      <c r="M1192">
        <f>IF(L1192="","",IFERROR(VLOOKUP(L1192,mapGrupoStatus,2,0),"Outros"))</f>
        <v/>
      </c>
      <c r="N1192">
        <f>IF(O1192="","",IF(O1192&lt;=30,"0-30 dias",IF(O1192&lt;=60,"31-60 dias",IF(O1192&lt;=90,"61-90 dias","Mais de 90 dias"))))</f>
        <v/>
      </c>
      <c r="O1192">
        <f>IF(OR(M1192="Pendente",M1192="Em andamento"),IF(J1192="","",TODAY()-J1192),"")</f>
        <v/>
      </c>
      <c r="P1192" t="n">
        <v>12007</v>
      </c>
      <c r="Q1192" t="inlineStr">
        <is>
          <t>Refrigel Ltda (12007)</t>
        </is>
      </c>
      <c r="R1192" t="inlineStr">
        <is>
          <t>PC-0048</t>
        </is>
      </c>
      <c r="S1192" t="inlineStr">
        <is>
          <t>Sensor de nível modelo 04</t>
        </is>
      </c>
      <c r="T1192" t="n">
        <v>1</v>
      </c>
      <c r="U1192" t="inlineStr"/>
      <c r="V1192">
        <f>IF(J1192="","",MONTH(J1192))</f>
        <v/>
      </c>
      <c r="W1192">
        <f>IF(J1192="","",YEAR(J1192))</f>
        <v/>
      </c>
      <c r="X1192" t="inlineStr"/>
      <c r="Y1192">
        <f>IFERROR(INDEX(Rastreio!$H$2:$H$200,MATCH(X1192&amp;"|"&amp;U1192,Rastreio!$A$2:$A$200,0)),"")</f>
        <v/>
      </c>
    </row>
    <row r="1193">
      <c r="A1193">
        <f>IFERROR(INDEX(STAs!$G$2:$G$61,MATCH(P1193,STAs!$F$2:$F$61,0))&amp;"","")</f>
        <v/>
      </c>
      <c r="B1193" t="n">
        <v>20000153</v>
      </c>
      <c r="C1193" t="inlineStr">
        <is>
          <t>Não</t>
        </is>
      </c>
      <c r="D1193" t="inlineStr">
        <is>
          <t>MG</t>
        </is>
      </c>
      <c r="E1193" t="inlineStr">
        <is>
          <t>SUDESTE MG</t>
        </is>
      </c>
      <c r="F1193" t="inlineStr">
        <is>
          <t>Cliente C - Misturador</t>
        </is>
      </c>
      <c r="G1193" t="inlineStr">
        <is>
          <t>Misturadores</t>
        </is>
      </c>
      <c r="H1193" s="10" t="n">
        <v>60</v>
      </c>
      <c r="I1193" s="10">
        <f>IFERROR(T1193*H1193,0)</f>
        <v/>
      </c>
      <c r="J1193" s="11" t="n">
        <v>46123</v>
      </c>
      <c r="K1193" s="11" t="n">
        <v>46161</v>
      </c>
      <c r="L1193" t="inlineStr">
        <is>
          <t>Ok. Devolvida</t>
        </is>
      </c>
      <c r="M1193">
        <f>IF(L1193="","",IFERROR(VLOOKUP(L1193,mapGrupoStatus,2,0),"Outros"))</f>
        <v/>
      </c>
      <c r="N1193">
        <f>IF(O1193="","",IF(O1193&lt;=30,"0-30 dias",IF(O1193&lt;=60,"31-60 dias",IF(O1193&lt;=90,"61-90 dias","Mais de 90 dias"))))</f>
        <v/>
      </c>
      <c r="O1193">
        <f>IF(OR(M1193="Pendente",M1193="Em andamento"),IF(J1193="","",TODAY()-J1193),"")</f>
        <v/>
      </c>
      <c r="P1193" t="n">
        <v>11487</v>
      </c>
      <c r="Q1193" t="inlineStr">
        <is>
          <t>Assistência Técnica Manutenção (11487)</t>
        </is>
      </c>
      <c r="R1193" t="inlineStr">
        <is>
          <t>PC-0046</t>
        </is>
      </c>
      <c r="S1193" t="inlineStr">
        <is>
          <t>Sensor de nível modelo 02</t>
        </is>
      </c>
      <c r="T1193" t="n">
        <v>1</v>
      </c>
      <c r="U1193" t="n">
        <v>104</v>
      </c>
      <c r="V1193">
        <f>IF(J1193="","",MONTH(J1193))</f>
        <v/>
      </c>
      <c r="W1193">
        <f>IF(J1193="","",YEAR(J1193))</f>
        <v/>
      </c>
      <c r="X1193" t="inlineStr">
        <is>
          <t>EntregaJá</t>
        </is>
      </c>
      <c r="Y1193">
        <f>IFERROR(INDEX(Rastreio!$H$2:$H$200,MATCH(X1193&amp;"|"&amp;U1193,Rastreio!$A$2:$A$200,0)),"")</f>
        <v/>
      </c>
    </row>
    <row r="1194">
      <c r="A1194">
        <f>IFERROR(INDEX(STAs!$G$2:$G$61,MATCH(P1194,STAs!$F$2:$F$61,0))&amp;"","")</f>
        <v/>
      </c>
      <c r="B1194" t="n">
        <v>20001115</v>
      </c>
      <c r="C1194" t="inlineStr">
        <is>
          <t>Não</t>
        </is>
      </c>
      <c r="D1194" t="inlineStr">
        <is>
          <t>RJ</t>
        </is>
      </c>
      <c r="E1194" t="inlineStr">
        <is>
          <t>SUDESTE RJ e ES</t>
        </is>
      </c>
      <c r="F1194" t="inlineStr">
        <is>
          <t>Cliente C - Misturador</t>
        </is>
      </c>
      <c r="G1194" t="inlineStr">
        <is>
          <t>Misturadores</t>
        </is>
      </c>
      <c r="H1194" s="10" t="n">
        <v>60</v>
      </c>
      <c r="I1194" s="10">
        <f>IFERROR(T1194*H1194,0)</f>
        <v/>
      </c>
      <c r="J1194" s="11" t="n">
        <v>46123</v>
      </c>
      <c r="K1194" s="11" t="n"/>
      <c r="L1194" t="inlineStr">
        <is>
          <t>Não Devolve-Norte</t>
        </is>
      </c>
      <c r="M1194">
        <f>IF(L1194="","",IFERROR(VLOOKUP(L1194,mapGrupoStatus,2,0),"Outros"))</f>
        <v/>
      </c>
      <c r="N1194">
        <f>IF(O1194="","",IF(O1194&lt;=30,"0-30 dias",IF(O1194&lt;=60,"31-60 dias",IF(O1194&lt;=90,"61-90 dias","Mais de 90 dias"))))</f>
        <v/>
      </c>
      <c r="O1194">
        <f>IF(OR(M1194="Pendente",M1194="Em andamento"),IF(J1194="","",TODAY()-J1194),"")</f>
        <v/>
      </c>
      <c r="P1194" t="n">
        <v>10676</v>
      </c>
      <c r="Q1194" t="inlineStr">
        <is>
          <t>Clima Serviços (10676)</t>
        </is>
      </c>
      <c r="R1194" t="inlineStr">
        <is>
          <t>PC-0048</t>
        </is>
      </c>
      <c r="S1194" t="inlineStr">
        <is>
          <t>Sensor de nível modelo 04</t>
        </is>
      </c>
      <c r="T1194" t="n">
        <v>1</v>
      </c>
      <c r="U1194" t="inlineStr"/>
      <c r="V1194">
        <f>IF(J1194="","",MONTH(J1194))</f>
        <v/>
      </c>
      <c r="W1194">
        <f>IF(J1194="","",YEAR(J1194))</f>
        <v/>
      </c>
      <c r="X1194" t="inlineStr"/>
      <c r="Y1194">
        <f>IFERROR(INDEX(Rastreio!$H$2:$H$200,MATCH(X1194&amp;"|"&amp;U1194,Rastreio!$A$2:$A$200,0)),"")</f>
        <v/>
      </c>
    </row>
    <row r="1195">
      <c r="A1195">
        <f>IFERROR(INDEX(STAs!$G$2:$G$61,MATCH(P1195,STAs!$F$2:$F$61,0))&amp;"","")</f>
        <v/>
      </c>
      <c r="B1195" t="n">
        <v>20005144</v>
      </c>
      <c r="C1195" t="inlineStr">
        <is>
          <t>Não</t>
        </is>
      </c>
      <c r="D1195" t="inlineStr">
        <is>
          <t>PR</t>
        </is>
      </c>
      <c r="E1195" t="inlineStr">
        <is>
          <t>SUL</t>
        </is>
      </c>
      <c r="F1195" t="inlineStr">
        <is>
          <t>Cliente A - Refrigerador</t>
        </is>
      </c>
      <c r="G1195" t="inlineStr">
        <is>
          <t>Refrigeradores</t>
        </is>
      </c>
      <c r="H1195" s="10" t="n">
        <v>50</v>
      </c>
      <c r="I1195" s="10">
        <f>IFERROR(T1195*H1195,0)</f>
        <v/>
      </c>
      <c r="J1195" s="11" t="n">
        <v>46123</v>
      </c>
      <c r="K1195" s="11" t="n"/>
      <c r="L1195" t="inlineStr">
        <is>
          <t>Em andamento</t>
        </is>
      </c>
      <c r="M1195">
        <f>IF(L1195="","",IFERROR(VLOOKUP(L1195,mapGrupoStatus,2,0),"Outros"))</f>
        <v/>
      </c>
      <c r="N1195">
        <f>IF(O1195="","",IF(O1195&lt;=30,"0-30 dias",IF(O1195&lt;=60,"31-60 dias",IF(O1195&lt;=90,"61-90 dias","Mais de 90 dias"))))</f>
        <v/>
      </c>
      <c r="O1195">
        <f>IF(OR(M1195="Pendente",M1195="Em andamento"),IF(J1195="","",TODAY()-J1195),"")</f>
        <v/>
      </c>
      <c r="P1195" t="n">
        <v>10504</v>
      </c>
      <c r="Q1195" t="inlineStr">
        <is>
          <t>Zero Grau Ltda (10504)</t>
        </is>
      </c>
      <c r="R1195" t="inlineStr">
        <is>
          <t>PC-0006</t>
        </is>
      </c>
      <c r="S1195" t="inlineStr">
        <is>
          <t>Termostato modelo 03</t>
        </is>
      </c>
      <c r="T1195" t="n">
        <v>2</v>
      </c>
      <c r="U1195" t="n">
        <v>112</v>
      </c>
      <c r="V1195">
        <f>IF(J1195="","",MONTH(J1195))</f>
        <v/>
      </c>
      <c r="W1195">
        <f>IF(J1195="","",YEAR(J1195))</f>
        <v/>
      </c>
      <c r="X1195" t="inlineStr">
        <is>
          <t>ViaCargo</t>
        </is>
      </c>
      <c r="Y1195">
        <f>IFERROR(INDEX(Rastreio!$H$2:$H$200,MATCH(X1195&amp;"|"&amp;U1195,Rastreio!$A$2:$A$200,0)),"")</f>
        <v/>
      </c>
    </row>
    <row r="1196">
      <c r="A1196">
        <f>IFERROR(INDEX(STAs!$G$2:$G$61,MATCH(P1196,STAs!$F$2:$F$61,0))&amp;"","")</f>
        <v/>
      </c>
      <c r="B1196" t="n">
        <v>20005406</v>
      </c>
      <c r="C1196" t="inlineStr">
        <is>
          <t>Não</t>
        </is>
      </c>
      <c r="D1196" t="inlineStr">
        <is>
          <t>RR</t>
        </is>
      </c>
      <c r="E1196" t="inlineStr">
        <is>
          <t>NORTE</t>
        </is>
      </c>
      <c r="F1196" t="inlineStr">
        <is>
          <t>Cliente A - Refrigerador</t>
        </is>
      </c>
      <c r="G1196" t="inlineStr">
        <is>
          <t>Refrigeradores</t>
        </is>
      </c>
      <c r="H1196" s="10" t="n">
        <v>40</v>
      </c>
      <c r="I1196" s="10">
        <f>IFERROR(T1196*H1196,0)</f>
        <v/>
      </c>
      <c r="J1196" s="11" t="n">
        <v>46123</v>
      </c>
      <c r="K1196" s="11" t="n"/>
      <c r="L1196" t="inlineStr">
        <is>
          <t>Não Devolve-Norte</t>
        </is>
      </c>
      <c r="M1196">
        <f>IF(L1196="","",IFERROR(VLOOKUP(L1196,mapGrupoStatus,2,0),"Outros"))</f>
        <v/>
      </c>
      <c r="N1196">
        <f>IF(O1196="","",IF(O1196&lt;=30,"0-30 dias",IF(O1196&lt;=60,"31-60 dias",IF(O1196&lt;=90,"61-90 dias","Mais de 90 dias"))))</f>
        <v/>
      </c>
      <c r="O1196">
        <f>IF(OR(M1196="Pendente",M1196="Em andamento"),IF(J1196="","",TODAY()-J1196),"")</f>
        <v/>
      </c>
      <c r="P1196" t="n">
        <v>10468</v>
      </c>
      <c r="Q1196" t="inlineStr">
        <is>
          <t>Clima Express (10468)</t>
        </is>
      </c>
      <c r="R1196" t="inlineStr">
        <is>
          <t>PC-0005</t>
        </is>
      </c>
      <c r="S1196" t="inlineStr">
        <is>
          <t>Termostato modelo 02</t>
        </is>
      </c>
      <c r="T1196" t="n">
        <v>1</v>
      </c>
      <c r="U1196" t="inlineStr"/>
      <c r="V1196">
        <f>IF(J1196="","",MONTH(J1196))</f>
        <v/>
      </c>
      <c r="W1196">
        <f>IF(J1196="","",YEAR(J1196))</f>
        <v/>
      </c>
      <c r="X1196" t="inlineStr"/>
      <c r="Y1196">
        <f>IFERROR(INDEX(Rastreio!$H$2:$H$200,MATCH(X1196&amp;"|"&amp;U1196,Rastreio!$A$2:$A$200,0)),"")</f>
        <v/>
      </c>
    </row>
    <row r="1197">
      <c r="A1197">
        <f>IFERROR(INDEX(STAs!$G$2:$G$61,MATCH(P1197,STAs!$F$2:$F$61,0))&amp;"","")</f>
        <v/>
      </c>
      <c r="B1197" t="n">
        <v>20015916</v>
      </c>
      <c r="C1197" t="inlineStr">
        <is>
          <t>Sim</t>
        </is>
      </c>
      <c r="D1197" t="inlineStr">
        <is>
          <t>PR</t>
        </is>
      </c>
      <c r="E1197" t="inlineStr">
        <is>
          <t>SUL</t>
        </is>
      </c>
      <c r="F1197" t="inlineStr">
        <is>
          <t>Cliente C - Misturador</t>
        </is>
      </c>
      <c r="G1197" t="inlineStr">
        <is>
          <t>Refrigeradores</t>
        </is>
      </c>
      <c r="H1197" s="10" t="n">
        <v>35</v>
      </c>
      <c r="I1197" s="10">
        <f>IFERROR(T1197*H1197,0)</f>
        <v/>
      </c>
      <c r="J1197" s="11" t="n">
        <v>46123</v>
      </c>
      <c r="K1197" s="11" t="n"/>
      <c r="L1197" t="inlineStr">
        <is>
          <t>Em transporte</t>
        </is>
      </c>
      <c r="M1197">
        <f>IF(L1197="","",IFERROR(VLOOKUP(L1197,mapGrupoStatus,2,0),"Outros"))</f>
        <v/>
      </c>
      <c r="N1197">
        <f>IF(O1197="","",IF(O1197&lt;=30,"0-30 dias",IF(O1197&lt;=60,"31-60 dias",IF(O1197&lt;=90,"61-90 dias","Mais de 90 dias"))))</f>
        <v/>
      </c>
      <c r="O1197">
        <f>IF(OR(M1197="Pendente",M1197="Em andamento"),IF(J1197="","",TODAY()-J1197),"")</f>
        <v/>
      </c>
      <c r="P1197" t="n">
        <v>10753</v>
      </c>
      <c r="Q1197" t="inlineStr">
        <is>
          <t>Refrigel &amp; Cia (10753)</t>
        </is>
      </c>
      <c r="R1197" t="inlineStr">
        <is>
          <t>PC-0016</t>
        </is>
      </c>
      <c r="S1197" t="inlineStr">
        <is>
          <t>Filtro secador modelo 02</t>
        </is>
      </c>
      <c r="T1197" t="n">
        <v>2</v>
      </c>
      <c r="U1197" t="n">
        <v>127</v>
      </c>
      <c r="V1197">
        <f>IF(J1197="","",MONTH(J1197))</f>
        <v/>
      </c>
      <c r="W1197">
        <f>IF(J1197="","",YEAR(J1197))</f>
        <v/>
      </c>
      <c r="X1197" t="inlineStr">
        <is>
          <t>CargoMax</t>
        </is>
      </c>
      <c r="Y1197">
        <f>IFERROR(INDEX(Rastreio!$H$2:$H$200,MATCH(X1197&amp;"|"&amp;U1197,Rastreio!$A$2:$A$200,0)),"")</f>
        <v/>
      </c>
    </row>
    <row r="1198">
      <c r="A1198">
        <f>IFERROR(INDEX(STAs!$G$2:$G$61,MATCH(P1198,STAs!$F$2:$F$61,0))&amp;"","")</f>
        <v/>
      </c>
      <c r="B1198" t="n">
        <v>20023339</v>
      </c>
      <c r="C1198" t="inlineStr">
        <is>
          <t>Não</t>
        </is>
      </c>
      <c r="D1198" t="inlineStr">
        <is>
          <t>GO</t>
        </is>
      </c>
      <c r="E1198" t="inlineStr">
        <is>
          <t>CENTRO OESTE</t>
        </is>
      </c>
      <c r="F1198" t="inlineStr">
        <is>
          <t>Cliente C - Misturador</t>
        </is>
      </c>
      <c r="G1198" t="inlineStr">
        <is>
          <t>Refrigeradores</t>
        </is>
      </c>
      <c r="H1198" s="10" t="n">
        <v>155</v>
      </c>
      <c r="I1198" s="10">
        <f>IFERROR(T1198*H1198,0)</f>
        <v/>
      </c>
      <c r="J1198" s="11" t="n">
        <v>46123</v>
      </c>
      <c r="K1198" s="11" t="n"/>
      <c r="L1198" t="inlineStr">
        <is>
          <t>Não Devolve-Norte</t>
        </is>
      </c>
      <c r="M1198">
        <f>IF(L1198="","",IFERROR(VLOOKUP(L1198,mapGrupoStatus,2,0),"Outros"))</f>
        <v/>
      </c>
      <c r="N1198">
        <f>IF(O1198="","",IF(O1198&lt;=30,"0-30 dias",IF(O1198&lt;=60,"31-60 dias",IF(O1198&lt;=90,"61-90 dias","Mais de 90 dias"))))</f>
        <v/>
      </c>
      <c r="O1198">
        <f>IF(OR(M1198="Pendente",M1198="Em andamento"),IF(J1198="","",TODAY()-J1198),"")</f>
        <v/>
      </c>
      <c r="P1198" t="n">
        <v>12007</v>
      </c>
      <c r="Q1198" t="inlineStr">
        <is>
          <t>Refrigel Ltda (12007)</t>
        </is>
      </c>
      <c r="R1198" t="inlineStr">
        <is>
          <t>PC-0022</t>
        </is>
      </c>
      <c r="S1198" t="inlineStr">
        <is>
          <t>Controlador digital modelo 02</t>
        </is>
      </c>
      <c r="T1198" t="n">
        <v>1</v>
      </c>
      <c r="U1198" t="inlineStr"/>
      <c r="V1198">
        <f>IF(J1198="","",MONTH(J1198))</f>
        <v/>
      </c>
      <c r="W1198">
        <f>IF(J1198="","",YEAR(J1198))</f>
        <v/>
      </c>
      <c r="X1198" t="inlineStr"/>
      <c r="Y1198">
        <f>IFERROR(INDEX(Rastreio!$H$2:$H$200,MATCH(X1198&amp;"|"&amp;U1198,Rastreio!$A$2:$A$200,0)),"")</f>
        <v/>
      </c>
    </row>
    <row r="1199">
      <c r="A1199">
        <f>IFERROR(INDEX(STAs!$G$2:$G$61,MATCH(P1199,STAs!$F$2:$F$61,0))&amp;"","")</f>
        <v/>
      </c>
      <c r="B1199" t="n">
        <v>20023629</v>
      </c>
      <c r="C1199" t="inlineStr">
        <is>
          <t>Não</t>
        </is>
      </c>
      <c r="D1199" t="inlineStr">
        <is>
          <t>MG</t>
        </is>
      </c>
      <c r="E1199" t="inlineStr">
        <is>
          <t>SUDESTE MG</t>
        </is>
      </c>
      <c r="F1199" t="inlineStr">
        <is>
          <t>Cliente A - Refrigerador</t>
        </is>
      </c>
      <c r="G1199" t="inlineStr">
        <is>
          <t>Refrigeradores</t>
        </is>
      </c>
      <c r="H1199" s="10" t="n">
        <v>65</v>
      </c>
      <c r="I1199" s="10">
        <f>IFERROR(T1199*H1199,0)</f>
        <v/>
      </c>
      <c r="J1199" s="11" t="n">
        <v>46123</v>
      </c>
      <c r="K1199" s="11" t="n">
        <v>46166</v>
      </c>
      <c r="L1199" t="inlineStr">
        <is>
          <t>Ok. Devolvida</t>
        </is>
      </c>
      <c r="M1199">
        <f>IF(L1199="","",IFERROR(VLOOKUP(L1199,mapGrupoStatus,2,0),"Outros"))</f>
        <v/>
      </c>
      <c r="N1199">
        <f>IF(O1199="","",IF(O1199&lt;=30,"0-30 dias",IF(O1199&lt;=60,"31-60 dias",IF(O1199&lt;=90,"61-90 dias","Mais de 90 dias"))))</f>
        <v/>
      </c>
      <c r="O1199">
        <f>IF(OR(M1199="Pendente",M1199="Em andamento"),IF(J1199="","",TODAY()-J1199),"")</f>
        <v/>
      </c>
      <c r="P1199" t="n">
        <v>12470</v>
      </c>
      <c r="Q1199" t="inlineStr">
        <is>
          <t>Cool Service Técnica (12470)</t>
        </is>
      </c>
      <c r="R1199" t="inlineStr">
        <is>
          <t>PC-0010</t>
        </is>
      </c>
      <c r="S1199" t="inlineStr">
        <is>
          <t>Ventilador modelo 04</t>
        </is>
      </c>
      <c r="T1199" t="n">
        <v>1</v>
      </c>
      <c r="U1199" t="n">
        <v>139</v>
      </c>
      <c r="V1199">
        <f>IF(J1199="","",MONTH(J1199))</f>
        <v/>
      </c>
      <c r="W1199">
        <f>IF(J1199="","",YEAR(J1199))</f>
        <v/>
      </c>
      <c r="X1199" t="inlineStr">
        <is>
          <t>TransNorte</t>
        </is>
      </c>
      <c r="Y1199">
        <f>IFERROR(INDEX(Rastreio!$H$2:$H$200,MATCH(X1199&amp;"|"&amp;U1199,Rastreio!$A$2:$A$200,0)),"")</f>
        <v/>
      </c>
    </row>
    <row r="1200">
      <c r="A1200">
        <f>IFERROR(INDEX(STAs!$G$2:$G$61,MATCH(P1200,STAs!$F$2:$F$61,0))&amp;"","")</f>
        <v/>
      </c>
      <c r="B1200" t="n">
        <v>20028700</v>
      </c>
      <c r="C1200" t="inlineStr">
        <is>
          <t>Não</t>
        </is>
      </c>
      <c r="D1200" t="inlineStr">
        <is>
          <t>DF</t>
        </is>
      </c>
      <c r="E1200" t="inlineStr">
        <is>
          <t>CENTRO OESTE</t>
        </is>
      </c>
      <c r="F1200" t="inlineStr">
        <is>
          <t>Cliente C - Misturador</t>
        </is>
      </c>
      <c r="G1200" t="inlineStr">
        <is>
          <t>Refrigeradores</t>
        </is>
      </c>
      <c r="H1200" s="10" t="n">
        <v>155</v>
      </c>
      <c r="I1200" s="10">
        <f>IFERROR(T1200*H1200,0)</f>
        <v/>
      </c>
      <c r="J1200" s="11" t="n">
        <v>46123</v>
      </c>
      <c r="K1200" s="11" t="n"/>
      <c r="L1200" t="inlineStr">
        <is>
          <t>Aguardando devolução</t>
        </is>
      </c>
      <c r="M1200">
        <f>IF(L1200="","",IFERROR(VLOOKUP(L1200,mapGrupoStatus,2,0),"Outros"))</f>
        <v/>
      </c>
      <c r="N1200">
        <f>IF(O1200="","",IF(O1200&lt;=30,"0-30 dias",IF(O1200&lt;=60,"31-60 dias",IF(O1200&lt;=90,"61-90 dias","Mais de 90 dias"))))</f>
        <v/>
      </c>
      <c r="O1200">
        <f>IF(OR(M1200="Pendente",M1200="Em andamento"),IF(J1200="","",TODAY()-J1200),"")</f>
        <v/>
      </c>
      <c r="P1200" t="n">
        <v>10021</v>
      </c>
      <c r="Q1200" t="inlineStr">
        <is>
          <t>Termotec Técnica (10021)</t>
        </is>
      </c>
      <c r="R1200" t="inlineStr">
        <is>
          <t>PC-0022</t>
        </is>
      </c>
      <c r="S1200" t="inlineStr">
        <is>
          <t>Controlador digital modelo 02</t>
        </is>
      </c>
      <c r="T1200" t="n">
        <v>2</v>
      </c>
      <c r="U1200" t="inlineStr"/>
      <c r="V1200">
        <f>IF(J1200="","",MONTH(J1200))</f>
        <v/>
      </c>
      <c r="W1200">
        <f>IF(J1200="","",YEAR(J1200))</f>
        <v/>
      </c>
      <c r="X1200" t="inlineStr"/>
      <c r="Y1200">
        <f>IFERROR(INDEX(Rastreio!$H$2:$H$200,MATCH(X1200&amp;"|"&amp;U1200,Rastreio!$A$2:$A$200,0)),"")</f>
        <v/>
      </c>
    </row>
    <row r="1201">
      <c r="A1201">
        <f>IFERROR(INDEX(STAs!$G$2:$G$61,MATCH(P1201,STAs!$F$2:$F$61,0))&amp;"","")</f>
        <v/>
      </c>
      <c r="B1201" t="n">
        <v>20039234</v>
      </c>
      <c r="C1201" t="inlineStr">
        <is>
          <t>Não</t>
        </is>
      </c>
      <c r="D1201" t="inlineStr">
        <is>
          <t>AM</t>
        </is>
      </c>
      <c r="E1201" t="inlineStr">
        <is>
          <t>NORTE</t>
        </is>
      </c>
      <c r="F1201" t="inlineStr">
        <is>
          <t>Cliente B - Chopeira</t>
        </is>
      </c>
      <c r="G1201" t="inlineStr">
        <is>
          <t>Refrigeradores</t>
        </is>
      </c>
      <c r="H1201" s="10" t="n">
        <v>315</v>
      </c>
      <c r="I1201" s="10">
        <f>IFERROR(T1201*H1201,0)</f>
        <v/>
      </c>
      <c r="J1201" s="11" t="n">
        <v>46123</v>
      </c>
      <c r="K1201" s="11" t="n"/>
      <c r="L1201" t="inlineStr">
        <is>
          <t>Aguardando devolução</t>
        </is>
      </c>
      <c r="M1201">
        <f>IF(L1201="","",IFERROR(VLOOKUP(L1201,mapGrupoStatus,2,0),"Outros"))</f>
        <v/>
      </c>
      <c r="N1201">
        <f>IF(O1201="","",IF(O1201&lt;=30,"0-30 dias",IF(O1201&lt;=60,"31-60 dias",IF(O1201&lt;=90,"61-90 dias","Mais de 90 dias"))))</f>
        <v/>
      </c>
      <c r="O1201">
        <f>IF(OR(M1201="Pendente",M1201="Em andamento"),IF(J1201="","",TODAY()-J1201),"")</f>
        <v/>
      </c>
      <c r="P1201" t="n">
        <v>12269</v>
      </c>
      <c r="Q1201" t="inlineStr">
        <is>
          <t>Polar Técnica (12269)</t>
        </is>
      </c>
      <c r="R1201" t="inlineStr">
        <is>
          <t>PC-0002</t>
        </is>
      </c>
      <c r="S1201" t="inlineStr">
        <is>
          <t>Compressor modelo 02</t>
        </is>
      </c>
      <c r="T1201" t="n">
        <v>2</v>
      </c>
      <c r="U1201" t="inlineStr"/>
      <c r="V1201">
        <f>IF(J1201="","",MONTH(J1201))</f>
        <v/>
      </c>
      <c r="W1201">
        <f>IF(J1201="","",YEAR(J1201))</f>
        <v/>
      </c>
      <c r="X1201" t="inlineStr"/>
      <c r="Y1201">
        <f>IFERROR(INDEX(Rastreio!$H$2:$H$200,MATCH(X1201&amp;"|"&amp;U1201,Rastreio!$A$2:$A$200,0)),"")</f>
        <v/>
      </c>
    </row>
    <row r="1202">
      <c r="A1202">
        <f>IFERROR(INDEX(STAs!$G$2:$G$61,MATCH(P1202,STAs!$F$2:$F$61,0))&amp;"","")</f>
        <v/>
      </c>
      <c r="B1202" t="n">
        <v>20000755</v>
      </c>
      <c r="C1202" t="inlineStr">
        <is>
          <t>Sim</t>
        </is>
      </c>
      <c r="D1202" t="inlineStr">
        <is>
          <t>PR</t>
        </is>
      </c>
      <c r="E1202" t="inlineStr">
        <is>
          <t>SUL</t>
        </is>
      </c>
      <c r="F1202" t="inlineStr">
        <is>
          <t>Cliente B - Chopeira</t>
        </is>
      </c>
      <c r="G1202" t="inlineStr">
        <is>
          <t>Refrigeradores</t>
        </is>
      </c>
      <c r="H1202" s="10" t="n">
        <v>175</v>
      </c>
      <c r="I1202" s="10">
        <f>IFERROR(T1202*H1202,0)</f>
        <v/>
      </c>
      <c r="J1202" s="11" t="n">
        <v>46124</v>
      </c>
      <c r="K1202" s="11" t="n"/>
      <c r="L1202" t="inlineStr">
        <is>
          <t>Em andamento</t>
        </is>
      </c>
      <c r="M1202">
        <f>IF(L1202="","",IFERROR(VLOOKUP(L1202,mapGrupoStatus,2,0),"Outros"))</f>
        <v/>
      </c>
      <c r="N1202">
        <f>IF(O1202="","",IF(O1202&lt;=30,"0-30 dias",IF(O1202&lt;=60,"31-60 dias",IF(O1202&lt;=90,"61-90 dias","Mais de 90 dias"))))</f>
        <v/>
      </c>
      <c r="O1202">
        <f>IF(OR(M1202="Pendente",M1202="Em andamento"),IF(J1202="","",TODAY()-J1202),"")</f>
        <v/>
      </c>
      <c r="P1202" t="n">
        <v>10913</v>
      </c>
      <c r="Q1202" t="inlineStr">
        <is>
          <t>Ice Tech &amp; Cia (10913)</t>
        </is>
      </c>
      <c r="R1202" t="inlineStr">
        <is>
          <t>PC-0012</t>
        </is>
      </c>
      <c r="S1202" t="inlineStr">
        <is>
          <t>Placa eletrônica modelo 02</t>
        </is>
      </c>
      <c r="T1202" t="n">
        <v>1</v>
      </c>
      <c r="U1202" t="n">
        <v>102</v>
      </c>
      <c r="V1202">
        <f>IF(J1202="","",MONTH(J1202))</f>
        <v/>
      </c>
      <c r="W1202">
        <f>IF(J1202="","",YEAR(J1202))</f>
        <v/>
      </c>
      <c r="X1202" t="inlineStr">
        <is>
          <t>RotaSul</t>
        </is>
      </c>
      <c r="Y1202">
        <f>IFERROR(INDEX(Rastreio!$H$2:$H$200,MATCH(X1202&amp;"|"&amp;U1202,Rastreio!$A$2:$A$200,0)),"")</f>
        <v/>
      </c>
    </row>
    <row r="1203">
      <c r="A1203">
        <f>IFERROR(INDEX(STAs!$G$2:$G$61,MATCH(P1203,STAs!$F$2:$F$61,0))&amp;"","")</f>
        <v/>
      </c>
      <c r="B1203" t="n">
        <v>20017503</v>
      </c>
      <c r="C1203" t="inlineStr">
        <is>
          <t>Não</t>
        </is>
      </c>
      <c r="D1203" t="inlineStr">
        <is>
          <t>PR</t>
        </is>
      </c>
      <c r="E1203" t="inlineStr">
        <is>
          <t>SUL</t>
        </is>
      </c>
      <c r="F1203" t="inlineStr">
        <is>
          <t>Cliente C - Misturador</t>
        </is>
      </c>
      <c r="G1203" t="inlineStr">
        <is>
          <t>Refrigeradores</t>
        </is>
      </c>
      <c r="H1203" s="10" t="n">
        <v>35</v>
      </c>
      <c r="I1203" s="10">
        <f>IFERROR(T1203*H1203,0)</f>
        <v/>
      </c>
      <c r="J1203" s="11" t="n">
        <v>46124</v>
      </c>
      <c r="K1203" s="11" t="n">
        <v>46169</v>
      </c>
      <c r="L1203" t="inlineStr">
        <is>
          <t>Ok. Devolvida</t>
        </is>
      </c>
      <c r="M1203">
        <f>IF(L1203="","",IFERROR(VLOOKUP(L1203,mapGrupoStatus,2,0),"Outros"))</f>
        <v/>
      </c>
      <c r="N1203">
        <f>IF(O1203="","",IF(O1203&lt;=30,"0-30 dias",IF(O1203&lt;=60,"31-60 dias",IF(O1203&lt;=90,"61-90 dias","Mais de 90 dias"))))</f>
        <v/>
      </c>
      <c r="O1203">
        <f>IF(OR(M1203="Pendente",M1203="Em andamento"),IF(J1203="","",TODAY()-J1203),"")</f>
        <v/>
      </c>
      <c r="P1203" t="n">
        <v>11898</v>
      </c>
      <c r="Q1203" t="inlineStr">
        <is>
          <t>Refrigel Express (11898)</t>
        </is>
      </c>
      <c r="R1203" t="inlineStr">
        <is>
          <t>PC-0020</t>
        </is>
      </c>
      <c r="S1203" t="inlineStr">
        <is>
          <t>Gaxeta da porta modelo 03</t>
        </is>
      </c>
      <c r="T1203" t="n">
        <v>1</v>
      </c>
      <c r="U1203" t="n">
        <v>131</v>
      </c>
      <c r="V1203">
        <f>IF(J1203="","",MONTH(J1203))</f>
        <v/>
      </c>
      <c r="W1203">
        <f>IF(J1203="","",YEAR(J1203))</f>
        <v/>
      </c>
      <c r="X1203" t="inlineStr">
        <is>
          <t>LogExpress</t>
        </is>
      </c>
      <c r="Y1203">
        <f>IFERROR(INDEX(Rastreio!$H$2:$H$200,MATCH(X1203&amp;"|"&amp;U1203,Rastreio!$A$2:$A$200,0)),"")</f>
        <v/>
      </c>
    </row>
    <row r="1204">
      <c r="A1204">
        <f>IFERROR(INDEX(STAs!$G$2:$G$61,MATCH(P1204,STAs!$F$2:$F$61,0))&amp;"","")</f>
        <v/>
      </c>
      <c r="B1204" t="n">
        <v>20020177</v>
      </c>
      <c r="C1204" t="inlineStr">
        <is>
          <t>Não</t>
        </is>
      </c>
      <c r="D1204" t="inlineStr">
        <is>
          <t>MG</t>
        </is>
      </c>
      <c r="E1204" t="inlineStr">
        <is>
          <t>SUDESTE MG</t>
        </is>
      </c>
      <c r="F1204" t="inlineStr">
        <is>
          <t>Cliente B - Chopeira</t>
        </is>
      </c>
      <c r="G1204" t="inlineStr">
        <is>
          <t>Refrigeradores</t>
        </is>
      </c>
      <c r="H1204" s="10" t="n">
        <v>315</v>
      </c>
      <c r="I1204" s="10">
        <f>IFERROR(T1204*H1204,0)</f>
        <v/>
      </c>
      <c r="J1204" s="11" t="n">
        <v>46124</v>
      </c>
      <c r="K1204" s="11" t="n">
        <v>46130</v>
      </c>
      <c r="L1204" t="inlineStr">
        <is>
          <t>Ok. Devolvida</t>
        </is>
      </c>
      <c r="M1204">
        <f>IF(L1204="","",IFERROR(VLOOKUP(L1204,mapGrupoStatus,2,0),"Outros"))</f>
        <v/>
      </c>
      <c r="N1204">
        <f>IF(O1204="","",IF(O1204&lt;=30,"0-30 dias",IF(O1204&lt;=60,"31-60 dias",IF(O1204&lt;=90,"61-90 dias","Mais de 90 dias"))))</f>
        <v/>
      </c>
      <c r="O1204">
        <f>IF(OR(M1204="Pendente",M1204="Em andamento"),IF(J1204="","",TODAY()-J1204),"")</f>
        <v/>
      </c>
      <c r="P1204" t="n">
        <v>12689</v>
      </c>
      <c r="Q1204" t="inlineStr">
        <is>
          <t>Norte Frio Manutenção (12689)</t>
        </is>
      </c>
      <c r="R1204" t="inlineStr">
        <is>
          <t>PC-0002</t>
        </is>
      </c>
      <c r="S1204" t="inlineStr">
        <is>
          <t>Compressor modelo 02</t>
        </is>
      </c>
      <c r="T1204" t="n">
        <v>1</v>
      </c>
      <c r="U1204" t="n">
        <v>138</v>
      </c>
      <c r="V1204">
        <f>IF(J1204="","",MONTH(J1204))</f>
        <v/>
      </c>
      <c r="W1204">
        <f>IF(J1204="","",YEAR(J1204))</f>
        <v/>
      </c>
      <c r="X1204" t="inlineStr">
        <is>
          <t>CargoMax</t>
        </is>
      </c>
      <c r="Y1204">
        <f>IFERROR(INDEX(Rastreio!$H$2:$H$200,MATCH(X1204&amp;"|"&amp;U1204,Rastreio!$A$2:$A$200,0)),"")</f>
        <v/>
      </c>
    </row>
    <row r="1205">
      <c r="A1205">
        <f>IFERROR(INDEX(STAs!$G$2:$G$61,MATCH(P1205,STAs!$F$2:$F$61,0))&amp;"","")</f>
        <v/>
      </c>
      <c r="B1205" t="n">
        <v>20029274</v>
      </c>
      <c r="C1205" t="inlineStr">
        <is>
          <t>Não</t>
        </is>
      </c>
      <c r="D1205" t="inlineStr">
        <is>
          <t>RS</t>
        </is>
      </c>
      <c r="E1205" t="inlineStr">
        <is>
          <t>SUL</t>
        </is>
      </c>
      <c r="F1205" t="inlineStr">
        <is>
          <t>Cliente A - Refrigerador</t>
        </is>
      </c>
      <c r="G1205" t="inlineStr">
        <is>
          <t>Chopeiras</t>
        </is>
      </c>
      <c r="H1205" s="10" t="n">
        <v>100</v>
      </c>
      <c r="I1205" s="10">
        <f>IFERROR(T1205*H1205,0)</f>
        <v/>
      </c>
      <c r="J1205" s="11" t="n">
        <v>46124</v>
      </c>
      <c r="K1205" s="11" t="n">
        <v>46159</v>
      </c>
      <c r="L1205" t="inlineStr">
        <is>
          <t>Ok. Devolvida</t>
        </is>
      </c>
      <c r="M1205">
        <f>IF(L1205="","",IFERROR(VLOOKUP(L1205,mapGrupoStatus,2,0),"Outros"))</f>
        <v/>
      </c>
      <c r="N1205">
        <f>IF(O1205="","",IF(O1205&lt;=30,"0-30 dias",IF(O1205&lt;=60,"31-60 dias",IF(O1205&lt;=90,"61-90 dias","Mais de 90 dias"))))</f>
        <v/>
      </c>
      <c r="O1205">
        <f>IF(OR(M1205="Pendente",M1205="Em andamento"),IF(J1205="","",TODAY()-J1205),"")</f>
        <v/>
      </c>
      <c r="P1205" t="n">
        <v>11459</v>
      </c>
      <c r="Q1205" t="inlineStr">
        <is>
          <t>Frio ME (11459)</t>
        </is>
      </c>
      <c r="R1205" t="inlineStr">
        <is>
          <t>PC-0027</t>
        </is>
      </c>
      <c r="S1205" t="inlineStr">
        <is>
          <t>Torneira de chopp modelo 02</t>
        </is>
      </c>
      <c r="T1205" t="n">
        <v>1</v>
      </c>
      <c r="U1205" t="n">
        <v>142</v>
      </c>
      <c r="V1205">
        <f>IF(J1205="","",MONTH(J1205))</f>
        <v/>
      </c>
      <c r="W1205">
        <f>IF(J1205="","",YEAR(J1205))</f>
        <v/>
      </c>
      <c r="X1205" t="inlineStr">
        <is>
          <t>EntregaJá</t>
        </is>
      </c>
      <c r="Y1205">
        <f>IFERROR(INDEX(Rastreio!$H$2:$H$200,MATCH(X1205&amp;"|"&amp;U1205,Rastreio!$A$2:$A$200,0)),"")</f>
        <v/>
      </c>
    </row>
    <row r="1206">
      <c r="A1206">
        <f>IFERROR(INDEX(STAs!$G$2:$G$61,MATCH(P1206,STAs!$F$2:$F$61,0))&amp;"","")</f>
        <v/>
      </c>
      <c r="B1206" t="n">
        <v>20031002</v>
      </c>
      <c r="C1206" t="inlineStr">
        <is>
          <t>Não</t>
        </is>
      </c>
      <c r="D1206" t="inlineStr">
        <is>
          <t>SP</t>
        </is>
      </c>
      <c r="E1206" t="inlineStr">
        <is>
          <t>SUDESTE SP</t>
        </is>
      </c>
      <c r="F1206" t="inlineStr">
        <is>
          <t>Cliente B - Chopeira</t>
        </is>
      </c>
      <c r="G1206" t="inlineStr">
        <is>
          <t>Refrigeradores</t>
        </is>
      </c>
      <c r="H1206" s="10" t="n">
        <v>35</v>
      </c>
      <c r="I1206" s="10">
        <f>IFERROR(T1206*H1206,0)</f>
        <v/>
      </c>
      <c r="J1206" s="11" t="n">
        <v>46124</v>
      </c>
      <c r="K1206" s="11" t="n">
        <v>46144</v>
      </c>
      <c r="L1206" t="inlineStr">
        <is>
          <t>Ok. Devolvida</t>
        </is>
      </c>
      <c r="M1206">
        <f>IF(L1206="","",IFERROR(VLOOKUP(L1206,mapGrupoStatus,2,0),"Outros"))</f>
        <v/>
      </c>
      <c r="N1206">
        <f>IF(O1206="","",IF(O1206&lt;=30,"0-30 dias",IF(O1206&lt;=60,"31-60 dias",IF(O1206&lt;=90,"61-90 dias","Mais de 90 dias"))))</f>
        <v/>
      </c>
      <c r="O1206">
        <f>IF(OR(M1206="Pendente",M1206="Em andamento"),IF(J1206="","",TODAY()-J1206),"")</f>
        <v/>
      </c>
      <c r="P1206" t="n">
        <v>10538</v>
      </c>
      <c r="Q1206" t="inlineStr">
        <is>
          <t>Frio Refrigeração (10538)</t>
        </is>
      </c>
      <c r="R1206" t="inlineStr">
        <is>
          <t>PC-0016</t>
        </is>
      </c>
      <c r="S1206" t="inlineStr">
        <is>
          <t>Filtro secador modelo 02</t>
        </is>
      </c>
      <c r="T1206" t="n">
        <v>1</v>
      </c>
      <c r="U1206" t="n">
        <v>154</v>
      </c>
      <c r="V1206">
        <f>IF(J1206="","",MONTH(J1206))</f>
        <v/>
      </c>
      <c r="W1206">
        <f>IF(J1206="","",YEAR(J1206))</f>
        <v/>
      </c>
      <c r="X1206" t="inlineStr">
        <is>
          <t>TransNorte</t>
        </is>
      </c>
      <c r="Y1206">
        <f>IFERROR(INDEX(Rastreio!$H$2:$H$200,MATCH(X1206&amp;"|"&amp;U1206,Rastreio!$A$2:$A$200,0)),"")</f>
        <v/>
      </c>
    </row>
    <row r="1207">
      <c r="A1207">
        <f>IFERROR(INDEX(STAs!$G$2:$G$61,MATCH(P1207,STAs!$F$2:$F$61,0))&amp;"","")</f>
        <v/>
      </c>
      <c r="B1207" t="n">
        <v>20038769</v>
      </c>
      <c r="C1207" t="inlineStr">
        <is>
          <t>Sim</t>
        </is>
      </c>
      <c r="D1207" t="inlineStr">
        <is>
          <t>PR</t>
        </is>
      </c>
      <c r="E1207" t="inlineStr">
        <is>
          <t>SUL</t>
        </is>
      </c>
      <c r="F1207" t="inlineStr">
        <is>
          <t>Cliente C - Misturador</t>
        </is>
      </c>
      <c r="G1207" t="inlineStr">
        <is>
          <t>Refrigeradores</t>
        </is>
      </c>
      <c r="H1207" s="10" t="n">
        <v>190</v>
      </c>
      <c r="I1207" s="10">
        <f>IFERROR(T1207*H1207,0)</f>
        <v/>
      </c>
      <c r="J1207" s="11" t="n">
        <v>46124</v>
      </c>
      <c r="K1207" s="11" t="n"/>
      <c r="L1207" t="inlineStr">
        <is>
          <t>Aguardando devolução</t>
        </is>
      </c>
      <c r="M1207">
        <f>IF(L1207="","",IFERROR(VLOOKUP(L1207,mapGrupoStatus,2,0),"Outros"))</f>
        <v/>
      </c>
      <c r="N1207">
        <f>IF(O1207="","",IF(O1207&lt;=30,"0-30 dias",IF(O1207&lt;=60,"31-60 dias",IF(O1207&lt;=90,"61-90 dias","Mais de 90 dias"))))</f>
        <v/>
      </c>
      <c r="O1207">
        <f>IF(OR(M1207="Pendente",M1207="Em andamento"),IF(J1207="","",TODAY()-J1207),"")</f>
        <v/>
      </c>
      <c r="P1207" t="n">
        <v>10913</v>
      </c>
      <c r="Q1207" t="inlineStr">
        <is>
          <t>Ice Tech &amp; Cia (10913)</t>
        </is>
      </c>
      <c r="R1207" t="inlineStr">
        <is>
          <t>PC-0014</t>
        </is>
      </c>
      <c r="S1207" t="inlineStr">
        <is>
          <t>Placa eletrônica modelo 04</t>
        </is>
      </c>
      <c r="T1207" t="n">
        <v>1</v>
      </c>
      <c r="U1207" t="inlineStr"/>
      <c r="V1207">
        <f>IF(J1207="","",MONTH(J1207))</f>
        <v/>
      </c>
      <c r="W1207">
        <f>IF(J1207="","",YEAR(J1207))</f>
        <v/>
      </c>
      <c r="X1207" t="inlineStr"/>
      <c r="Y1207">
        <f>IFERROR(INDEX(Rastreio!$H$2:$H$200,MATCH(X1207&amp;"|"&amp;U1207,Rastreio!$A$2:$A$200,0)),"")</f>
        <v/>
      </c>
    </row>
    <row r="1208">
      <c r="A1208">
        <f>IFERROR(INDEX(STAs!$G$2:$G$61,MATCH(P1208,STAs!$F$2:$F$61,0))&amp;"","")</f>
        <v/>
      </c>
      <c r="B1208" t="n">
        <v>20038881</v>
      </c>
      <c r="C1208" t="inlineStr">
        <is>
          <t>Não</t>
        </is>
      </c>
      <c r="D1208" t="inlineStr">
        <is>
          <t>RS</t>
        </is>
      </c>
      <c r="E1208" t="inlineStr">
        <is>
          <t>SUL</t>
        </is>
      </c>
      <c r="F1208" t="inlineStr">
        <is>
          <t>Cliente B - Chopeira</t>
        </is>
      </c>
      <c r="G1208" t="inlineStr">
        <is>
          <t>Chopeiras</t>
        </is>
      </c>
      <c r="H1208" s="10" t="n">
        <v>85</v>
      </c>
      <c r="I1208" s="10">
        <f>IFERROR(T1208*H1208,0)</f>
        <v/>
      </c>
      <c r="J1208" s="11" t="n">
        <v>46124</v>
      </c>
      <c r="K1208" s="11" t="n">
        <v>46143</v>
      </c>
      <c r="L1208" t="inlineStr">
        <is>
          <t>Ok. Devolvida</t>
        </is>
      </c>
      <c r="M1208">
        <f>IF(L1208="","",IFERROR(VLOOKUP(L1208,mapGrupoStatus,2,0),"Outros"))</f>
        <v/>
      </c>
      <c r="N1208">
        <f>IF(O1208="","",IF(O1208&lt;=30,"0-30 dias",IF(O1208&lt;=60,"31-60 dias",IF(O1208&lt;=90,"61-90 dias","Mais de 90 dias"))))</f>
        <v/>
      </c>
      <c r="O1208">
        <f>IF(OR(M1208="Pendente",M1208="Em andamento"),IF(J1208="","",TODAY()-J1208),"")</f>
        <v/>
      </c>
      <c r="P1208" t="n">
        <v>11459</v>
      </c>
      <c r="Q1208" t="inlineStr">
        <is>
          <t>Frio ME (11459)</t>
        </is>
      </c>
      <c r="R1208" t="inlineStr">
        <is>
          <t>PC-0028</t>
        </is>
      </c>
      <c r="S1208" t="inlineStr">
        <is>
          <t>Torneira de chopp modelo 03</t>
        </is>
      </c>
      <c r="T1208" t="n">
        <v>1</v>
      </c>
      <c r="U1208" t="n">
        <v>158</v>
      </c>
      <c r="V1208">
        <f>IF(J1208="","",MONTH(J1208))</f>
        <v/>
      </c>
      <c r="W1208">
        <f>IF(J1208="","",YEAR(J1208))</f>
        <v/>
      </c>
      <c r="X1208" t="inlineStr">
        <is>
          <t>ViaCargo</t>
        </is>
      </c>
      <c r="Y1208">
        <f>IFERROR(INDEX(Rastreio!$H$2:$H$200,MATCH(X1208&amp;"|"&amp;U1208,Rastreio!$A$2:$A$200,0)),"")</f>
        <v/>
      </c>
    </row>
    <row r="1209">
      <c r="A1209">
        <f>IFERROR(INDEX(STAs!$G$2:$G$61,MATCH(P1209,STAs!$F$2:$F$61,0))&amp;"","")</f>
        <v/>
      </c>
      <c r="B1209" t="n">
        <v>20010923</v>
      </c>
      <c r="C1209" t="inlineStr">
        <is>
          <t>Não</t>
        </is>
      </c>
      <c r="D1209" t="inlineStr">
        <is>
          <t>MS</t>
        </is>
      </c>
      <c r="E1209" t="inlineStr">
        <is>
          <t>CENTRO OESTE</t>
        </is>
      </c>
      <c r="F1209" t="inlineStr">
        <is>
          <t>Cliente C - Misturador</t>
        </is>
      </c>
      <c r="G1209" t="inlineStr">
        <is>
          <t>Refrigeradores</t>
        </is>
      </c>
      <c r="H1209" s="10" t="n">
        <v>175</v>
      </c>
      <c r="I1209" s="10">
        <f>IFERROR(T1209*H1209,0)</f>
        <v/>
      </c>
      <c r="J1209" s="11" t="n">
        <v>46125</v>
      </c>
      <c r="K1209" s="11" t="n">
        <v>46184</v>
      </c>
      <c r="L1209" t="inlineStr">
        <is>
          <t>Ok. Devolvida</t>
        </is>
      </c>
      <c r="M1209">
        <f>IF(L1209="","",IFERROR(VLOOKUP(L1209,mapGrupoStatus,2,0),"Outros"))</f>
        <v/>
      </c>
      <c r="N1209">
        <f>IF(O1209="","",IF(O1209&lt;=30,"0-30 dias",IF(O1209&lt;=60,"31-60 dias",IF(O1209&lt;=90,"61-90 dias","Mais de 90 dias"))))</f>
        <v/>
      </c>
      <c r="O1209">
        <f>IF(OR(M1209="Pendente",M1209="Em andamento"),IF(J1209="","",TODAY()-J1209),"")</f>
        <v/>
      </c>
      <c r="P1209" t="n">
        <v>12280</v>
      </c>
      <c r="Q1209" t="inlineStr">
        <is>
          <t>Termotec &amp; Cia (12280)</t>
        </is>
      </c>
      <c r="R1209" t="inlineStr">
        <is>
          <t>PC-0012</t>
        </is>
      </c>
      <c r="S1209" t="inlineStr">
        <is>
          <t>Placa eletrônica modelo 02</t>
        </is>
      </c>
      <c r="T1209" t="n">
        <v>1</v>
      </c>
      <c r="U1209" t="n">
        <v>121</v>
      </c>
      <c r="V1209">
        <f>IF(J1209="","",MONTH(J1209))</f>
        <v/>
      </c>
      <c r="W1209">
        <f>IF(J1209="","",YEAR(J1209))</f>
        <v/>
      </c>
      <c r="X1209" t="inlineStr">
        <is>
          <t>EntregaJá</t>
        </is>
      </c>
      <c r="Y1209">
        <f>IFERROR(INDEX(Rastreio!$H$2:$H$200,MATCH(X1209&amp;"|"&amp;U1209,Rastreio!$A$2:$A$200,0)),"")</f>
        <v/>
      </c>
    </row>
    <row r="1210">
      <c r="A1210">
        <f>IFERROR(INDEX(STAs!$G$2:$G$61,MATCH(P1210,STAs!$F$2:$F$61,0))&amp;"","")</f>
        <v/>
      </c>
      <c r="B1210" t="n">
        <v>20012049</v>
      </c>
      <c r="C1210" t="inlineStr">
        <is>
          <t>Não</t>
        </is>
      </c>
      <c r="D1210" t="inlineStr">
        <is>
          <t>RJ</t>
        </is>
      </c>
      <c r="E1210" t="inlineStr">
        <is>
          <t>SUDESTE RJ e ES</t>
        </is>
      </c>
      <c r="F1210" t="inlineStr">
        <is>
          <t>Cliente B - Chopeira</t>
        </is>
      </c>
      <c r="G1210" t="inlineStr">
        <is>
          <t>Misturadores</t>
        </is>
      </c>
      <c r="H1210" s="10" t="n">
        <v>40</v>
      </c>
      <c r="I1210" s="10">
        <f>IFERROR(T1210*H1210,0)</f>
        <v/>
      </c>
      <c r="J1210" s="11" t="n">
        <v>46125</v>
      </c>
      <c r="K1210" s="11" t="n"/>
      <c r="L1210" t="inlineStr">
        <is>
          <t>Aguardando Transporte</t>
        </is>
      </c>
      <c r="M1210">
        <f>IF(L1210="","",IFERROR(VLOOKUP(L1210,mapGrupoStatus,2,0),"Outros"))</f>
        <v/>
      </c>
      <c r="N1210">
        <f>IF(O1210="","",IF(O1210&lt;=30,"0-30 dias",IF(O1210&lt;=60,"31-60 dias",IF(O1210&lt;=90,"61-90 dias","Mais de 90 dias"))))</f>
        <v/>
      </c>
      <c r="O1210">
        <f>IF(OR(M1210="Pendente",M1210="Em andamento"),IF(J1210="","",TODAY()-J1210),"")</f>
        <v/>
      </c>
      <c r="P1210" t="n">
        <v>12336</v>
      </c>
      <c r="Q1210" t="inlineStr">
        <is>
          <t>Termotec ME (12336)</t>
        </is>
      </c>
      <c r="R1210" t="inlineStr">
        <is>
          <t>PC-0042</t>
        </is>
      </c>
      <c r="S1210" t="inlineStr">
        <is>
          <t>Bico dosador modelo 01</t>
        </is>
      </c>
      <c r="T1210" t="n">
        <v>1</v>
      </c>
      <c r="U1210" t="n">
        <v>122</v>
      </c>
      <c r="V1210">
        <f>IF(J1210="","",MONTH(J1210))</f>
        <v/>
      </c>
      <c r="W1210">
        <f>IF(J1210="","",YEAR(J1210))</f>
        <v/>
      </c>
      <c r="X1210" t="inlineStr">
        <is>
          <t>LogExpress</t>
        </is>
      </c>
      <c r="Y1210">
        <f>IFERROR(INDEX(Rastreio!$H$2:$H$200,MATCH(X1210&amp;"|"&amp;U1210,Rastreio!$A$2:$A$200,0)),"")</f>
        <v/>
      </c>
    </row>
    <row r="1211">
      <c r="A1211">
        <f>IFERROR(INDEX(STAs!$G$2:$G$61,MATCH(P1211,STAs!$F$2:$F$61,0))&amp;"","")</f>
        <v/>
      </c>
      <c r="B1211" t="n">
        <v>20019450</v>
      </c>
      <c r="C1211" t="inlineStr">
        <is>
          <t>Não</t>
        </is>
      </c>
      <c r="D1211" t="inlineStr">
        <is>
          <t>SP</t>
        </is>
      </c>
      <c r="E1211" t="inlineStr">
        <is>
          <t>SUDESTE SP</t>
        </is>
      </c>
      <c r="F1211" t="inlineStr">
        <is>
          <t>Cliente A - Refrigerador</t>
        </is>
      </c>
      <c r="G1211" t="inlineStr">
        <is>
          <t>Refrigeradores</t>
        </is>
      </c>
      <c r="H1211" s="10" t="n">
        <v>55</v>
      </c>
      <c r="I1211" s="10">
        <f>IFERROR(T1211*H1211,0)</f>
        <v/>
      </c>
      <c r="J1211" s="11" t="n">
        <v>46125</v>
      </c>
      <c r="K1211" s="11" t="n"/>
      <c r="L1211" t="inlineStr">
        <is>
          <t>Não Devolve-Norte</t>
        </is>
      </c>
      <c r="M1211">
        <f>IF(L1211="","",IFERROR(VLOOKUP(L1211,mapGrupoStatus,2,0),"Outros"))</f>
        <v/>
      </c>
      <c r="N1211">
        <f>IF(O1211="","",IF(O1211&lt;=30,"0-30 dias",IF(O1211&lt;=60,"31-60 dias",IF(O1211&lt;=90,"61-90 dias","Mais de 90 dias"))))</f>
        <v/>
      </c>
      <c r="O1211">
        <f>IF(OR(M1211="Pendente",M1211="Em andamento"),IF(J1211="","",TODAY()-J1211),"")</f>
        <v/>
      </c>
      <c r="P1211" t="n">
        <v>10413</v>
      </c>
      <c r="Q1211" t="inlineStr">
        <is>
          <t>Polar Manutenção (10413)</t>
        </is>
      </c>
      <c r="R1211" t="inlineStr">
        <is>
          <t>PC-0008</t>
        </is>
      </c>
      <c r="S1211" t="inlineStr">
        <is>
          <t>Ventilador modelo 02</t>
        </is>
      </c>
      <c r="T1211" t="n">
        <v>1</v>
      </c>
      <c r="U1211" t="inlineStr"/>
      <c r="V1211">
        <f>IF(J1211="","",MONTH(J1211))</f>
        <v/>
      </c>
      <c r="W1211">
        <f>IF(J1211="","",YEAR(J1211))</f>
        <v/>
      </c>
      <c r="X1211" t="inlineStr"/>
      <c r="Y1211">
        <f>IFERROR(INDEX(Rastreio!$H$2:$H$200,MATCH(X1211&amp;"|"&amp;U1211,Rastreio!$A$2:$A$200,0)),"")</f>
        <v/>
      </c>
    </row>
    <row r="1212">
      <c r="A1212">
        <f>IFERROR(INDEX(STAs!$G$2:$G$61,MATCH(P1212,STAs!$F$2:$F$61,0))&amp;"","")</f>
        <v/>
      </c>
      <c r="B1212" t="n">
        <v>20020766</v>
      </c>
      <c r="C1212" t="inlineStr">
        <is>
          <t>Não</t>
        </is>
      </c>
      <c r="D1212" t="inlineStr">
        <is>
          <t>MT</t>
        </is>
      </c>
      <c r="E1212" t="inlineStr">
        <is>
          <t>CENTRO OESTE</t>
        </is>
      </c>
      <c r="F1212" t="inlineStr">
        <is>
          <t>Cliente C - Misturador</t>
        </is>
      </c>
      <c r="G1212" t="inlineStr">
        <is>
          <t>Misturadores</t>
        </is>
      </c>
      <c r="H1212" s="10" t="n">
        <v>255</v>
      </c>
      <c r="I1212" s="10">
        <f>IFERROR(T1212*H1212,0)</f>
        <v/>
      </c>
      <c r="J1212" s="11" t="n">
        <v>46125</v>
      </c>
      <c r="K1212" s="11" t="n"/>
      <c r="L1212" t="inlineStr">
        <is>
          <t>Aguardando devolução</t>
        </is>
      </c>
      <c r="M1212">
        <f>IF(L1212="","",IFERROR(VLOOKUP(L1212,mapGrupoStatus,2,0),"Outros"))</f>
        <v/>
      </c>
      <c r="N1212">
        <f>IF(O1212="","",IF(O1212&lt;=30,"0-30 dias",IF(O1212&lt;=60,"31-60 dias",IF(O1212&lt;=90,"61-90 dias","Mais de 90 dias"))))</f>
        <v/>
      </c>
      <c r="O1212">
        <f>IF(OR(M1212="Pendente",M1212="Em andamento"),IF(J1212="","",TODAY()-J1212),"")</f>
        <v/>
      </c>
      <c r="P1212" t="n">
        <v>10227</v>
      </c>
      <c r="Q1212" t="inlineStr">
        <is>
          <t>Assistência Técnica ME (10227)</t>
        </is>
      </c>
      <c r="R1212" t="inlineStr">
        <is>
          <t>PC-0039</t>
        </is>
      </c>
      <c r="S1212" t="inlineStr">
        <is>
          <t>Bomba de recirculação modelo 03</t>
        </is>
      </c>
      <c r="T1212" t="n">
        <v>1</v>
      </c>
      <c r="U1212" t="inlineStr"/>
      <c r="V1212">
        <f>IF(J1212="","",MONTH(J1212))</f>
        <v/>
      </c>
      <c r="W1212">
        <f>IF(J1212="","",YEAR(J1212))</f>
        <v/>
      </c>
      <c r="X1212" t="inlineStr"/>
      <c r="Y1212">
        <f>IFERROR(INDEX(Rastreio!$H$2:$H$200,MATCH(X1212&amp;"|"&amp;U1212,Rastreio!$A$2:$A$200,0)),"")</f>
        <v/>
      </c>
    </row>
    <row r="1213">
      <c r="A1213">
        <f>IFERROR(INDEX(STAs!$G$2:$G$61,MATCH(P1213,STAs!$F$2:$F$61,0))&amp;"","")</f>
        <v/>
      </c>
      <c r="B1213" t="n">
        <v>20029301</v>
      </c>
      <c r="C1213" t="inlineStr">
        <is>
          <t>Não</t>
        </is>
      </c>
      <c r="D1213" t="inlineStr">
        <is>
          <t>MG</t>
        </is>
      </c>
      <c r="E1213" t="inlineStr">
        <is>
          <t>SUDESTE MG</t>
        </is>
      </c>
      <c r="F1213" t="inlineStr">
        <is>
          <t>Cliente A - Refrigerador</t>
        </is>
      </c>
      <c r="G1213" t="inlineStr">
        <is>
          <t>Refrigeradores</t>
        </is>
      </c>
      <c r="H1213" s="10" t="n">
        <v>30</v>
      </c>
      <c r="I1213" s="10">
        <f>IFERROR(T1213*H1213,0)</f>
        <v/>
      </c>
      <c r="J1213" s="11" t="n">
        <v>46125</v>
      </c>
      <c r="K1213" s="11" t="n">
        <v>46176</v>
      </c>
      <c r="L1213" t="inlineStr">
        <is>
          <t>Ok. Devolvida</t>
        </is>
      </c>
      <c r="M1213">
        <f>IF(L1213="","",IFERROR(VLOOKUP(L1213,mapGrupoStatus,2,0),"Outros"))</f>
        <v/>
      </c>
      <c r="N1213">
        <f>IF(O1213="","",IF(O1213&lt;=30,"0-30 dias",IF(O1213&lt;=60,"31-60 dias",IF(O1213&lt;=90,"61-90 dias","Mais de 90 dias"))))</f>
        <v/>
      </c>
      <c r="O1213">
        <f>IF(OR(M1213="Pendente",M1213="Em andamento"),IF(J1213="","",TODAY()-J1213),"")</f>
        <v/>
      </c>
      <c r="P1213" t="n">
        <v>11487</v>
      </c>
      <c r="Q1213" t="inlineStr">
        <is>
          <t>Assistência Técnica Manutenção (11487)</t>
        </is>
      </c>
      <c r="R1213" t="inlineStr">
        <is>
          <t>PC-0025</t>
        </is>
      </c>
      <c r="S1213" t="inlineStr">
        <is>
          <t>Relé de partida modelo 03</t>
        </is>
      </c>
      <c r="T1213" t="n">
        <v>1</v>
      </c>
      <c r="U1213" t="n">
        <v>152</v>
      </c>
      <c r="V1213">
        <f>IF(J1213="","",MONTH(J1213))</f>
        <v/>
      </c>
      <c r="W1213">
        <f>IF(J1213="","",YEAR(J1213))</f>
        <v/>
      </c>
      <c r="X1213" t="inlineStr">
        <is>
          <t>CargoMax</t>
        </is>
      </c>
      <c r="Y1213">
        <f>IFERROR(INDEX(Rastreio!$H$2:$H$200,MATCH(X1213&amp;"|"&amp;U1213,Rastreio!$A$2:$A$200,0)),"")</f>
        <v/>
      </c>
    </row>
    <row r="1214">
      <c r="A1214">
        <f>IFERROR(INDEX(STAs!$G$2:$G$61,MATCH(P1214,STAs!$F$2:$F$61,0))&amp;"","")</f>
        <v/>
      </c>
      <c r="B1214" t="n">
        <v>20034428</v>
      </c>
      <c r="C1214" t="inlineStr">
        <is>
          <t>Não</t>
        </is>
      </c>
      <c r="D1214" t="inlineStr">
        <is>
          <t>DF</t>
        </is>
      </c>
      <c r="E1214" t="inlineStr">
        <is>
          <t>CENTRO OESTE</t>
        </is>
      </c>
      <c r="F1214" t="inlineStr">
        <is>
          <t>Cliente A - Refrigerador</t>
        </is>
      </c>
      <c r="G1214" t="inlineStr">
        <is>
          <t>Misturadores</t>
        </is>
      </c>
      <c r="H1214" s="10" t="n">
        <v>200</v>
      </c>
      <c r="I1214" s="10">
        <f>IFERROR(T1214*H1214,0)</f>
        <v/>
      </c>
      <c r="J1214" s="11" t="n">
        <v>46125</v>
      </c>
      <c r="K1214" s="11" t="n">
        <v>46165</v>
      </c>
      <c r="L1214" t="inlineStr">
        <is>
          <t>Ok. Devolvida</t>
        </is>
      </c>
      <c r="M1214">
        <f>IF(L1214="","",IFERROR(VLOOKUP(L1214,mapGrupoStatus,2,0),"Outros"))</f>
        <v/>
      </c>
      <c r="N1214">
        <f>IF(O1214="","",IF(O1214&lt;=30,"0-30 dias",IF(O1214&lt;=60,"31-60 dias",IF(O1214&lt;=90,"61-90 dias","Mais de 90 dias"))))</f>
        <v/>
      </c>
      <c r="O1214">
        <f>IF(OR(M1214="Pendente",M1214="Em andamento"),IF(J1214="","",TODAY()-J1214),"")</f>
        <v/>
      </c>
      <c r="P1214" t="n">
        <v>10021</v>
      </c>
      <c r="Q1214" t="inlineStr">
        <is>
          <t>Termotec Técnica (10021)</t>
        </is>
      </c>
      <c r="R1214" t="inlineStr">
        <is>
          <t>PC-0040</t>
        </is>
      </c>
      <c r="S1214" t="inlineStr">
        <is>
          <t>Motor agitador modelo 01</t>
        </is>
      </c>
      <c r="T1214" t="n">
        <v>2</v>
      </c>
      <c r="U1214" t="n">
        <v>160</v>
      </c>
      <c r="V1214">
        <f>IF(J1214="","",MONTH(J1214))</f>
        <v/>
      </c>
      <c r="W1214">
        <f>IF(J1214="","",YEAR(J1214))</f>
        <v/>
      </c>
      <c r="X1214" t="inlineStr">
        <is>
          <t>CargoMax</t>
        </is>
      </c>
      <c r="Y1214">
        <f>IFERROR(INDEX(Rastreio!$H$2:$H$200,MATCH(X1214&amp;"|"&amp;U1214,Rastreio!$A$2:$A$200,0)),"")</f>
        <v/>
      </c>
    </row>
    <row r="1215">
      <c r="A1215">
        <f>IFERROR(INDEX(STAs!$G$2:$G$61,MATCH(P1215,STAs!$F$2:$F$61,0))&amp;"","")</f>
        <v/>
      </c>
      <c r="B1215" t="n">
        <v>20002577</v>
      </c>
      <c r="C1215" t="inlineStr">
        <is>
          <t>Não</t>
        </is>
      </c>
      <c r="D1215" t="inlineStr">
        <is>
          <t>PI</t>
        </is>
      </c>
      <c r="E1215" t="inlineStr">
        <is>
          <t>NORDESTE</t>
        </is>
      </c>
      <c r="F1215" t="inlineStr">
        <is>
          <t>Cliente B - Chopeira</t>
        </is>
      </c>
      <c r="G1215" t="inlineStr">
        <is>
          <t>Refrigeradores</t>
        </is>
      </c>
      <c r="H1215" s="10" t="n">
        <v>35</v>
      </c>
      <c r="I1215" s="10">
        <f>IFERROR(T1215*H1215,0)</f>
        <v/>
      </c>
      <c r="J1215" s="11" t="n">
        <v>46126</v>
      </c>
      <c r="K1215" s="11" t="n">
        <v>46149</v>
      </c>
      <c r="L1215" t="inlineStr">
        <is>
          <t>Ok. Devolvida</t>
        </is>
      </c>
      <c r="M1215">
        <f>IF(L1215="","",IFERROR(VLOOKUP(L1215,mapGrupoStatus,2,0),"Outros"))</f>
        <v/>
      </c>
      <c r="N1215">
        <f>IF(O1215="","",IF(O1215&lt;=30,"0-30 dias",IF(O1215&lt;=60,"31-60 dias",IF(O1215&lt;=90,"61-90 dias","Mais de 90 dias"))))</f>
        <v/>
      </c>
      <c r="O1215">
        <f>IF(OR(M1215="Pendente",M1215="Em andamento"),IF(J1215="","",TODAY()-J1215),"")</f>
        <v/>
      </c>
      <c r="P1215" t="n">
        <v>10562</v>
      </c>
      <c r="Q1215" t="inlineStr">
        <is>
          <t>Clima &amp; Cia (10562)</t>
        </is>
      </c>
      <c r="R1215" t="inlineStr">
        <is>
          <t>PC-0024</t>
        </is>
      </c>
      <c r="S1215" t="inlineStr">
        <is>
          <t>Relé de partida modelo 02</t>
        </is>
      </c>
      <c r="T1215" t="n">
        <v>3</v>
      </c>
      <c r="U1215" t="n">
        <v>106</v>
      </c>
      <c r="V1215">
        <f>IF(J1215="","",MONTH(J1215))</f>
        <v/>
      </c>
      <c r="W1215">
        <f>IF(J1215="","",YEAR(J1215))</f>
        <v/>
      </c>
      <c r="X1215" t="inlineStr">
        <is>
          <t>RotaSul</t>
        </is>
      </c>
      <c r="Y1215">
        <f>IFERROR(INDEX(Rastreio!$H$2:$H$200,MATCH(X1215&amp;"|"&amp;U1215,Rastreio!$A$2:$A$200,0)),"")</f>
        <v/>
      </c>
    </row>
    <row r="1216">
      <c r="A1216">
        <f>IFERROR(INDEX(STAs!$G$2:$G$61,MATCH(P1216,STAs!$F$2:$F$61,0))&amp;"","")</f>
        <v/>
      </c>
      <c r="B1216" t="n">
        <v>20007810</v>
      </c>
      <c r="C1216" t="inlineStr">
        <is>
          <t>Não</t>
        </is>
      </c>
      <c r="D1216" t="inlineStr">
        <is>
          <t>RS</t>
        </is>
      </c>
      <c r="E1216" t="inlineStr">
        <is>
          <t>SUL</t>
        </is>
      </c>
      <c r="F1216" t="inlineStr">
        <is>
          <t>Cliente A - Refrigerador</t>
        </is>
      </c>
      <c r="G1216" t="inlineStr">
        <is>
          <t>Refrigeradores</t>
        </is>
      </c>
      <c r="H1216" s="10" t="n">
        <v>330</v>
      </c>
      <c r="I1216" s="10">
        <f>IFERROR(T1216*H1216,0)</f>
        <v/>
      </c>
      <c r="J1216" s="11" t="n">
        <v>46126</v>
      </c>
      <c r="K1216" s="11" t="n">
        <v>46145</v>
      </c>
      <c r="L1216" t="inlineStr">
        <is>
          <t>Ok. Devolvida</t>
        </is>
      </c>
      <c r="M1216">
        <f>IF(L1216="","",IFERROR(VLOOKUP(L1216,mapGrupoStatus,2,0),"Outros"))</f>
        <v/>
      </c>
      <c r="N1216">
        <f>IF(O1216="","",IF(O1216&lt;=30,"0-30 dias",IF(O1216&lt;=60,"31-60 dias",IF(O1216&lt;=90,"61-90 dias","Mais de 90 dias"))))</f>
        <v/>
      </c>
      <c r="O1216">
        <f>IF(OR(M1216="Pendente",M1216="Em andamento"),IF(J1216="","",TODAY()-J1216),"")</f>
        <v/>
      </c>
      <c r="P1216" t="n">
        <v>11459</v>
      </c>
      <c r="Q1216" t="inlineStr">
        <is>
          <t>Frio ME (11459)</t>
        </is>
      </c>
      <c r="R1216" t="inlineStr">
        <is>
          <t>PC-0003</t>
        </is>
      </c>
      <c r="S1216" t="inlineStr">
        <is>
          <t>Compressor modelo 03</t>
        </is>
      </c>
      <c r="T1216" t="n">
        <v>1</v>
      </c>
      <c r="U1216" t="n">
        <v>120</v>
      </c>
      <c r="V1216">
        <f>IF(J1216="","",MONTH(J1216))</f>
        <v/>
      </c>
      <c r="W1216">
        <f>IF(J1216="","",YEAR(J1216))</f>
        <v/>
      </c>
      <c r="X1216" t="inlineStr">
        <is>
          <t>ViaCargo</t>
        </is>
      </c>
      <c r="Y1216">
        <f>IFERROR(INDEX(Rastreio!$H$2:$H$200,MATCH(X1216&amp;"|"&amp;U1216,Rastreio!$A$2:$A$200,0)),"")</f>
        <v/>
      </c>
    </row>
    <row r="1217">
      <c r="A1217">
        <f>IFERROR(INDEX(STAs!$G$2:$G$61,MATCH(P1217,STAs!$F$2:$F$61,0))&amp;"","")</f>
        <v/>
      </c>
      <c r="B1217" t="n">
        <v>20010339</v>
      </c>
      <c r="C1217" t="inlineStr">
        <is>
          <t>Sim</t>
        </is>
      </c>
      <c r="D1217" t="inlineStr">
        <is>
          <t>SP</t>
        </is>
      </c>
      <c r="E1217" t="inlineStr">
        <is>
          <t>SUDESTE SP</t>
        </is>
      </c>
      <c r="F1217" t="inlineStr">
        <is>
          <t>Cliente A - Refrigerador</t>
        </is>
      </c>
      <c r="G1217" t="inlineStr">
        <is>
          <t>Chopeiras</t>
        </is>
      </c>
      <c r="H1217" s="10" t="n">
        <v>115</v>
      </c>
      <c r="I1217" s="10">
        <f>IFERROR(T1217*H1217,0)</f>
        <v/>
      </c>
      <c r="J1217" s="11" t="n">
        <v>46126</v>
      </c>
      <c r="K1217" s="11" t="n">
        <v>46135</v>
      </c>
      <c r="L1217" t="inlineStr">
        <is>
          <t>Ok. Devolvida</t>
        </is>
      </c>
      <c r="M1217">
        <f>IF(L1217="","",IFERROR(VLOOKUP(L1217,mapGrupoStatus,2,0),"Outros"))</f>
        <v/>
      </c>
      <c r="N1217">
        <f>IF(O1217="","",IF(O1217&lt;=30,"0-30 dias",IF(O1217&lt;=60,"31-60 dias",IF(O1217&lt;=90,"61-90 dias","Mais de 90 dias"))))</f>
        <v/>
      </c>
      <c r="O1217">
        <f>IF(OR(M1217="Pendente",M1217="Em andamento"),IF(J1217="","",TODAY()-J1217),"")</f>
        <v/>
      </c>
      <c r="P1217" t="n">
        <v>10010</v>
      </c>
      <c r="Q1217" t="inlineStr">
        <is>
          <t>Cool Service ME (10010)</t>
        </is>
      </c>
      <c r="R1217" t="inlineStr">
        <is>
          <t>PC-0033</t>
        </is>
      </c>
      <c r="S1217" t="inlineStr">
        <is>
          <t>Regulador de pressão modelo 02</t>
        </is>
      </c>
      <c r="T1217" t="n">
        <v>1</v>
      </c>
      <c r="U1217" t="n">
        <v>120</v>
      </c>
      <c r="V1217">
        <f>IF(J1217="","",MONTH(J1217))</f>
        <v/>
      </c>
      <c r="W1217">
        <f>IF(J1217="","",YEAR(J1217))</f>
        <v/>
      </c>
      <c r="X1217" t="inlineStr">
        <is>
          <t>CargoMax</t>
        </is>
      </c>
      <c r="Y1217">
        <f>IFERROR(INDEX(Rastreio!$H$2:$H$200,MATCH(X1217&amp;"|"&amp;U1217,Rastreio!$A$2:$A$200,0)),"")</f>
        <v/>
      </c>
    </row>
    <row r="1218">
      <c r="A1218">
        <f>IFERROR(INDEX(STAs!$G$2:$G$61,MATCH(P1218,STAs!$F$2:$F$61,0))&amp;"","")</f>
        <v/>
      </c>
      <c r="B1218" t="n">
        <v>20015105</v>
      </c>
      <c r="C1218" t="inlineStr">
        <is>
          <t>Não</t>
        </is>
      </c>
      <c r="D1218" t="inlineStr">
        <is>
          <t>MG</t>
        </is>
      </c>
      <c r="E1218" t="inlineStr">
        <is>
          <t>SUDESTE MG</t>
        </is>
      </c>
      <c r="F1218" t="inlineStr">
        <is>
          <t>Cliente C - Misturador</t>
        </is>
      </c>
      <c r="G1218" t="inlineStr">
        <is>
          <t>Refrigeradores</t>
        </is>
      </c>
      <c r="H1218" s="10" t="n">
        <v>30</v>
      </c>
      <c r="I1218" s="10">
        <f>IFERROR(T1218*H1218,0)</f>
        <v/>
      </c>
      <c r="J1218" s="11" t="n">
        <v>46126</v>
      </c>
      <c r="K1218" s="11" t="n">
        <v>46143</v>
      </c>
      <c r="L1218" t="inlineStr">
        <is>
          <t>Ok. Devolvida</t>
        </is>
      </c>
      <c r="M1218">
        <f>IF(L1218="","",IFERROR(VLOOKUP(L1218,mapGrupoStatus,2,0),"Outros"))</f>
        <v/>
      </c>
      <c r="N1218">
        <f>IF(O1218="","",IF(O1218&lt;=30,"0-30 dias",IF(O1218&lt;=60,"31-60 dias",IF(O1218&lt;=90,"61-90 dias","Mais de 90 dias"))))</f>
        <v/>
      </c>
      <c r="O1218">
        <f>IF(OR(M1218="Pendente",M1218="Em andamento"),IF(J1218="","",TODAY()-J1218),"")</f>
        <v/>
      </c>
      <c r="P1218" t="n">
        <v>12470</v>
      </c>
      <c r="Q1218" t="inlineStr">
        <is>
          <t>Cool Service Técnica (12470)</t>
        </is>
      </c>
      <c r="R1218" t="inlineStr">
        <is>
          <t>PC-0017</t>
        </is>
      </c>
      <c r="S1218" t="inlineStr">
        <is>
          <t>Filtro secador modelo 03</t>
        </is>
      </c>
      <c r="T1218" t="n">
        <v>1</v>
      </c>
      <c r="U1218" t="n">
        <v>127</v>
      </c>
      <c r="V1218">
        <f>IF(J1218="","",MONTH(J1218))</f>
        <v/>
      </c>
      <c r="W1218">
        <f>IF(J1218="","",YEAR(J1218))</f>
        <v/>
      </c>
      <c r="X1218" t="inlineStr">
        <is>
          <t>CargoMax</t>
        </is>
      </c>
      <c r="Y1218">
        <f>IFERROR(INDEX(Rastreio!$H$2:$H$200,MATCH(X1218&amp;"|"&amp;U1218,Rastreio!$A$2:$A$200,0)),"")</f>
        <v/>
      </c>
    </row>
    <row r="1219">
      <c r="A1219">
        <f>IFERROR(INDEX(STAs!$G$2:$G$61,MATCH(P1219,STAs!$F$2:$F$61,0))&amp;"","")</f>
        <v/>
      </c>
      <c r="B1219" t="n">
        <v>20028775</v>
      </c>
      <c r="C1219" t="inlineStr">
        <is>
          <t>Não</t>
        </is>
      </c>
      <c r="D1219" t="inlineStr">
        <is>
          <t>RS</t>
        </is>
      </c>
      <c r="E1219" t="inlineStr">
        <is>
          <t>SUL</t>
        </is>
      </c>
      <c r="F1219" t="inlineStr">
        <is>
          <t>Cliente C - Misturador</t>
        </is>
      </c>
      <c r="G1219" t="inlineStr">
        <is>
          <t>Chopeiras</t>
        </is>
      </c>
      <c r="H1219" s="10" t="n">
        <v>215</v>
      </c>
      <c r="I1219" s="10">
        <f>IFERROR(T1219*H1219,0)</f>
        <v/>
      </c>
      <c r="J1219" s="11" t="n">
        <v>46126</v>
      </c>
      <c r="K1219" s="11" t="n">
        <v>46133</v>
      </c>
      <c r="L1219" t="inlineStr">
        <is>
          <t>Ok. Devolvida</t>
        </is>
      </c>
      <c r="M1219">
        <f>IF(L1219="","",IFERROR(VLOOKUP(L1219,mapGrupoStatus,2,0),"Outros"))</f>
        <v/>
      </c>
      <c r="N1219">
        <f>IF(O1219="","",IF(O1219&lt;=30,"0-30 dias",IF(O1219&lt;=60,"31-60 dias",IF(O1219&lt;=90,"61-90 dias","Mais de 90 dias"))))</f>
        <v/>
      </c>
      <c r="O1219">
        <f>IF(OR(M1219="Pendente",M1219="Em andamento"),IF(J1219="","",TODAY()-J1219),"")</f>
        <v/>
      </c>
      <c r="P1219" t="n">
        <v>11459</v>
      </c>
      <c r="Q1219" t="inlineStr">
        <is>
          <t>Frio ME (11459)</t>
        </is>
      </c>
      <c r="R1219" t="inlineStr">
        <is>
          <t>PC-0030</t>
        </is>
      </c>
      <c r="S1219" t="inlineStr">
        <is>
          <t>Serpentina modelo 02</t>
        </is>
      </c>
      <c r="T1219" t="n">
        <v>1</v>
      </c>
      <c r="U1219" t="n">
        <v>144</v>
      </c>
      <c r="V1219">
        <f>IF(J1219="","",MONTH(J1219))</f>
        <v/>
      </c>
      <c r="W1219">
        <f>IF(J1219="","",YEAR(J1219))</f>
        <v/>
      </c>
      <c r="X1219" t="inlineStr">
        <is>
          <t>ViaCargo</t>
        </is>
      </c>
      <c r="Y1219">
        <f>IFERROR(INDEX(Rastreio!$H$2:$H$200,MATCH(X1219&amp;"|"&amp;U1219,Rastreio!$A$2:$A$200,0)),"")</f>
        <v/>
      </c>
    </row>
    <row r="1220">
      <c r="A1220">
        <f>IFERROR(INDEX(STAs!$G$2:$G$61,MATCH(P1220,STAs!$F$2:$F$61,0))&amp;"","")</f>
        <v/>
      </c>
      <c r="B1220" t="n">
        <v>20028831</v>
      </c>
      <c r="C1220" t="inlineStr">
        <is>
          <t>Não</t>
        </is>
      </c>
      <c r="D1220" t="inlineStr">
        <is>
          <t>SP</t>
        </is>
      </c>
      <c r="E1220" t="inlineStr">
        <is>
          <t>SUDESTE SP</t>
        </is>
      </c>
      <c r="F1220" t="inlineStr">
        <is>
          <t>Cliente A - Refrigerador</t>
        </is>
      </c>
      <c r="G1220" t="inlineStr">
        <is>
          <t>Refrigeradores</t>
        </is>
      </c>
      <c r="H1220" s="10" t="n">
        <v>175</v>
      </c>
      <c r="I1220" s="10">
        <f>IFERROR(T1220*H1220,0)</f>
        <v/>
      </c>
      <c r="J1220" s="11" t="n">
        <v>46126</v>
      </c>
      <c r="K1220" s="11" t="n"/>
      <c r="L1220" t="inlineStr">
        <is>
          <t>Em transporte</t>
        </is>
      </c>
      <c r="M1220">
        <f>IF(L1220="","",IFERROR(VLOOKUP(L1220,mapGrupoStatus,2,0),"Outros"))</f>
        <v/>
      </c>
      <c r="N1220">
        <f>IF(O1220="","",IF(O1220&lt;=30,"0-30 dias",IF(O1220&lt;=60,"31-60 dias",IF(O1220&lt;=90,"61-90 dias","Mais de 90 dias"))))</f>
        <v/>
      </c>
      <c r="O1220">
        <f>IF(OR(M1220="Pendente",M1220="Em andamento"),IF(J1220="","",TODAY()-J1220),"")</f>
        <v/>
      </c>
      <c r="P1220" t="n">
        <v>10111</v>
      </c>
      <c r="Q1220" t="inlineStr">
        <is>
          <t>Refrigel Manutenção (10111)</t>
        </is>
      </c>
      <c r="R1220" t="inlineStr">
        <is>
          <t>PC-0012</t>
        </is>
      </c>
      <c r="S1220" t="inlineStr">
        <is>
          <t>Placa eletrônica modelo 02</t>
        </is>
      </c>
      <c r="T1220" t="n">
        <v>1</v>
      </c>
      <c r="U1220" t="n">
        <v>153</v>
      </c>
      <c r="V1220">
        <f>IF(J1220="","",MONTH(J1220))</f>
        <v/>
      </c>
      <c r="W1220">
        <f>IF(J1220="","",YEAR(J1220))</f>
        <v/>
      </c>
      <c r="X1220" t="inlineStr">
        <is>
          <t>LogExpress</t>
        </is>
      </c>
      <c r="Y1220">
        <f>IFERROR(INDEX(Rastreio!$H$2:$H$200,MATCH(X1220&amp;"|"&amp;U1220,Rastreio!$A$2:$A$200,0)),"")</f>
        <v/>
      </c>
    </row>
    <row r="1221">
      <c r="A1221">
        <f>IFERROR(INDEX(STAs!$G$2:$G$61,MATCH(P1221,STAs!$F$2:$F$61,0))&amp;"","")</f>
        <v/>
      </c>
      <c r="B1221" t="n">
        <v>20034397</v>
      </c>
      <c r="C1221" t="inlineStr">
        <is>
          <t>Não</t>
        </is>
      </c>
      <c r="D1221" t="inlineStr">
        <is>
          <t>RJ</t>
        </is>
      </c>
      <c r="E1221" t="inlineStr">
        <is>
          <t>SUDESTE RJ e ES</t>
        </is>
      </c>
      <c r="F1221" t="inlineStr">
        <is>
          <t>Cliente B - Chopeira</t>
        </is>
      </c>
      <c r="G1221" t="inlineStr">
        <is>
          <t>Refrigeradores</t>
        </is>
      </c>
      <c r="H1221" s="10" t="n">
        <v>35</v>
      </c>
      <c r="I1221" s="10">
        <f>IFERROR(T1221*H1221,0)</f>
        <v/>
      </c>
      <c r="J1221" s="11" t="n">
        <v>46126</v>
      </c>
      <c r="K1221" s="11" t="n"/>
      <c r="L1221" t="inlineStr">
        <is>
          <t>Em andamento</t>
        </is>
      </c>
      <c r="M1221">
        <f>IF(L1221="","",IFERROR(VLOOKUP(L1221,mapGrupoStatus,2,0),"Outros"))</f>
        <v/>
      </c>
      <c r="N1221">
        <f>IF(O1221="","",IF(O1221&lt;=30,"0-30 dias",IF(O1221&lt;=60,"31-60 dias",IF(O1221&lt;=90,"61-90 dias","Mais de 90 dias"))))</f>
        <v/>
      </c>
      <c r="O1221">
        <f>IF(OR(M1221="Pendente",M1221="Em andamento"),IF(J1221="","",TODAY()-J1221),"")</f>
        <v/>
      </c>
      <c r="P1221" t="n">
        <v>10676</v>
      </c>
      <c r="Q1221" t="inlineStr">
        <is>
          <t>Clima Serviços (10676)</t>
        </is>
      </c>
      <c r="R1221" t="inlineStr">
        <is>
          <t>PC-0016</t>
        </is>
      </c>
      <c r="S1221" t="inlineStr">
        <is>
          <t>Filtro secador modelo 02</t>
        </is>
      </c>
      <c r="T1221" t="n">
        <v>1</v>
      </c>
      <c r="U1221" t="n">
        <v>162</v>
      </c>
      <c r="V1221">
        <f>IF(J1221="","",MONTH(J1221))</f>
        <v/>
      </c>
      <c r="W1221">
        <f>IF(J1221="","",YEAR(J1221))</f>
        <v/>
      </c>
      <c r="X1221" t="inlineStr">
        <is>
          <t>TransNorte</t>
        </is>
      </c>
      <c r="Y1221">
        <f>IFERROR(INDEX(Rastreio!$H$2:$H$200,MATCH(X1221&amp;"|"&amp;U1221,Rastreio!$A$2:$A$200,0)),"")</f>
        <v/>
      </c>
    </row>
    <row r="1222">
      <c r="A1222">
        <f>IFERROR(INDEX(STAs!$G$2:$G$61,MATCH(P1222,STAs!$F$2:$F$61,0))&amp;"","")</f>
        <v/>
      </c>
      <c r="B1222" t="n">
        <v>20000514</v>
      </c>
      <c r="C1222" t="inlineStr">
        <is>
          <t>Sim</t>
        </is>
      </c>
      <c r="D1222" t="inlineStr">
        <is>
          <t>GO</t>
        </is>
      </c>
      <c r="E1222" t="inlineStr">
        <is>
          <t>CENTRO OESTE</t>
        </is>
      </c>
      <c r="F1222" t="inlineStr">
        <is>
          <t>Cliente C - Misturador</t>
        </is>
      </c>
      <c r="G1222" t="inlineStr">
        <is>
          <t>Refrigeradores</t>
        </is>
      </c>
      <c r="H1222" s="10" t="n">
        <v>30</v>
      </c>
      <c r="I1222" s="10">
        <f>IFERROR(T1222*H1222,0)</f>
        <v/>
      </c>
      <c r="J1222" s="11" t="n">
        <v>46127</v>
      </c>
      <c r="K1222" s="11" t="n">
        <v>46169</v>
      </c>
      <c r="L1222" t="inlineStr">
        <is>
          <t>Ok. Devolvida</t>
        </is>
      </c>
      <c r="M1222">
        <f>IF(L1222="","",IFERROR(VLOOKUP(L1222,mapGrupoStatus,2,0),"Outros"))</f>
        <v/>
      </c>
      <c r="N1222">
        <f>IF(O1222="","",IF(O1222&lt;=30,"0-30 dias",IF(O1222&lt;=60,"31-60 dias",IF(O1222&lt;=90,"61-90 dias","Mais de 90 dias"))))</f>
        <v/>
      </c>
      <c r="O1222">
        <f>IF(OR(M1222="Pendente",M1222="Em andamento"),IF(J1222="","",TODAY()-J1222),"")</f>
        <v/>
      </c>
      <c r="P1222" t="n">
        <v>11677</v>
      </c>
      <c r="Q1222" t="inlineStr">
        <is>
          <t>Cool Service Manutenção (11677)</t>
        </is>
      </c>
      <c r="R1222" t="inlineStr">
        <is>
          <t>PC-0025</t>
        </is>
      </c>
      <c r="S1222" t="inlineStr">
        <is>
          <t>Relé de partida modelo 03</t>
        </is>
      </c>
      <c r="T1222" t="n">
        <v>1</v>
      </c>
      <c r="U1222" t="n">
        <v>100</v>
      </c>
      <c r="V1222">
        <f>IF(J1222="","",MONTH(J1222))</f>
        <v/>
      </c>
      <c r="W1222">
        <f>IF(J1222="","",YEAR(J1222))</f>
        <v/>
      </c>
      <c r="X1222" t="inlineStr">
        <is>
          <t>RotaSul</t>
        </is>
      </c>
      <c r="Y1222">
        <f>IFERROR(INDEX(Rastreio!$H$2:$H$200,MATCH(X1222&amp;"|"&amp;U1222,Rastreio!$A$2:$A$200,0)),"")</f>
        <v/>
      </c>
    </row>
    <row r="1223">
      <c r="A1223">
        <f>IFERROR(INDEX(STAs!$G$2:$G$61,MATCH(P1223,STAs!$F$2:$F$61,0))&amp;"","")</f>
        <v/>
      </c>
      <c r="B1223" t="n">
        <v>20002209</v>
      </c>
      <c r="C1223" t="inlineStr">
        <is>
          <t>Não</t>
        </is>
      </c>
      <c r="D1223" t="inlineStr">
        <is>
          <t>RS</t>
        </is>
      </c>
      <c r="E1223" t="inlineStr">
        <is>
          <t>SUL</t>
        </is>
      </c>
      <c r="F1223" t="inlineStr">
        <is>
          <t>Cliente B - Chopeira</t>
        </is>
      </c>
      <c r="G1223" t="inlineStr">
        <is>
          <t>Refrigeradores</t>
        </is>
      </c>
      <c r="H1223" s="10" t="n">
        <v>40</v>
      </c>
      <c r="I1223" s="10">
        <f>IFERROR(T1223*H1223,0)</f>
        <v/>
      </c>
      <c r="J1223" s="11" t="n">
        <v>46127</v>
      </c>
      <c r="K1223" s="11" t="n"/>
      <c r="L1223" t="inlineStr">
        <is>
          <t>Em andamento</t>
        </is>
      </c>
      <c r="M1223">
        <f>IF(L1223="","",IFERROR(VLOOKUP(L1223,mapGrupoStatus,2,0),"Outros"))</f>
        <v/>
      </c>
      <c r="N1223">
        <f>IF(O1223="","",IF(O1223&lt;=30,"0-30 dias",IF(O1223&lt;=60,"31-60 dias",IF(O1223&lt;=90,"61-90 dias","Mais de 90 dias"))))</f>
        <v/>
      </c>
      <c r="O1223">
        <f>IF(OR(M1223="Pendente",M1223="Em andamento"),IF(J1223="","",TODAY()-J1223),"")</f>
        <v/>
      </c>
      <c r="P1223" t="n">
        <v>11459</v>
      </c>
      <c r="Q1223" t="inlineStr">
        <is>
          <t>Frio ME (11459)</t>
        </is>
      </c>
      <c r="R1223" t="inlineStr">
        <is>
          <t>PC-0005</t>
        </is>
      </c>
      <c r="S1223" t="inlineStr">
        <is>
          <t>Termostato modelo 02</t>
        </is>
      </c>
      <c r="T1223" t="n">
        <v>1</v>
      </c>
      <c r="U1223" t="n">
        <v>105</v>
      </c>
      <c r="V1223">
        <f>IF(J1223="","",MONTH(J1223))</f>
        <v/>
      </c>
      <c r="W1223">
        <f>IF(J1223="","",YEAR(J1223))</f>
        <v/>
      </c>
      <c r="X1223" t="inlineStr">
        <is>
          <t>ViaCargo</t>
        </is>
      </c>
      <c r="Y1223">
        <f>IFERROR(INDEX(Rastreio!$H$2:$H$200,MATCH(X1223&amp;"|"&amp;U1223,Rastreio!$A$2:$A$200,0)),"")</f>
        <v/>
      </c>
    </row>
    <row r="1224">
      <c r="A1224">
        <f>IFERROR(INDEX(STAs!$G$2:$G$61,MATCH(P1224,STAs!$F$2:$F$61,0))&amp;"","")</f>
        <v/>
      </c>
      <c r="B1224" t="n">
        <v>20011601</v>
      </c>
      <c r="C1224" t="inlineStr">
        <is>
          <t>Sim</t>
        </is>
      </c>
      <c r="D1224" t="inlineStr">
        <is>
          <t>PR</t>
        </is>
      </c>
      <c r="E1224" t="inlineStr">
        <is>
          <t>SUL</t>
        </is>
      </c>
      <c r="F1224" t="inlineStr">
        <is>
          <t>Cliente A - Refrigerador</t>
        </is>
      </c>
      <c r="G1224" t="inlineStr">
        <is>
          <t>Misturadores</t>
        </is>
      </c>
      <c r="H1224" s="10" t="n">
        <v>60</v>
      </c>
      <c r="I1224" s="10">
        <f>IFERROR(T1224*H1224,0)</f>
        <v/>
      </c>
      <c r="J1224" s="11" t="n">
        <v>46127</v>
      </c>
      <c r="K1224" s="11" t="n"/>
      <c r="L1224" t="inlineStr">
        <is>
          <t>Em transporte</t>
        </is>
      </c>
      <c r="M1224">
        <f>IF(L1224="","",IFERROR(VLOOKUP(L1224,mapGrupoStatus,2,0),"Outros"))</f>
        <v/>
      </c>
      <c r="N1224">
        <f>IF(O1224="","",IF(O1224&lt;=30,"0-30 dias",IF(O1224&lt;=60,"31-60 dias",IF(O1224&lt;=90,"61-90 dias","Mais de 90 dias"))))</f>
        <v/>
      </c>
      <c r="O1224">
        <f>IF(OR(M1224="Pendente",M1224="Em andamento"),IF(J1224="","",TODAY()-J1224),"")</f>
        <v/>
      </c>
      <c r="P1224" t="n">
        <v>10753</v>
      </c>
      <c r="Q1224" t="inlineStr">
        <is>
          <t>Refrigel &amp; Cia (10753)</t>
        </is>
      </c>
      <c r="R1224" t="inlineStr">
        <is>
          <t>PC-0048</t>
        </is>
      </c>
      <c r="S1224" t="inlineStr">
        <is>
          <t>Sensor de nível modelo 04</t>
        </is>
      </c>
      <c r="T1224" t="n">
        <v>1</v>
      </c>
      <c r="U1224" t="n">
        <v>120</v>
      </c>
      <c r="V1224">
        <f>IF(J1224="","",MONTH(J1224))</f>
        <v/>
      </c>
      <c r="W1224">
        <f>IF(J1224="","",YEAR(J1224))</f>
        <v/>
      </c>
      <c r="X1224" t="inlineStr">
        <is>
          <t>TransNorte</t>
        </is>
      </c>
      <c r="Y1224">
        <f>IFERROR(INDEX(Rastreio!$H$2:$H$200,MATCH(X1224&amp;"|"&amp;U1224,Rastreio!$A$2:$A$200,0)),"")</f>
        <v/>
      </c>
    </row>
    <row r="1225">
      <c r="A1225">
        <f>IFERROR(INDEX(STAs!$G$2:$G$61,MATCH(P1225,STAs!$F$2:$F$61,0))&amp;"","")</f>
        <v/>
      </c>
      <c r="B1225" t="n">
        <v>20016798</v>
      </c>
      <c r="C1225" t="inlineStr">
        <is>
          <t>Não</t>
        </is>
      </c>
      <c r="D1225" t="inlineStr">
        <is>
          <t>PR</t>
        </is>
      </c>
      <c r="E1225" t="inlineStr">
        <is>
          <t>SUL</t>
        </is>
      </c>
      <c r="F1225" t="inlineStr">
        <is>
          <t>Cliente C - Misturador</t>
        </is>
      </c>
      <c r="G1225" t="inlineStr">
        <is>
          <t>Refrigeradores</t>
        </is>
      </c>
      <c r="H1225" s="10" t="n">
        <v>35</v>
      </c>
      <c r="I1225" s="10">
        <f>IFERROR(T1225*H1225,0)</f>
        <v/>
      </c>
      <c r="J1225" s="11" t="n">
        <v>46127</v>
      </c>
      <c r="K1225" s="11" t="n"/>
      <c r="L1225" t="inlineStr">
        <is>
          <t>NF Vencida</t>
        </is>
      </c>
      <c r="M1225">
        <f>IF(L1225="","",IFERROR(VLOOKUP(L1225,mapGrupoStatus,2,0),"Outros"))</f>
        <v/>
      </c>
      <c r="N1225">
        <f>IF(O1225="","",IF(O1225&lt;=30,"0-30 dias",IF(O1225&lt;=60,"31-60 dias",IF(O1225&lt;=90,"61-90 dias","Mais de 90 dias"))))</f>
        <v/>
      </c>
      <c r="O1225">
        <f>IF(OR(M1225="Pendente",M1225="Em andamento"),IF(J1225="","",TODAY()-J1225),"")</f>
        <v/>
      </c>
      <c r="P1225" t="n">
        <v>12089</v>
      </c>
      <c r="Q1225" t="inlineStr">
        <is>
          <t>Termotec Serviços (12089)</t>
        </is>
      </c>
      <c r="R1225" t="inlineStr">
        <is>
          <t>PC-0024</t>
        </is>
      </c>
      <c r="S1225" t="inlineStr">
        <is>
          <t>Relé de partida modelo 02</t>
        </is>
      </c>
      <c r="T1225" t="n">
        <v>1</v>
      </c>
      <c r="U1225" t="inlineStr"/>
      <c r="V1225">
        <f>IF(J1225="","",MONTH(J1225))</f>
        <v/>
      </c>
      <c r="W1225">
        <f>IF(J1225="","",YEAR(J1225))</f>
        <v/>
      </c>
      <c r="X1225" t="inlineStr"/>
      <c r="Y1225">
        <f>IFERROR(INDEX(Rastreio!$H$2:$H$200,MATCH(X1225&amp;"|"&amp;U1225,Rastreio!$A$2:$A$200,0)),"")</f>
        <v/>
      </c>
    </row>
    <row r="1226">
      <c r="A1226">
        <f>IFERROR(INDEX(STAs!$G$2:$G$61,MATCH(P1226,STAs!$F$2:$F$61,0))&amp;"","")</f>
        <v/>
      </c>
      <c r="B1226" t="n">
        <v>20028065</v>
      </c>
      <c r="C1226" t="inlineStr">
        <is>
          <t>Não</t>
        </is>
      </c>
      <c r="D1226" t="inlineStr">
        <is>
          <t>AC</t>
        </is>
      </c>
      <c r="E1226" t="inlineStr">
        <is>
          <t>NORTE</t>
        </is>
      </c>
      <c r="F1226" t="inlineStr">
        <is>
          <t>Cliente A - Refrigerador</t>
        </is>
      </c>
      <c r="G1226" t="inlineStr">
        <is>
          <t>Refrigeradores</t>
        </is>
      </c>
      <c r="H1226" s="10" t="n">
        <v>330</v>
      </c>
      <c r="I1226" s="10">
        <f>IFERROR(T1226*H1226,0)</f>
        <v/>
      </c>
      <c r="J1226" s="11" t="n">
        <v>46127</v>
      </c>
      <c r="K1226" s="11" t="n"/>
      <c r="L1226" t="inlineStr">
        <is>
          <t>Aguardando devolução</t>
        </is>
      </c>
      <c r="M1226">
        <f>IF(L1226="","",IFERROR(VLOOKUP(L1226,mapGrupoStatus,2,0),"Outros"))</f>
        <v/>
      </c>
      <c r="N1226">
        <f>IF(O1226="","",IF(O1226&lt;=30,"0-30 dias",IF(O1226&lt;=60,"31-60 dias",IF(O1226&lt;=90,"61-90 dias","Mais de 90 dias"))))</f>
        <v/>
      </c>
      <c r="O1226">
        <f>IF(OR(M1226="Pendente",M1226="Em andamento"),IF(J1226="","",TODAY()-J1226),"")</f>
        <v/>
      </c>
      <c r="P1226" t="n">
        <v>10372</v>
      </c>
      <c r="Q1226" t="inlineStr">
        <is>
          <t>Zero Grau ME (10372)</t>
        </is>
      </c>
      <c r="R1226" t="inlineStr">
        <is>
          <t>PC-0003</t>
        </is>
      </c>
      <c r="S1226" t="inlineStr">
        <is>
          <t>Compressor modelo 03</t>
        </is>
      </c>
      <c r="T1226" t="n">
        <v>2</v>
      </c>
      <c r="U1226" t="inlineStr"/>
      <c r="V1226">
        <f>IF(J1226="","",MONTH(J1226))</f>
        <v/>
      </c>
      <c r="W1226">
        <f>IF(J1226="","",YEAR(J1226))</f>
        <v/>
      </c>
      <c r="X1226" t="inlineStr"/>
      <c r="Y1226">
        <f>IFERROR(INDEX(Rastreio!$H$2:$H$200,MATCH(X1226&amp;"|"&amp;U1226,Rastreio!$A$2:$A$200,0)),"")</f>
        <v/>
      </c>
    </row>
    <row r="1227">
      <c r="A1227">
        <f>IFERROR(INDEX(STAs!$G$2:$G$61,MATCH(P1227,STAs!$F$2:$F$61,0))&amp;"","")</f>
        <v/>
      </c>
      <c r="B1227" t="n">
        <v>20029657</v>
      </c>
      <c r="C1227" t="inlineStr">
        <is>
          <t>Não</t>
        </is>
      </c>
      <c r="D1227" t="inlineStr">
        <is>
          <t>RJ</t>
        </is>
      </c>
      <c r="E1227" t="inlineStr">
        <is>
          <t>SUDESTE RJ e ES</t>
        </is>
      </c>
      <c r="F1227" t="inlineStr">
        <is>
          <t>Cliente C - Misturador</t>
        </is>
      </c>
      <c r="G1227" t="inlineStr">
        <is>
          <t>Chopeiras</t>
        </is>
      </c>
      <c r="H1227" s="10" t="n">
        <v>100</v>
      </c>
      <c r="I1227" s="10">
        <f>IFERROR(T1227*H1227,0)</f>
        <v/>
      </c>
      <c r="J1227" s="11" t="n">
        <v>46127</v>
      </c>
      <c r="K1227" s="11" t="n">
        <v>46148</v>
      </c>
      <c r="L1227" t="inlineStr">
        <is>
          <t>Ok. Devolvida</t>
        </is>
      </c>
      <c r="M1227">
        <f>IF(L1227="","",IFERROR(VLOOKUP(L1227,mapGrupoStatus,2,0),"Outros"))</f>
        <v/>
      </c>
      <c r="N1227">
        <f>IF(O1227="","",IF(O1227&lt;=30,"0-30 dias",IF(O1227&lt;=60,"31-60 dias",IF(O1227&lt;=90,"61-90 dias","Mais de 90 dias"))))</f>
        <v/>
      </c>
      <c r="O1227">
        <f>IF(OR(M1227="Pendente",M1227="Em andamento"),IF(J1227="","",TODAY()-J1227),"")</f>
        <v/>
      </c>
      <c r="P1227" t="n">
        <v>11059</v>
      </c>
      <c r="Q1227" t="inlineStr">
        <is>
          <t>Frio Ltda (11059)</t>
        </is>
      </c>
      <c r="R1227" t="inlineStr">
        <is>
          <t>PC-0027</t>
        </is>
      </c>
      <c r="S1227" t="inlineStr">
        <is>
          <t>Torneira de chopp modelo 02</t>
        </is>
      </c>
      <c r="T1227" t="n">
        <v>1</v>
      </c>
      <c r="U1227" t="n">
        <v>156</v>
      </c>
      <c r="V1227">
        <f>IF(J1227="","",MONTH(J1227))</f>
        <v/>
      </c>
      <c r="W1227">
        <f>IF(J1227="","",YEAR(J1227))</f>
        <v/>
      </c>
      <c r="X1227" t="inlineStr">
        <is>
          <t>LogExpress</t>
        </is>
      </c>
      <c r="Y1227">
        <f>IFERROR(INDEX(Rastreio!$H$2:$H$200,MATCH(X1227&amp;"|"&amp;U1227,Rastreio!$A$2:$A$200,0)),"")</f>
        <v/>
      </c>
    </row>
    <row r="1228">
      <c r="A1228">
        <f>IFERROR(INDEX(STAs!$G$2:$G$61,MATCH(P1228,STAs!$F$2:$F$61,0))&amp;"","")</f>
        <v/>
      </c>
      <c r="B1228" t="n">
        <v>20032545</v>
      </c>
      <c r="C1228" t="inlineStr">
        <is>
          <t>Não</t>
        </is>
      </c>
      <c r="D1228" t="inlineStr">
        <is>
          <t>SP</t>
        </is>
      </c>
      <c r="E1228" t="inlineStr">
        <is>
          <t>SUDESTE SP</t>
        </is>
      </c>
      <c r="F1228" t="inlineStr">
        <is>
          <t>Cliente A - Refrigerador</t>
        </is>
      </c>
      <c r="G1228" t="inlineStr">
        <is>
          <t>Refrigeradores</t>
        </is>
      </c>
      <c r="H1228" s="10" t="n">
        <v>35</v>
      </c>
      <c r="I1228" s="10">
        <f>IFERROR(T1228*H1228,0)</f>
        <v/>
      </c>
      <c r="J1228" s="11" t="n">
        <v>46127</v>
      </c>
      <c r="K1228" s="11" t="n">
        <v>46175</v>
      </c>
      <c r="L1228" t="inlineStr">
        <is>
          <t>Ok. Devolvida</t>
        </is>
      </c>
      <c r="M1228">
        <f>IF(L1228="","",IFERROR(VLOOKUP(L1228,mapGrupoStatus,2,0),"Outros"))</f>
        <v/>
      </c>
      <c r="N1228">
        <f>IF(O1228="","",IF(O1228&lt;=30,"0-30 dias",IF(O1228&lt;=60,"31-60 dias",IF(O1228&lt;=90,"61-90 dias","Mais de 90 dias"))))</f>
        <v/>
      </c>
      <c r="O1228">
        <f>IF(OR(M1228="Pendente",M1228="Em andamento"),IF(J1228="","",TODAY()-J1228),"")</f>
        <v/>
      </c>
      <c r="P1228" t="n">
        <v>12052</v>
      </c>
      <c r="Q1228" t="inlineStr">
        <is>
          <t>Brisa Refrigeração (12052)</t>
        </is>
      </c>
      <c r="R1228" t="inlineStr">
        <is>
          <t>PC-0020</t>
        </is>
      </c>
      <c r="S1228" t="inlineStr">
        <is>
          <t>Gaxeta da porta modelo 03</t>
        </is>
      </c>
      <c r="T1228" t="n">
        <v>1</v>
      </c>
      <c r="U1228" t="n">
        <v>156</v>
      </c>
      <c r="V1228">
        <f>IF(J1228="","",MONTH(J1228))</f>
        <v/>
      </c>
      <c r="W1228">
        <f>IF(J1228="","",YEAR(J1228))</f>
        <v/>
      </c>
      <c r="X1228" t="inlineStr">
        <is>
          <t>CargoMax</t>
        </is>
      </c>
      <c r="Y1228">
        <f>IFERROR(INDEX(Rastreio!$H$2:$H$200,MATCH(X1228&amp;"|"&amp;U1228,Rastreio!$A$2:$A$200,0)),"")</f>
        <v/>
      </c>
    </row>
    <row r="1229">
      <c r="A1229">
        <f>IFERROR(INDEX(STAs!$G$2:$G$61,MATCH(P1229,STAs!$F$2:$F$61,0))&amp;"","")</f>
        <v/>
      </c>
      <c r="B1229" t="n">
        <v>20035784</v>
      </c>
      <c r="C1229" t="inlineStr">
        <is>
          <t>Sim</t>
        </is>
      </c>
      <c r="D1229" t="inlineStr">
        <is>
          <t>GO</t>
        </is>
      </c>
      <c r="E1229" t="inlineStr">
        <is>
          <t>CENTRO OESTE</t>
        </is>
      </c>
      <c r="F1229" t="inlineStr">
        <is>
          <t>Cliente A - Refrigerador</t>
        </is>
      </c>
      <c r="G1229" t="inlineStr">
        <is>
          <t>Chopeiras</t>
        </is>
      </c>
      <c r="H1229" s="10" t="n">
        <v>85</v>
      </c>
      <c r="I1229" s="10">
        <f>IFERROR(T1229*H1229,0)</f>
        <v/>
      </c>
      <c r="J1229" s="11" t="n">
        <v>46127</v>
      </c>
      <c r="K1229" s="11" t="n">
        <v>46145</v>
      </c>
      <c r="L1229" t="inlineStr">
        <is>
          <t>Ok. Devolvida</t>
        </is>
      </c>
      <c r="M1229">
        <f>IF(L1229="","",IFERROR(VLOOKUP(L1229,mapGrupoStatus,2,0),"Outros"))</f>
        <v/>
      </c>
      <c r="N1229">
        <f>IF(O1229="","",IF(O1229&lt;=30,"0-30 dias",IF(O1229&lt;=60,"31-60 dias",IF(O1229&lt;=90,"61-90 dias","Mais de 90 dias"))))</f>
        <v/>
      </c>
      <c r="O1229">
        <f>IF(OR(M1229="Pendente",M1229="Em andamento"),IF(J1229="","",TODAY()-J1229),"")</f>
        <v/>
      </c>
      <c r="P1229" t="n">
        <v>11677</v>
      </c>
      <c r="Q1229" t="inlineStr">
        <is>
          <t>Cool Service Manutenção (11677)</t>
        </is>
      </c>
      <c r="R1229" t="inlineStr">
        <is>
          <t>PC-0028</t>
        </is>
      </c>
      <c r="S1229" t="inlineStr">
        <is>
          <t>Torneira de chopp modelo 03</t>
        </is>
      </c>
      <c r="T1229" t="n">
        <v>1</v>
      </c>
      <c r="U1229" t="n">
        <v>165</v>
      </c>
      <c r="V1229">
        <f>IF(J1229="","",MONTH(J1229))</f>
        <v/>
      </c>
      <c r="W1229">
        <f>IF(J1229="","",YEAR(J1229))</f>
        <v/>
      </c>
      <c r="X1229" t="inlineStr">
        <is>
          <t>RotaSul</t>
        </is>
      </c>
      <c r="Y1229">
        <f>IFERROR(INDEX(Rastreio!$H$2:$H$200,MATCH(X1229&amp;"|"&amp;U1229,Rastreio!$A$2:$A$200,0)),"")</f>
        <v/>
      </c>
    </row>
    <row r="1230">
      <c r="A1230">
        <f>IFERROR(INDEX(STAs!$G$2:$G$61,MATCH(P1230,STAs!$F$2:$F$61,0))&amp;"","")</f>
        <v/>
      </c>
      <c r="B1230" t="n">
        <v>20011515</v>
      </c>
      <c r="C1230" t="inlineStr">
        <is>
          <t>Não</t>
        </is>
      </c>
      <c r="D1230" t="inlineStr">
        <is>
          <t>GO</t>
        </is>
      </c>
      <c r="E1230" t="inlineStr">
        <is>
          <t>CENTRO OESTE</t>
        </is>
      </c>
      <c r="F1230" t="inlineStr">
        <is>
          <t>Cliente B - Chopeira</t>
        </is>
      </c>
      <c r="G1230" t="inlineStr">
        <is>
          <t>Chopeiras</t>
        </is>
      </c>
      <c r="H1230" s="10" t="n">
        <v>85</v>
      </c>
      <c r="I1230" s="10">
        <f>IFERROR(T1230*H1230,0)</f>
        <v/>
      </c>
      <c r="J1230" s="11" t="n">
        <v>46128</v>
      </c>
      <c r="K1230" s="11" t="n"/>
      <c r="L1230" t="inlineStr">
        <is>
          <t>Aguardando devolução</t>
        </is>
      </c>
      <c r="M1230">
        <f>IF(L1230="","",IFERROR(VLOOKUP(L1230,mapGrupoStatus,2,0),"Outros"))</f>
        <v/>
      </c>
      <c r="N1230">
        <f>IF(O1230="","",IF(O1230&lt;=30,"0-30 dias",IF(O1230&lt;=60,"31-60 dias",IF(O1230&lt;=90,"61-90 dias","Mais de 90 dias"))))</f>
        <v/>
      </c>
      <c r="O1230">
        <f>IF(OR(M1230="Pendente",M1230="Em andamento"),IF(J1230="","",TODAY()-J1230),"")</f>
        <v/>
      </c>
      <c r="P1230" t="n">
        <v>12007</v>
      </c>
      <c r="Q1230" t="inlineStr">
        <is>
          <t>Refrigel Ltda (12007)</t>
        </is>
      </c>
      <c r="R1230" t="inlineStr">
        <is>
          <t>PC-0026</t>
        </is>
      </c>
      <c r="S1230" t="inlineStr">
        <is>
          <t>Torneira de chopp modelo 01</t>
        </is>
      </c>
      <c r="T1230" t="n">
        <v>1</v>
      </c>
      <c r="U1230" t="inlineStr"/>
      <c r="V1230">
        <f>IF(J1230="","",MONTH(J1230))</f>
        <v/>
      </c>
      <c r="W1230">
        <f>IF(J1230="","",YEAR(J1230))</f>
        <v/>
      </c>
      <c r="X1230" t="inlineStr"/>
      <c r="Y1230">
        <f>IFERROR(INDEX(Rastreio!$H$2:$H$200,MATCH(X1230&amp;"|"&amp;U1230,Rastreio!$A$2:$A$200,0)),"")</f>
        <v/>
      </c>
    </row>
    <row r="1231">
      <c r="A1231">
        <f>IFERROR(INDEX(STAs!$G$2:$G$61,MATCH(P1231,STAs!$F$2:$F$61,0))&amp;"","")</f>
        <v/>
      </c>
      <c r="B1231" t="n">
        <v>20020155</v>
      </c>
      <c r="C1231" t="inlineStr">
        <is>
          <t>Sim</t>
        </is>
      </c>
      <c r="D1231" t="inlineStr">
        <is>
          <t>CE</t>
        </is>
      </c>
      <c r="E1231" t="inlineStr">
        <is>
          <t>NORDESTE</t>
        </is>
      </c>
      <c r="F1231" t="inlineStr">
        <is>
          <t>Cliente C - Misturador</t>
        </is>
      </c>
      <c r="G1231" t="inlineStr">
        <is>
          <t>Refrigeradores</t>
        </is>
      </c>
      <c r="H1231" s="10" t="n">
        <v>35</v>
      </c>
      <c r="I1231" s="10">
        <f>IFERROR(T1231*H1231,0)</f>
        <v/>
      </c>
      <c r="J1231" s="11" t="n">
        <v>46128</v>
      </c>
      <c r="K1231" s="11" t="n">
        <v>46167</v>
      </c>
      <c r="L1231" t="inlineStr">
        <is>
          <t>Ok. Devolvida</t>
        </is>
      </c>
      <c r="M1231">
        <f>IF(L1231="","",IFERROR(VLOOKUP(L1231,mapGrupoStatus,2,0),"Outros"))</f>
        <v/>
      </c>
      <c r="N1231">
        <f>IF(O1231="","",IF(O1231&lt;=30,"0-30 dias",IF(O1231&lt;=60,"31-60 dias",IF(O1231&lt;=90,"61-90 dias","Mais de 90 dias"))))</f>
        <v/>
      </c>
      <c r="O1231">
        <f>IF(OR(M1231="Pendente",M1231="Em andamento"),IF(J1231="","",TODAY()-J1231),"")</f>
        <v/>
      </c>
      <c r="P1231" t="n">
        <v>10615</v>
      </c>
      <c r="Q1231" t="inlineStr">
        <is>
          <t>Brisa Técnica (10615)</t>
        </is>
      </c>
      <c r="R1231" t="inlineStr">
        <is>
          <t>PC-0016</t>
        </is>
      </c>
      <c r="S1231" t="inlineStr">
        <is>
          <t>Filtro secador modelo 02</t>
        </is>
      </c>
      <c r="T1231" t="n">
        <v>1</v>
      </c>
      <c r="U1231" t="n">
        <v>138</v>
      </c>
      <c r="V1231">
        <f>IF(J1231="","",MONTH(J1231))</f>
        <v/>
      </c>
      <c r="W1231">
        <f>IF(J1231="","",YEAR(J1231))</f>
        <v/>
      </c>
      <c r="X1231" t="inlineStr">
        <is>
          <t>CargoMax</t>
        </is>
      </c>
      <c r="Y1231">
        <f>IFERROR(INDEX(Rastreio!$H$2:$H$200,MATCH(X1231&amp;"|"&amp;U1231,Rastreio!$A$2:$A$200,0)),"")</f>
        <v/>
      </c>
    </row>
    <row r="1232">
      <c r="A1232">
        <f>IFERROR(INDEX(STAs!$G$2:$G$61,MATCH(P1232,STAs!$F$2:$F$61,0))&amp;"","")</f>
        <v/>
      </c>
      <c r="B1232" t="n">
        <v>20027865</v>
      </c>
      <c r="C1232" t="inlineStr">
        <is>
          <t>Não</t>
        </is>
      </c>
      <c r="D1232" t="inlineStr">
        <is>
          <t>AC</t>
        </is>
      </c>
      <c r="E1232" t="inlineStr">
        <is>
          <t>NORTE</t>
        </is>
      </c>
      <c r="F1232" t="inlineStr">
        <is>
          <t>Cliente B - Chopeira</t>
        </is>
      </c>
      <c r="G1232" t="inlineStr">
        <is>
          <t>Refrigeradores</t>
        </is>
      </c>
      <c r="H1232" s="10" t="n">
        <v>330</v>
      </c>
      <c r="I1232" s="10">
        <f>IFERROR(T1232*H1232,0)</f>
        <v/>
      </c>
      <c r="J1232" s="11" t="n">
        <v>46128</v>
      </c>
      <c r="K1232" s="11" t="n">
        <v>46141</v>
      </c>
      <c r="L1232" t="inlineStr">
        <is>
          <t>Ok. Devolvida</t>
        </is>
      </c>
      <c r="M1232">
        <f>IF(L1232="","",IFERROR(VLOOKUP(L1232,mapGrupoStatus,2,0),"Outros"))</f>
        <v/>
      </c>
      <c r="N1232">
        <f>IF(O1232="","",IF(O1232&lt;=30,"0-30 dias",IF(O1232&lt;=60,"31-60 dias",IF(O1232&lt;=90,"61-90 dias","Mais de 90 dias"))))</f>
        <v/>
      </c>
      <c r="O1232">
        <f>IF(OR(M1232="Pendente",M1232="Em andamento"),IF(J1232="","",TODAY()-J1232),"")</f>
        <v/>
      </c>
      <c r="P1232" t="n">
        <v>11022</v>
      </c>
      <c r="Q1232" t="inlineStr">
        <is>
          <t>Brisa Ltda (11022)</t>
        </is>
      </c>
      <c r="R1232" t="inlineStr">
        <is>
          <t>PC-0003</t>
        </is>
      </c>
      <c r="S1232" t="inlineStr">
        <is>
          <t>Compressor modelo 03</t>
        </is>
      </c>
      <c r="T1232" t="n">
        <v>1</v>
      </c>
      <c r="U1232" t="n">
        <v>149</v>
      </c>
      <c r="V1232">
        <f>IF(J1232="","",MONTH(J1232))</f>
        <v/>
      </c>
      <c r="W1232">
        <f>IF(J1232="","",YEAR(J1232))</f>
        <v/>
      </c>
      <c r="X1232" t="inlineStr">
        <is>
          <t>RotaSul</t>
        </is>
      </c>
      <c r="Y1232">
        <f>IFERROR(INDEX(Rastreio!$H$2:$H$200,MATCH(X1232&amp;"|"&amp;U1232,Rastreio!$A$2:$A$200,0)),"")</f>
        <v/>
      </c>
    </row>
    <row r="1233">
      <c r="A1233">
        <f>IFERROR(INDEX(STAs!$G$2:$G$61,MATCH(P1233,STAs!$F$2:$F$61,0))&amp;"","")</f>
        <v/>
      </c>
      <c r="B1233" t="n">
        <v>20030667</v>
      </c>
      <c r="C1233" t="inlineStr">
        <is>
          <t>Sim</t>
        </is>
      </c>
      <c r="D1233" t="inlineStr">
        <is>
          <t>PR</t>
        </is>
      </c>
      <c r="E1233" t="inlineStr">
        <is>
          <t>SUL</t>
        </is>
      </c>
      <c r="F1233" t="inlineStr">
        <is>
          <t>Cliente B - Chopeira</t>
        </is>
      </c>
      <c r="G1233" t="inlineStr">
        <is>
          <t>Refrigeradores</t>
        </is>
      </c>
      <c r="H1233" s="10" t="n">
        <v>50</v>
      </c>
      <c r="I1233" s="10">
        <f>IFERROR(T1233*H1233,0)</f>
        <v/>
      </c>
      <c r="J1233" s="11" t="n">
        <v>46128</v>
      </c>
      <c r="K1233" s="11" t="n">
        <v>46171</v>
      </c>
      <c r="L1233" t="inlineStr">
        <is>
          <t>Ok. Devolvida</t>
        </is>
      </c>
      <c r="M1233">
        <f>IF(L1233="","",IFERROR(VLOOKUP(L1233,mapGrupoStatus,2,0),"Outros"))</f>
        <v/>
      </c>
      <c r="N1233">
        <f>IF(O1233="","",IF(O1233&lt;=30,"0-30 dias",IF(O1233&lt;=60,"31-60 dias",IF(O1233&lt;=90,"61-90 dias","Mais de 90 dias"))))</f>
        <v/>
      </c>
      <c r="O1233">
        <f>IF(OR(M1233="Pendente",M1233="Em andamento"),IF(J1233="","",TODAY()-J1233),"")</f>
        <v/>
      </c>
      <c r="P1233" t="n">
        <v>10913</v>
      </c>
      <c r="Q1233" t="inlineStr">
        <is>
          <t>Ice Tech &amp; Cia (10913)</t>
        </is>
      </c>
      <c r="R1233" t="inlineStr">
        <is>
          <t>PC-0006</t>
        </is>
      </c>
      <c r="S1233" t="inlineStr">
        <is>
          <t>Termostato modelo 03</t>
        </is>
      </c>
      <c r="T1233" t="n">
        <v>1</v>
      </c>
      <c r="U1233" t="n">
        <v>154</v>
      </c>
      <c r="V1233">
        <f>IF(J1233="","",MONTH(J1233))</f>
        <v/>
      </c>
      <c r="W1233">
        <f>IF(J1233="","",YEAR(J1233))</f>
        <v/>
      </c>
      <c r="X1233" t="inlineStr">
        <is>
          <t>TransNorte</t>
        </is>
      </c>
      <c r="Y1233">
        <f>IFERROR(INDEX(Rastreio!$H$2:$H$200,MATCH(X1233&amp;"|"&amp;U1233,Rastreio!$A$2:$A$200,0)),"")</f>
        <v/>
      </c>
    </row>
    <row r="1234">
      <c r="A1234">
        <f>IFERROR(INDEX(STAs!$G$2:$G$61,MATCH(P1234,STAs!$F$2:$F$61,0))&amp;"","")</f>
        <v/>
      </c>
      <c r="B1234" t="n">
        <v>20037933</v>
      </c>
      <c r="C1234" t="inlineStr">
        <is>
          <t>Não</t>
        </is>
      </c>
      <c r="D1234" t="inlineStr">
        <is>
          <t>SP</t>
        </is>
      </c>
      <c r="E1234" t="inlineStr">
        <is>
          <t>SUDESTE SP</t>
        </is>
      </c>
      <c r="F1234" t="inlineStr">
        <is>
          <t>Cliente C - Misturador</t>
        </is>
      </c>
      <c r="G1234" t="inlineStr">
        <is>
          <t>Refrigeradores</t>
        </is>
      </c>
      <c r="H1234" s="10" t="n">
        <v>315</v>
      </c>
      <c r="I1234" s="10">
        <f>IFERROR(T1234*H1234,0)</f>
        <v/>
      </c>
      <c r="J1234" s="11" t="n">
        <v>46128</v>
      </c>
      <c r="K1234" s="11" t="n">
        <v>46144</v>
      </c>
      <c r="L1234" t="inlineStr">
        <is>
          <t>Ok. Devolvida</t>
        </is>
      </c>
      <c r="M1234">
        <f>IF(L1234="","",IFERROR(VLOOKUP(L1234,mapGrupoStatus,2,0),"Outros"))</f>
        <v/>
      </c>
      <c r="N1234">
        <f>IF(O1234="","",IF(O1234&lt;=30,"0-30 dias",IF(O1234&lt;=60,"31-60 dias",IF(O1234&lt;=90,"61-90 dias","Mais de 90 dias"))))</f>
        <v/>
      </c>
      <c r="O1234">
        <f>IF(OR(M1234="Pendente",M1234="Em andamento"),IF(J1234="","",TODAY()-J1234),"")</f>
        <v/>
      </c>
      <c r="P1234" t="n">
        <v>12052</v>
      </c>
      <c r="Q1234" t="inlineStr">
        <is>
          <t>Brisa Refrigeração (12052)</t>
        </is>
      </c>
      <c r="R1234" t="inlineStr">
        <is>
          <t>PC-0002</t>
        </is>
      </c>
      <c r="S1234" t="inlineStr">
        <is>
          <t>Compressor modelo 02</t>
        </is>
      </c>
      <c r="T1234" t="n">
        <v>1</v>
      </c>
      <c r="U1234" t="n">
        <v>172</v>
      </c>
      <c r="V1234">
        <f>IF(J1234="","",MONTH(J1234))</f>
        <v/>
      </c>
      <c r="W1234">
        <f>IF(J1234="","",YEAR(J1234))</f>
        <v/>
      </c>
      <c r="X1234" t="inlineStr">
        <is>
          <t>RotaSul</t>
        </is>
      </c>
      <c r="Y1234">
        <f>IFERROR(INDEX(Rastreio!$H$2:$H$200,MATCH(X1234&amp;"|"&amp;U1234,Rastreio!$A$2:$A$200,0)),"")</f>
        <v/>
      </c>
    </row>
    <row r="1235">
      <c r="A1235">
        <f>IFERROR(INDEX(STAs!$G$2:$G$61,MATCH(P1235,STAs!$F$2:$F$61,0))&amp;"","")</f>
        <v/>
      </c>
      <c r="B1235" t="n">
        <v>20007230</v>
      </c>
      <c r="C1235" t="inlineStr">
        <is>
          <t>Não</t>
        </is>
      </c>
      <c r="D1235" t="inlineStr">
        <is>
          <t>SP</t>
        </is>
      </c>
      <c r="E1235" t="inlineStr">
        <is>
          <t>SUDESTE SP</t>
        </is>
      </c>
      <c r="F1235" t="inlineStr">
        <is>
          <t>Cliente A - Refrigerador</t>
        </is>
      </c>
      <c r="G1235" t="inlineStr">
        <is>
          <t>Refrigeradores</t>
        </is>
      </c>
      <c r="H1235" s="10" t="n">
        <v>45</v>
      </c>
      <c r="I1235" s="10">
        <f>IFERROR(T1235*H1235,0)</f>
        <v/>
      </c>
      <c r="J1235" s="11" t="n">
        <v>46129</v>
      </c>
      <c r="K1235" s="11" t="n"/>
      <c r="L1235" t="inlineStr">
        <is>
          <t>NF Vencida</t>
        </is>
      </c>
      <c r="M1235">
        <f>IF(L1235="","",IFERROR(VLOOKUP(L1235,mapGrupoStatus,2,0),"Outros"))</f>
        <v/>
      </c>
      <c r="N1235">
        <f>IF(O1235="","",IF(O1235&lt;=30,"0-30 dias",IF(O1235&lt;=60,"31-60 dias",IF(O1235&lt;=90,"61-90 dias","Mais de 90 dias"))))</f>
        <v/>
      </c>
      <c r="O1235">
        <f>IF(OR(M1235="Pendente",M1235="Em andamento"),IF(J1235="","",TODAY()-J1235),"")</f>
        <v/>
      </c>
      <c r="P1235" t="n">
        <v>10538</v>
      </c>
      <c r="Q1235" t="inlineStr">
        <is>
          <t>Frio Refrigeração (10538)</t>
        </is>
      </c>
      <c r="R1235" t="inlineStr">
        <is>
          <t>PC-0018</t>
        </is>
      </c>
      <c r="S1235" t="inlineStr">
        <is>
          <t>Gaxeta da porta modelo 01</t>
        </is>
      </c>
      <c r="T1235" t="n">
        <v>1</v>
      </c>
      <c r="U1235" t="inlineStr"/>
      <c r="V1235">
        <f>IF(J1235="","",MONTH(J1235))</f>
        <v/>
      </c>
      <c r="W1235">
        <f>IF(J1235="","",YEAR(J1235))</f>
        <v/>
      </c>
      <c r="X1235" t="inlineStr"/>
      <c r="Y1235">
        <f>IFERROR(INDEX(Rastreio!$H$2:$H$200,MATCH(X1235&amp;"|"&amp;U1235,Rastreio!$A$2:$A$200,0)),"")</f>
        <v/>
      </c>
    </row>
    <row r="1236">
      <c r="A1236">
        <f>IFERROR(INDEX(STAs!$G$2:$G$61,MATCH(P1236,STAs!$F$2:$F$61,0))&amp;"","")</f>
        <v/>
      </c>
      <c r="B1236" t="n">
        <v>20007671</v>
      </c>
      <c r="C1236" t="inlineStr">
        <is>
          <t>Sim</t>
        </is>
      </c>
      <c r="D1236" t="inlineStr">
        <is>
          <t>PR</t>
        </is>
      </c>
      <c r="E1236" t="inlineStr">
        <is>
          <t>SUL</t>
        </is>
      </c>
      <c r="F1236" t="inlineStr">
        <is>
          <t>Cliente B - Chopeira</t>
        </is>
      </c>
      <c r="G1236" t="inlineStr">
        <is>
          <t>Refrigeradores</t>
        </is>
      </c>
      <c r="H1236" s="10" t="n">
        <v>50</v>
      </c>
      <c r="I1236" s="10">
        <f>IFERROR(T1236*H1236,0)</f>
        <v/>
      </c>
      <c r="J1236" s="11" t="n">
        <v>46129</v>
      </c>
      <c r="K1236" s="11" t="n">
        <v>46147</v>
      </c>
      <c r="L1236" t="inlineStr">
        <is>
          <t>Ok. Devolvida</t>
        </is>
      </c>
      <c r="M1236">
        <f>IF(L1236="","",IFERROR(VLOOKUP(L1236,mapGrupoStatus,2,0),"Outros"))</f>
        <v/>
      </c>
      <c r="N1236">
        <f>IF(O1236="","",IF(O1236&lt;=30,"0-30 dias",IF(O1236&lt;=60,"31-60 dias",IF(O1236&lt;=90,"61-90 dias","Mais de 90 dias"))))</f>
        <v/>
      </c>
      <c r="O1236">
        <f>IF(OR(M1236="Pendente",M1236="Em andamento"),IF(J1236="","",TODAY()-J1236),"")</f>
        <v/>
      </c>
      <c r="P1236" t="n">
        <v>12724</v>
      </c>
      <c r="Q1236" t="inlineStr">
        <is>
          <t>Cool Service &amp; Cia (12724)</t>
        </is>
      </c>
      <c r="R1236" t="inlineStr">
        <is>
          <t>PC-0006</t>
        </is>
      </c>
      <c r="S1236" t="inlineStr">
        <is>
          <t>Termostato modelo 03</t>
        </is>
      </c>
      <c r="T1236" t="n">
        <v>1</v>
      </c>
      <c r="U1236" t="n">
        <v>111</v>
      </c>
      <c r="V1236">
        <f>IF(J1236="","",MONTH(J1236))</f>
        <v/>
      </c>
      <c r="W1236">
        <f>IF(J1236="","",YEAR(J1236))</f>
        <v/>
      </c>
      <c r="X1236" t="inlineStr">
        <is>
          <t>TransNorte</t>
        </is>
      </c>
      <c r="Y1236">
        <f>IFERROR(INDEX(Rastreio!$H$2:$H$200,MATCH(X1236&amp;"|"&amp;U1236,Rastreio!$A$2:$A$200,0)),"")</f>
        <v/>
      </c>
    </row>
    <row r="1237">
      <c r="A1237">
        <f>IFERROR(INDEX(STAs!$G$2:$G$61,MATCH(P1237,STAs!$F$2:$F$61,0))&amp;"","")</f>
        <v/>
      </c>
      <c r="B1237" t="n">
        <v>20010234</v>
      </c>
      <c r="C1237" t="inlineStr">
        <is>
          <t>Não</t>
        </is>
      </c>
      <c r="D1237" t="inlineStr">
        <is>
          <t>AM</t>
        </is>
      </c>
      <c r="E1237" t="inlineStr">
        <is>
          <t>NORTE</t>
        </is>
      </c>
      <c r="F1237" t="inlineStr">
        <is>
          <t>Cliente A - Refrigerador</t>
        </is>
      </c>
      <c r="G1237" t="inlineStr">
        <is>
          <t>Chopeiras</t>
        </is>
      </c>
      <c r="H1237" s="10" t="n">
        <v>115</v>
      </c>
      <c r="I1237" s="10">
        <f>IFERROR(T1237*H1237,0)</f>
        <v/>
      </c>
      <c r="J1237" s="11" t="n">
        <v>46129</v>
      </c>
      <c r="K1237" s="11" t="n">
        <v>46170</v>
      </c>
      <c r="L1237" t="inlineStr">
        <is>
          <t>Ok. Devolvida</t>
        </is>
      </c>
      <c r="M1237">
        <f>IF(L1237="","",IFERROR(VLOOKUP(L1237,mapGrupoStatus,2,0),"Outros"))</f>
        <v/>
      </c>
      <c r="N1237">
        <f>IF(O1237="","",IF(O1237&lt;=30,"0-30 dias",IF(O1237&lt;=60,"31-60 dias",IF(O1237&lt;=90,"61-90 dias","Mais de 90 dias"))))</f>
        <v/>
      </c>
      <c r="O1237">
        <f>IF(OR(M1237="Pendente",M1237="Em andamento"),IF(J1237="","",TODAY()-J1237),"")</f>
        <v/>
      </c>
      <c r="P1237" t="n">
        <v>12269</v>
      </c>
      <c r="Q1237" t="inlineStr">
        <is>
          <t>Polar Técnica (12269)</t>
        </is>
      </c>
      <c r="R1237" t="inlineStr">
        <is>
          <t>PC-0033</t>
        </is>
      </c>
      <c r="S1237" t="inlineStr">
        <is>
          <t>Regulador de pressão modelo 02</t>
        </is>
      </c>
      <c r="T1237" t="n">
        <v>1</v>
      </c>
      <c r="U1237" t="n">
        <v>121</v>
      </c>
      <c r="V1237">
        <f>IF(J1237="","",MONTH(J1237))</f>
        <v/>
      </c>
      <c r="W1237">
        <f>IF(J1237="","",YEAR(J1237))</f>
        <v/>
      </c>
      <c r="X1237" t="inlineStr">
        <is>
          <t>EntregaJá</t>
        </is>
      </c>
      <c r="Y1237">
        <f>IFERROR(INDEX(Rastreio!$H$2:$H$200,MATCH(X1237&amp;"|"&amp;U1237,Rastreio!$A$2:$A$200,0)),"")</f>
        <v/>
      </c>
    </row>
    <row r="1238">
      <c r="A1238">
        <f>IFERROR(INDEX(STAs!$G$2:$G$61,MATCH(P1238,STAs!$F$2:$F$61,0))&amp;"","")</f>
        <v/>
      </c>
      <c r="B1238" t="n">
        <v>20011481</v>
      </c>
      <c r="C1238" t="inlineStr">
        <is>
          <t>Não</t>
        </is>
      </c>
      <c r="D1238" t="inlineStr">
        <is>
          <t>SP</t>
        </is>
      </c>
      <c r="E1238" t="inlineStr">
        <is>
          <t>SUDESTE SP</t>
        </is>
      </c>
      <c r="F1238" t="inlineStr">
        <is>
          <t>Cliente B - Chopeira</t>
        </is>
      </c>
      <c r="G1238" t="inlineStr">
        <is>
          <t>Chopeiras</t>
        </is>
      </c>
      <c r="H1238" s="10" t="n">
        <v>115</v>
      </c>
      <c r="I1238" s="10">
        <f>IFERROR(T1238*H1238,0)</f>
        <v/>
      </c>
      <c r="J1238" s="11" t="n">
        <v>46129</v>
      </c>
      <c r="K1238" s="11" t="n"/>
      <c r="L1238" t="inlineStr">
        <is>
          <t>NF Vencida</t>
        </is>
      </c>
      <c r="M1238">
        <f>IF(L1238="","",IFERROR(VLOOKUP(L1238,mapGrupoStatus,2,0),"Outros"))</f>
        <v/>
      </c>
      <c r="N1238">
        <f>IF(O1238="","",IF(O1238&lt;=30,"0-30 dias",IF(O1238&lt;=60,"31-60 dias",IF(O1238&lt;=90,"61-90 dias","Mais de 90 dias"))))</f>
        <v/>
      </c>
      <c r="O1238">
        <f>IF(OR(M1238="Pendente",M1238="Em andamento"),IF(J1238="","",TODAY()-J1238),"")</f>
        <v/>
      </c>
      <c r="P1238" t="n">
        <v>12052</v>
      </c>
      <c r="Q1238" t="inlineStr">
        <is>
          <t>Brisa Refrigeração (12052)</t>
        </is>
      </c>
      <c r="R1238" t="inlineStr">
        <is>
          <t>PC-0033</t>
        </is>
      </c>
      <c r="S1238" t="inlineStr">
        <is>
          <t>Regulador de pressão modelo 02</t>
        </is>
      </c>
      <c r="T1238" t="n">
        <v>1</v>
      </c>
      <c r="U1238" t="inlineStr"/>
      <c r="V1238">
        <f>IF(J1238="","",MONTH(J1238))</f>
        <v/>
      </c>
      <c r="W1238">
        <f>IF(J1238="","",YEAR(J1238))</f>
        <v/>
      </c>
      <c r="X1238" t="inlineStr"/>
      <c r="Y1238">
        <f>IFERROR(INDEX(Rastreio!$H$2:$H$200,MATCH(X1238&amp;"|"&amp;U1238,Rastreio!$A$2:$A$200,0)),"")</f>
        <v/>
      </c>
    </row>
    <row r="1239">
      <c r="A1239">
        <f>IFERROR(INDEX(STAs!$G$2:$G$61,MATCH(P1239,STAs!$F$2:$F$61,0))&amp;"","")</f>
        <v/>
      </c>
      <c r="B1239" t="n">
        <v>20019863</v>
      </c>
      <c r="C1239" t="inlineStr">
        <is>
          <t>Não</t>
        </is>
      </c>
      <c r="D1239" t="inlineStr">
        <is>
          <t>SP</t>
        </is>
      </c>
      <c r="E1239" t="inlineStr">
        <is>
          <t>SUDESTE SP</t>
        </is>
      </c>
      <c r="F1239" t="inlineStr">
        <is>
          <t>Cliente C - Misturador</t>
        </is>
      </c>
      <c r="G1239" t="inlineStr">
        <is>
          <t>Chopeiras</t>
        </is>
      </c>
      <c r="H1239" s="10" t="n">
        <v>205</v>
      </c>
      <c r="I1239" s="10">
        <f>IFERROR(T1239*H1239,0)</f>
        <v/>
      </c>
      <c r="J1239" s="11" t="n">
        <v>46129</v>
      </c>
      <c r="K1239" s="11" t="n">
        <v>46177</v>
      </c>
      <c r="L1239" t="inlineStr">
        <is>
          <t>Ok. Devolvida</t>
        </is>
      </c>
      <c r="M1239">
        <f>IF(L1239="","",IFERROR(VLOOKUP(L1239,mapGrupoStatus,2,0),"Outros"))</f>
        <v/>
      </c>
      <c r="N1239">
        <f>IF(O1239="","",IF(O1239&lt;=30,"0-30 dias",IF(O1239&lt;=60,"31-60 dias",IF(O1239&lt;=90,"61-90 dias","Mais de 90 dias"))))</f>
        <v/>
      </c>
      <c r="O1239">
        <f>IF(OR(M1239="Pendente",M1239="Em andamento"),IF(J1239="","",TODAY()-J1239),"")</f>
        <v/>
      </c>
      <c r="P1239" t="n">
        <v>10413</v>
      </c>
      <c r="Q1239" t="inlineStr">
        <is>
          <t>Polar Manutenção (10413)</t>
        </is>
      </c>
      <c r="R1239" t="inlineStr">
        <is>
          <t>PC-0031</t>
        </is>
      </c>
      <c r="S1239" t="inlineStr">
        <is>
          <t>Serpentina modelo 03</t>
        </is>
      </c>
      <c r="T1239" t="n">
        <v>1</v>
      </c>
      <c r="U1239" t="n">
        <v>136</v>
      </c>
      <c r="V1239">
        <f>IF(J1239="","",MONTH(J1239))</f>
        <v/>
      </c>
      <c r="W1239">
        <f>IF(J1239="","",YEAR(J1239))</f>
        <v/>
      </c>
      <c r="X1239" t="inlineStr">
        <is>
          <t>CargoMax</t>
        </is>
      </c>
      <c r="Y1239">
        <f>IFERROR(INDEX(Rastreio!$H$2:$H$200,MATCH(X1239&amp;"|"&amp;U1239,Rastreio!$A$2:$A$200,0)),"")</f>
        <v/>
      </c>
    </row>
    <row r="1240">
      <c r="A1240">
        <f>IFERROR(INDEX(STAs!$G$2:$G$61,MATCH(P1240,STAs!$F$2:$F$61,0))&amp;"","")</f>
        <v/>
      </c>
      <c r="B1240" t="n">
        <v>20022973</v>
      </c>
      <c r="C1240" t="inlineStr">
        <is>
          <t>Não</t>
        </is>
      </c>
      <c r="D1240" t="inlineStr">
        <is>
          <t>MG</t>
        </is>
      </c>
      <c r="E1240" t="inlineStr">
        <is>
          <t>SUDESTE MG</t>
        </is>
      </c>
      <c r="F1240" t="inlineStr">
        <is>
          <t>Cliente B - Chopeira</t>
        </is>
      </c>
      <c r="G1240" t="inlineStr">
        <is>
          <t>Chopeiras</t>
        </is>
      </c>
      <c r="H1240" s="10" t="n">
        <v>215</v>
      </c>
      <c r="I1240" s="10">
        <f>IFERROR(T1240*H1240,0)</f>
        <v/>
      </c>
      <c r="J1240" s="11" t="n">
        <v>46129</v>
      </c>
      <c r="K1240" s="11" t="n"/>
      <c r="L1240" t="inlineStr">
        <is>
          <t>Debitar do STA</t>
        </is>
      </c>
      <c r="M1240">
        <f>IF(L1240="","",IFERROR(VLOOKUP(L1240,mapGrupoStatus,2,0),"Outros"))</f>
        <v/>
      </c>
      <c r="N1240">
        <f>IF(O1240="","",IF(O1240&lt;=30,"0-30 dias",IF(O1240&lt;=60,"31-60 dias",IF(O1240&lt;=90,"61-90 dias","Mais de 90 dias"))))</f>
        <v/>
      </c>
      <c r="O1240">
        <f>IF(OR(M1240="Pendente",M1240="Em andamento"),IF(J1240="","",TODAY()-J1240),"")</f>
        <v/>
      </c>
      <c r="P1240" t="n">
        <v>12689</v>
      </c>
      <c r="Q1240" t="inlineStr">
        <is>
          <t>Norte Frio Manutenção (12689)</t>
        </is>
      </c>
      <c r="R1240" t="inlineStr">
        <is>
          <t>PC-0030</t>
        </is>
      </c>
      <c r="S1240" t="inlineStr">
        <is>
          <t>Serpentina modelo 02</t>
        </is>
      </c>
      <c r="T1240" t="n">
        <v>1</v>
      </c>
      <c r="U1240" t="inlineStr"/>
      <c r="V1240">
        <f>IF(J1240="","",MONTH(J1240))</f>
        <v/>
      </c>
      <c r="W1240">
        <f>IF(J1240="","",YEAR(J1240))</f>
        <v/>
      </c>
      <c r="X1240" t="inlineStr"/>
      <c r="Y1240">
        <f>IFERROR(INDEX(Rastreio!$H$2:$H$200,MATCH(X1240&amp;"|"&amp;U1240,Rastreio!$A$2:$A$200,0)),"")</f>
        <v/>
      </c>
    </row>
    <row r="1241">
      <c r="A1241">
        <f>IFERROR(INDEX(STAs!$G$2:$G$61,MATCH(P1241,STAs!$F$2:$F$61,0))&amp;"","")</f>
        <v/>
      </c>
      <c r="B1241" t="n">
        <v>20035934</v>
      </c>
      <c r="C1241" t="inlineStr">
        <is>
          <t>Não</t>
        </is>
      </c>
      <c r="D1241" t="inlineStr">
        <is>
          <t>SP</t>
        </is>
      </c>
      <c r="E1241" t="inlineStr">
        <is>
          <t>SUDESTE SP</t>
        </is>
      </c>
      <c r="F1241" t="inlineStr">
        <is>
          <t>Cliente A - Refrigerador</t>
        </is>
      </c>
      <c r="G1241" t="inlineStr">
        <is>
          <t>Refrigeradores</t>
        </is>
      </c>
      <c r="H1241" s="10" t="n">
        <v>155</v>
      </c>
      <c r="I1241" s="10">
        <f>IFERROR(T1241*H1241,0)</f>
        <v/>
      </c>
      <c r="J1241" s="11" t="n">
        <v>46129</v>
      </c>
      <c r="K1241" s="11" t="n">
        <v>46179</v>
      </c>
      <c r="L1241" t="inlineStr">
        <is>
          <t>Ok. Devolvida</t>
        </is>
      </c>
      <c r="M1241">
        <f>IF(L1241="","",IFERROR(VLOOKUP(L1241,mapGrupoStatus,2,0),"Outros"))</f>
        <v/>
      </c>
      <c r="N1241">
        <f>IF(O1241="","",IF(O1241&lt;=30,"0-30 dias",IF(O1241&lt;=60,"31-60 dias",IF(O1241&lt;=90,"61-90 dias","Mais de 90 dias"))))</f>
        <v/>
      </c>
      <c r="O1241">
        <f>IF(OR(M1241="Pendente",M1241="Em andamento"),IF(J1241="","",TODAY()-J1241),"")</f>
        <v/>
      </c>
      <c r="P1241" t="n">
        <v>12901</v>
      </c>
      <c r="Q1241" t="inlineStr">
        <is>
          <t>Frio Serviços (12901)</t>
        </is>
      </c>
      <c r="R1241" t="inlineStr">
        <is>
          <t>PC-0021</t>
        </is>
      </c>
      <c r="S1241" t="inlineStr">
        <is>
          <t>Controlador digital modelo 01</t>
        </is>
      </c>
      <c r="T1241" t="n">
        <v>2</v>
      </c>
      <c r="U1241" t="n">
        <v>164</v>
      </c>
      <c r="V1241">
        <f>IF(J1241="","",MONTH(J1241))</f>
        <v/>
      </c>
      <c r="W1241">
        <f>IF(J1241="","",YEAR(J1241))</f>
        <v/>
      </c>
      <c r="X1241" t="inlineStr">
        <is>
          <t>TransNorte</t>
        </is>
      </c>
      <c r="Y1241">
        <f>IFERROR(INDEX(Rastreio!$H$2:$H$200,MATCH(X1241&amp;"|"&amp;U1241,Rastreio!$A$2:$A$200,0)),"")</f>
        <v/>
      </c>
    </row>
    <row r="1242">
      <c r="A1242">
        <f>IFERROR(INDEX(STAs!$G$2:$G$61,MATCH(P1242,STAs!$F$2:$F$61,0))&amp;"","")</f>
        <v/>
      </c>
      <c r="B1242" t="n">
        <v>20038055</v>
      </c>
      <c r="C1242" t="inlineStr">
        <is>
          <t>Não</t>
        </is>
      </c>
      <c r="D1242" t="inlineStr">
        <is>
          <t>SP</t>
        </is>
      </c>
      <c r="E1242" t="inlineStr">
        <is>
          <t>SUDESTE SP</t>
        </is>
      </c>
      <c r="F1242" t="inlineStr">
        <is>
          <t>Cliente B - Chopeira</t>
        </is>
      </c>
      <c r="G1242" t="inlineStr">
        <is>
          <t>Misturadores</t>
        </is>
      </c>
      <c r="H1242" s="10" t="n">
        <v>35</v>
      </c>
      <c r="I1242" s="10">
        <f>IFERROR(T1242*H1242,0)</f>
        <v/>
      </c>
      <c r="J1242" s="11" t="n">
        <v>46129</v>
      </c>
      <c r="K1242" s="11" t="n"/>
      <c r="L1242" t="inlineStr">
        <is>
          <t>Em andamento</t>
        </is>
      </c>
      <c r="M1242">
        <f>IF(L1242="","",IFERROR(VLOOKUP(L1242,mapGrupoStatus,2,0),"Outros"))</f>
        <v/>
      </c>
      <c r="N1242">
        <f>IF(O1242="","",IF(O1242&lt;=30,"0-30 dias",IF(O1242&lt;=60,"31-60 dias",IF(O1242&lt;=90,"61-90 dias","Mais de 90 dias"))))</f>
        <v/>
      </c>
      <c r="O1242">
        <f>IF(OR(M1242="Pendente",M1242="Em andamento"),IF(J1242="","",TODAY()-J1242),"")</f>
        <v/>
      </c>
      <c r="P1242" t="n">
        <v>10538</v>
      </c>
      <c r="Q1242" t="inlineStr">
        <is>
          <t>Frio Refrigeração (10538)</t>
        </is>
      </c>
      <c r="R1242" t="inlineStr">
        <is>
          <t>PC-0043</t>
        </is>
      </c>
      <c r="S1242" t="inlineStr">
        <is>
          <t>Bico dosador modelo 02</t>
        </is>
      </c>
      <c r="T1242" t="n">
        <v>1</v>
      </c>
      <c r="U1242" t="n">
        <v>165</v>
      </c>
      <c r="V1242">
        <f>IF(J1242="","",MONTH(J1242))</f>
        <v/>
      </c>
      <c r="W1242">
        <f>IF(J1242="","",YEAR(J1242))</f>
        <v/>
      </c>
      <c r="X1242" t="inlineStr">
        <is>
          <t>CargoMax</t>
        </is>
      </c>
      <c r="Y1242">
        <f>IFERROR(INDEX(Rastreio!$H$2:$H$200,MATCH(X1242&amp;"|"&amp;U1242,Rastreio!$A$2:$A$200,0)),"")</f>
        <v/>
      </c>
    </row>
    <row r="1243">
      <c r="A1243">
        <f>IFERROR(INDEX(STAs!$G$2:$G$61,MATCH(P1243,STAs!$F$2:$F$61,0))&amp;"","")</f>
        <v/>
      </c>
      <c r="B1243" t="n">
        <v>20040920</v>
      </c>
      <c r="C1243" t="inlineStr">
        <is>
          <t>Não</t>
        </is>
      </c>
      <c r="D1243" t="inlineStr">
        <is>
          <t>GO</t>
        </is>
      </c>
      <c r="E1243" t="inlineStr">
        <is>
          <t>CENTRO OESTE</t>
        </is>
      </c>
      <c r="F1243" t="inlineStr">
        <is>
          <t>Cliente B - Chopeira</t>
        </is>
      </c>
      <c r="G1243" t="inlineStr">
        <is>
          <t>Refrigeradores</t>
        </is>
      </c>
      <c r="H1243" s="10" t="n">
        <v>155</v>
      </c>
      <c r="I1243" s="10">
        <f>IFERROR(T1243*H1243,0)</f>
        <v/>
      </c>
      <c r="J1243" s="11" t="n">
        <v>46129</v>
      </c>
      <c r="K1243" s="11" t="n">
        <v>46180</v>
      </c>
      <c r="L1243" t="inlineStr">
        <is>
          <t>Ok. Devolvida</t>
        </is>
      </c>
      <c r="M1243">
        <f>IF(L1243="","",IFERROR(VLOOKUP(L1243,mapGrupoStatus,2,0),"Outros"))</f>
        <v/>
      </c>
      <c r="N1243">
        <f>IF(O1243="","",IF(O1243&lt;=30,"0-30 dias",IF(O1243&lt;=60,"31-60 dias",IF(O1243&lt;=90,"61-90 dias","Mais de 90 dias"))))</f>
        <v/>
      </c>
      <c r="O1243">
        <f>IF(OR(M1243="Pendente",M1243="Em andamento"),IF(J1243="","",TODAY()-J1243),"")</f>
        <v/>
      </c>
      <c r="P1243" t="n">
        <v>10317</v>
      </c>
      <c r="Q1243" t="inlineStr">
        <is>
          <t>Termotec Manutenção (10317)</t>
        </is>
      </c>
      <c r="R1243" t="inlineStr">
        <is>
          <t>PC-0022</t>
        </is>
      </c>
      <c r="S1243" t="inlineStr">
        <is>
          <t>Controlador digital modelo 02</t>
        </is>
      </c>
      <c r="T1243" t="n">
        <v>1</v>
      </c>
      <c r="U1243" t="n">
        <v>162</v>
      </c>
      <c r="V1243">
        <f>IF(J1243="","",MONTH(J1243))</f>
        <v/>
      </c>
      <c r="W1243">
        <f>IF(J1243="","",YEAR(J1243))</f>
        <v/>
      </c>
      <c r="X1243" t="inlineStr">
        <is>
          <t>EntregaJá</t>
        </is>
      </c>
      <c r="Y1243">
        <f>IFERROR(INDEX(Rastreio!$H$2:$H$200,MATCH(X1243&amp;"|"&amp;U1243,Rastreio!$A$2:$A$200,0)),"")</f>
        <v/>
      </c>
    </row>
    <row r="1244">
      <c r="A1244">
        <f>IFERROR(INDEX(STAs!$G$2:$G$61,MATCH(P1244,STAs!$F$2:$F$61,0))&amp;"","")</f>
        <v/>
      </c>
      <c r="B1244" t="n">
        <v>20000319</v>
      </c>
      <c r="C1244" t="inlineStr">
        <is>
          <t>Não</t>
        </is>
      </c>
      <c r="D1244" t="inlineStr">
        <is>
          <t>GO</t>
        </is>
      </c>
      <c r="E1244" t="inlineStr">
        <is>
          <t>CENTRO OESTE</t>
        </is>
      </c>
      <c r="F1244" t="inlineStr">
        <is>
          <t>Cliente A - Refrigerador</t>
        </is>
      </c>
      <c r="G1244" t="inlineStr">
        <is>
          <t>Misturadores</t>
        </is>
      </c>
      <c r="H1244" s="10" t="n">
        <v>60</v>
      </c>
      <c r="I1244" s="10">
        <f>IFERROR(T1244*H1244,0)</f>
        <v/>
      </c>
      <c r="J1244" s="11" t="n">
        <v>46130</v>
      </c>
      <c r="K1244" s="11" t="n"/>
      <c r="L1244" t="inlineStr">
        <is>
          <t>Aguardando devolução</t>
        </is>
      </c>
      <c r="M1244">
        <f>IF(L1244="","",IFERROR(VLOOKUP(L1244,mapGrupoStatus,2,0),"Outros"))</f>
        <v/>
      </c>
      <c r="N1244">
        <f>IF(O1244="","",IF(O1244&lt;=30,"0-30 dias",IF(O1244&lt;=60,"31-60 dias",IF(O1244&lt;=90,"61-90 dias","Mais de 90 dias"))))</f>
        <v/>
      </c>
      <c r="O1244">
        <f>IF(OR(M1244="Pendente",M1244="Em andamento"),IF(J1244="","",TODAY()-J1244),"")</f>
        <v/>
      </c>
      <c r="P1244" t="n">
        <v>12007</v>
      </c>
      <c r="Q1244" t="inlineStr">
        <is>
          <t>Refrigel Ltda (12007)</t>
        </is>
      </c>
      <c r="R1244" t="inlineStr">
        <is>
          <t>PC-0046</t>
        </is>
      </c>
      <c r="S1244" t="inlineStr">
        <is>
          <t>Sensor de nível modelo 02</t>
        </is>
      </c>
      <c r="T1244" t="n">
        <v>1</v>
      </c>
      <c r="U1244" t="inlineStr"/>
      <c r="V1244">
        <f>IF(J1244="","",MONTH(J1244))</f>
        <v/>
      </c>
      <c r="W1244">
        <f>IF(J1244="","",YEAR(J1244))</f>
        <v/>
      </c>
      <c r="X1244" t="inlineStr"/>
      <c r="Y1244">
        <f>IFERROR(INDEX(Rastreio!$H$2:$H$200,MATCH(X1244&amp;"|"&amp;U1244,Rastreio!$A$2:$A$200,0)),"")</f>
        <v/>
      </c>
    </row>
    <row r="1245">
      <c r="A1245">
        <f>IFERROR(INDEX(STAs!$G$2:$G$61,MATCH(P1245,STAs!$F$2:$F$61,0))&amp;"","")</f>
        <v/>
      </c>
      <c r="B1245" t="n">
        <v>20002540</v>
      </c>
      <c r="C1245" t="inlineStr">
        <is>
          <t>Não</t>
        </is>
      </c>
      <c r="D1245" t="inlineStr">
        <is>
          <t>RS</t>
        </is>
      </c>
      <c r="E1245" t="inlineStr">
        <is>
          <t>SUL</t>
        </is>
      </c>
      <c r="F1245" t="inlineStr">
        <is>
          <t>Cliente B - Chopeira</t>
        </is>
      </c>
      <c r="G1245" t="inlineStr">
        <is>
          <t>Misturadores</t>
        </is>
      </c>
      <c r="H1245" s="10" t="n">
        <v>200</v>
      </c>
      <c r="I1245" s="10">
        <f>IFERROR(T1245*H1245,0)</f>
        <v/>
      </c>
      <c r="J1245" s="11" t="n">
        <v>46130</v>
      </c>
      <c r="K1245" s="11" t="n">
        <v>46150</v>
      </c>
      <c r="L1245" t="inlineStr">
        <is>
          <t>Ok. Devolvida</t>
        </is>
      </c>
      <c r="M1245">
        <f>IF(L1245="","",IFERROR(VLOOKUP(L1245,mapGrupoStatus,2,0),"Outros"))</f>
        <v/>
      </c>
      <c r="N1245">
        <f>IF(O1245="","",IF(O1245&lt;=30,"0-30 dias",IF(O1245&lt;=60,"31-60 dias",IF(O1245&lt;=90,"61-90 dias","Mais de 90 dias"))))</f>
        <v/>
      </c>
      <c r="O1245">
        <f>IF(OR(M1245="Pendente",M1245="Em andamento"),IF(J1245="","",TODAY()-J1245),"")</f>
        <v/>
      </c>
      <c r="P1245" t="n">
        <v>11459</v>
      </c>
      <c r="Q1245" t="inlineStr">
        <is>
          <t>Frio ME (11459)</t>
        </is>
      </c>
      <c r="R1245" t="inlineStr">
        <is>
          <t>PC-0040</t>
        </is>
      </c>
      <c r="S1245" t="inlineStr">
        <is>
          <t>Motor agitador modelo 01</t>
        </is>
      </c>
      <c r="T1245" t="n">
        <v>2</v>
      </c>
      <c r="U1245" t="n">
        <v>106</v>
      </c>
      <c r="V1245">
        <f>IF(J1245="","",MONTH(J1245))</f>
        <v/>
      </c>
      <c r="W1245">
        <f>IF(J1245="","",YEAR(J1245))</f>
        <v/>
      </c>
      <c r="X1245" t="inlineStr">
        <is>
          <t>ViaCargo</t>
        </is>
      </c>
      <c r="Y1245">
        <f>IFERROR(INDEX(Rastreio!$H$2:$H$200,MATCH(X1245&amp;"|"&amp;U1245,Rastreio!$A$2:$A$200,0)),"")</f>
        <v/>
      </c>
    </row>
    <row r="1246">
      <c r="A1246">
        <f>IFERROR(INDEX(STAs!$G$2:$G$61,MATCH(P1246,STAs!$F$2:$F$61,0))&amp;"","")</f>
        <v/>
      </c>
      <c r="B1246" t="n">
        <v>20002721</v>
      </c>
      <c r="C1246" t="inlineStr">
        <is>
          <t>Não</t>
        </is>
      </c>
      <c r="D1246" t="inlineStr">
        <is>
          <t>SP</t>
        </is>
      </c>
      <c r="E1246" t="inlineStr">
        <is>
          <t>SUDESTE SP</t>
        </is>
      </c>
      <c r="F1246" t="inlineStr">
        <is>
          <t>Cliente A - Refrigerador</t>
        </is>
      </c>
      <c r="G1246" t="inlineStr">
        <is>
          <t>Misturadores</t>
        </is>
      </c>
      <c r="H1246" s="10" t="n">
        <v>60</v>
      </c>
      <c r="I1246" s="10">
        <f>IFERROR(T1246*H1246,0)</f>
        <v/>
      </c>
      <c r="J1246" s="11" t="n">
        <v>46130</v>
      </c>
      <c r="K1246" s="11" t="n"/>
      <c r="L1246" t="inlineStr">
        <is>
          <t>Em transporte</t>
        </is>
      </c>
      <c r="M1246">
        <f>IF(L1246="","",IFERROR(VLOOKUP(L1246,mapGrupoStatus,2,0),"Outros"))</f>
        <v/>
      </c>
      <c r="N1246">
        <f>IF(O1246="","",IF(O1246&lt;=30,"0-30 dias",IF(O1246&lt;=60,"31-60 dias",IF(O1246&lt;=90,"61-90 dias","Mais de 90 dias"))))</f>
        <v/>
      </c>
      <c r="O1246">
        <f>IF(OR(M1246="Pendente",M1246="Em andamento"),IF(J1246="","",TODAY()-J1246),"")</f>
        <v/>
      </c>
      <c r="P1246" t="n">
        <v>10413</v>
      </c>
      <c r="Q1246" t="inlineStr">
        <is>
          <t>Polar Manutenção (10413)</t>
        </is>
      </c>
      <c r="R1246" t="inlineStr">
        <is>
          <t>PC-0046</t>
        </is>
      </c>
      <c r="S1246" t="inlineStr">
        <is>
          <t>Sensor de nível modelo 02</t>
        </is>
      </c>
      <c r="T1246" t="n">
        <v>2</v>
      </c>
      <c r="U1246" t="n">
        <v>104</v>
      </c>
      <c r="V1246">
        <f>IF(J1246="","",MONTH(J1246))</f>
        <v/>
      </c>
      <c r="W1246">
        <f>IF(J1246="","",YEAR(J1246))</f>
        <v/>
      </c>
      <c r="X1246" t="inlineStr">
        <is>
          <t>LogExpress</t>
        </is>
      </c>
      <c r="Y1246">
        <f>IFERROR(INDEX(Rastreio!$H$2:$H$200,MATCH(X1246&amp;"|"&amp;U1246,Rastreio!$A$2:$A$200,0)),"")</f>
        <v/>
      </c>
    </row>
    <row r="1247">
      <c r="A1247">
        <f>IFERROR(INDEX(STAs!$G$2:$G$61,MATCH(P1247,STAs!$F$2:$F$61,0))&amp;"","")</f>
        <v/>
      </c>
      <c r="B1247" t="n">
        <v>20010495</v>
      </c>
      <c r="C1247" t="inlineStr">
        <is>
          <t>Não</t>
        </is>
      </c>
      <c r="D1247" t="inlineStr">
        <is>
          <t>TO</t>
        </is>
      </c>
      <c r="E1247" t="inlineStr">
        <is>
          <t>NORTE</t>
        </is>
      </c>
      <c r="F1247" t="inlineStr">
        <is>
          <t>Cliente B - Chopeira</t>
        </is>
      </c>
      <c r="G1247" t="inlineStr">
        <is>
          <t>Refrigeradores</t>
        </is>
      </c>
      <c r="H1247" s="10" t="n">
        <v>50</v>
      </c>
      <c r="I1247" s="10">
        <f>IFERROR(T1247*H1247,0)</f>
        <v/>
      </c>
      <c r="J1247" s="11" t="n">
        <v>46130</v>
      </c>
      <c r="K1247" s="11" t="n"/>
      <c r="L1247" t="inlineStr">
        <is>
          <t>Não Devolve-Norte</t>
        </is>
      </c>
      <c r="M1247">
        <f>IF(L1247="","",IFERROR(VLOOKUP(L1247,mapGrupoStatus,2,0),"Outros"))</f>
        <v/>
      </c>
      <c r="N1247">
        <f>IF(O1247="","",IF(O1247&lt;=30,"0-30 dias",IF(O1247&lt;=60,"31-60 dias",IF(O1247&lt;=90,"61-90 dias","Mais de 90 dias"))))</f>
        <v/>
      </c>
      <c r="O1247">
        <f>IF(OR(M1247="Pendente",M1247="Em andamento"),IF(J1247="","",TODAY()-J1247),"")</f>
        <v/>
      </c>
      <c r="P1247" t="n">
        <v>10939</v>
      </c>
      <c r="Q1247" t="inlineStr">
        <is>
          <t>Zero Grau Manutenção (10939)</t>
        </is>
      </c>
      <c r="R1247" t="inlineStr">
        <is>
          <t>PC-0006</t>
        </is>
      </c>
      <c r="S1247" t="inlineStr">
        <is>
          <t>Termostato modelo 03</t>
        </is>
      </c>
      <c r="T1247" t="n">
        <v>1</v>
      </c>
      <c r="U1247" t="inlineStr"/>
      <c r="V1247">
        <f>IF(J1247="","",MONTH(J1247))</f>
        <v/>
      </c>
      <c r="W1247">
        <f>IF(J1247="","",YEAR(J1247))</f>
        <v/>
      </c>
      <c r="X1247" t="inlineStr"/>
      <c r="Y1247">
        <f>IFERROR(INDEX(Rastreio!$H$2:$H$200,MATCH(X1247&amp;"|"&amp;U1247,Rastreio!$A$2:$A$200,0)),"")</f>
        <v/>
      </c>
    </row>
    <row r="1248">
      <c r="A1248">
        <f>IFERROR(INDEX(STAs!$G$2:$G$61,MATCH(P1248,STAs!$F$2:$F$61,0))&amp;"","")</f>
        <v/>
      </c>
      <c r="B1248" t="n">
        <v>20013109</v>
      </c>
      <c r="C1248" t="inlineStr">
        <is>
          <t>Não</t>
        </is>
      </c>
      <c r="D1248" t="inlineStr">
        <is>
          <t>AC</t>
        </is>
      </c>
      <c r="E1248" t="inlineStr">
        <is>
          <t>NORTE</t>
        </is>
      </c>
      <c r="F1248" t="inlineStr">
        <is>
          <t>Cliente A - Refrigerador</t>
        </is>
      </c>
      <c r="G1248" t="inlineStr">
        <is>
          <t>Misturadores</t>
        </is>
      </c>
      <c r="H1248" s="10" t="n">
        <v>255</v>
      </c>
      <c r="I1248" s="10">
        <f>IFERROR(T1248*H1248,0)</f>
        <v/>
      </c>
      <c r="J1248" s="11" t="n">
        <v>46130</v>
      </c>
      <c r="K1248" s="11" t="n"/>
      <c r="L1248" t="inlineStr">
        <is>
          <t>Não Devolve-Norte</t>
        </is>
      </c>
      <c r="M1248">
        <f>IF(L1248="","",IFERROR(VLOOKUP(L1248,mapGrupoStatus,2,0),"Outros"))</f>
        <v/>
      </c>
      <c r="N1248">
        <f>IF(O1248="","",IF(O1248&lt;=30,"0-30 dias",IF(O1248&lt;=60,"31-60 dias",IF(O1248&lt;=90,"61-90 dias","Mais de 90 dias"))))</f>
        <v/>
      </c>
      <c r="O1248">
        <f>IF(OR(M1248="Pendente",M1248="Em andamento"),IF(J1248="","",TODAY()-J1248),"")</f>
        <v/>
      </c>
      <c r="P1248" t="n">
        <v>11022</v>
      </c>
      <c r="Q1248" t="inlineStr">
        <is>
          <t>Brisa Ltda (11022)</t>
        </is>
      </c>
      <c r="R1248" t="inlineStr">
        <is>
          <t>PC-0039</t>
        </is>
      </c>
      <c r="S1248" t="inlineStr">
        <is>
          <t>Bomba de recirculação modelo 03</t>
        </is>
      </c>
      <c r="T1248" t="n">
        <v>1</v>
      </c>
      <c r="U1248" t="inlineStr"/>
      <c r="V1248">
        <f>IF(J1248="","",MONTH(J1248))</f>
        <v/>
      </c>
      <c r="W1248">
        <f>IF(J1248="","",YEAR(J1248))</f>
        <v/>
      </c>
      <c r="X1248" t="inlineStr"/>
      <c r="Y1248">
        <f>IFERROR(INDEX(Rastreio!$H$2:$H$200,MATCH(X1248&amp;"|"&amp;U1248,Rastreio!$A$2:$A$200,0)),"")</f>
        <v/>
      </c>
    </row>
    <row r="1249">
      <c r="A1249">
        <f>IFERROR(INDEX(STAs!$G$2:$G$61,MATCH(P1249,STAs!$F$2:$F$61,0))&amp;"","")</f>
        <v/>
      </c>
      <c r="B1249" t="n">
        <v>20020669</v>
      </c>
      <c r="C1249" t="inlineStr">
        <is>
          <t>Não</t>
        </is>
      </c>
      <c r="D1249" t="inlineStr">
        <is>
          <t>SP</t>
        </is>
      </c>
      <c r="E1249" t="inlineStr">
        <is>
          <t>SUDESTE SP</t>
        </is>
      </c>
      <c r="F1249" t="inlineStr">
        <is>
          <t>Cliente C - Misturador</t>
        </is>
      </c>
      <c r="G1249" t="inlineStr">
        <is>
          <t>Chopeiras</t>
        </is>
      </c>
      <c r="H1249" s="10" t="n">
        <v>100</v>
      </c>
      <c r="I1249" s="10">
        <f>IFERROR(T1249*H1249,0)</f>
        <v/>
      </c>
      <c r="J1249" s="11" t="n">
        <v>46130</v>
      </c>
      <c r="K1249" s="11" t="n">
        <v>46160</v>
      </c>
      <c r="L1249" t="inlineStr">
        <is>
          <t>Ok. Devolvida</t>
        </is>
      </c>
      <c r="M1249">
        <f>IF(L1249="","",IFERROR(VLOOKUP(L1249,mapGrupoStatus,2,0),"Outros"))</f>
        <v/>
      </c>
      <c r="N1249">
        <f>IF(O1249="","",IF(O1249&lt;=30,"0-30 dias",IF(O1249&lt;=60,"31-60 dias",IF(O1249&lt;=90,"61-90 dias","Mais de 90 dias"))))</f>
        <v/>
      </c>
      <c r="O1249">
        <f>IF(OR(M1249="Pendente",M1249="Em andamento"),IF(J1249="","",TODAY()-J1249),"")</f>
        <v/>
      </c>
      <c r="P1249" t="n">
        <v>12901</v>
      </c>
      <c r="Q1249" t="inlineStr">
        <is>
          <t>Frio Serviços (12901)</t>
        </is>
      </c>
      <c r="R1249" t="inlineStr">
        <is>
          <t>PC-0027</t>
        </is>
      </c>
      <c r="S1249" t="inlineStr">
        <is>
          <t>Torneira de chopp modelo 02</t>
        </is>
      </c>
      <c r="T1249" t="n">
        <v>2</v>
      </c>
      <c r="U1249" t="n">
        <v>131</v>
      </c>
      <c r="V1249">
        <f>IF(J1249="","",MONTH(J1249))</f>
        <v/>
      </c>
      <c r="W1249">
        <f>IF(J1249="","",YEAR(J1249))</f>
        <v/>
      </c>
      <c r="X1249" t="inlineStr">
        <is>
          <t>TransNorte</t>
        </is>
      </c>
      <c r="Y1249">
        <f>IFERROR(INDEX(Rastreio!$H$2:$H$200,MATCH(X1249&amp;"|"&amp;U1249,Rastreio!$A$2:$A$200,0)),"")</f>
        <v/>
      </c>
    </row>
    <row r="1250">
      <c r="A1250">
        <f>IFERROR(INDEX(STAs!$G$2:$G$61,MATCH(P1250,STAs!$F$2:$F$61,0))&amp;"","")</f>
        <v/>
      </c>
      <c r="B1250" t="n">
        <v>20029677</v>
      </c>
      <c r="C1250" t="inlineStr">
        <is>
          <t>Não</t>
        </is>
      </c>
      <c r="D1250" t="inlineStr">
        <is>
          <t>PA</t>
        </is>
      </c>
      <c r="E1250" t="inlineStr">
        <is>
          <t>NORTE</t>
        </is>
      </c>
      <c r="F1250" t="inlineStr">
        <is>
          <t>Cliente C - Misturador</t>
        </is>
      </c>
      <c r="G1250" t="inlineStr">
        <is>
          <t>Refrigeradores</t>
        </is>
      </c>
      <c r="H1250" s="10" t="n">
        <v>330</v>
      </c>
      <c r="I1250" s="10">
        <f>IFERROR(T1250*H1250,0)</f>
        <v/>
      </c>
      <c r="J1250" s="11" t="n">
        <v>46130</v>
      </c>
      <c r="K1250" s="11" t="n">
        <v>46145</v>
      </c>
      <c r="L1250" t="inlineStr">
        <is>
          <t>Ok. Devolvida</t>
        </is>
      </c>
      <c r="M1250">
        <f>IF(L1250="","",IFERROR(VLOOKUP(L1250,mapGrupoStatus,2,0),"Outros"))</f>
        <v/>
      </c>
      <c r="N1250">
        <f>IF(O1250="","",IF(O1250&lt;=30,"0-30 dias",IF(O1250&lt;=60,"31-60 dias",IF(O1250&lt;=90,"61-90 dias","Mais de 90 dias"))))</f>
        <v/>
      </c>
      <c r="O1250">
        <f>IF(OR(M1250="Pendente",M1250="Em andamento"),IF(J1250="","",TODAY()-J1250),"")</f>
        <v/>
      </c>
      <c r="P1250" t="n">
        <v>11986</v>
      </c>
      <c r="Q1250" t="inlineStr">
        <is>
          <t>Polar Serviços (11986)</t>
        </is>
      </c>
      <c r="R1250" t="inlineStr">
        <is>
          <t>PC-0003</t>
        </is>
      </c>
      <c r="S1250" t="inlineStr">
        <is>
          <t>Compressor modelo 03</t>
        </is>
      </c>
      <c r="T1250" t="n">
        <v>1</v>
      </c>
      <c r="U1250" t="n">
        <v>153</v>
      </c>
      <c r="V1250">
        <f>IF(J1250="","",MONTH(J1250))</f>
        <v/>
      </c>
      <c r="W1250">
        <f>IF(J1250="","",YEAR(J1250))</f>
        <v/>
      </c>
      <c r="X1250" t="inlineStr">
        <is>
          <t>CargoMax</t>
        </is>
      </c>
      <c r="Y1250">
        <f>IFERROR(INDEX(Rastreio!$H$2:$H$200,MATCH(X1250&amp;"|"&amp;U1250,Rastreio!$A$2:$A$200,0)),"")</f>
        <v/>
      </c>
    </row>
    <row r="1251">
      <c r="A1251">
        <f>IFERROR(INDEX(STAs!$G$2:$G$61,MATCH(P1251,STAs!$F$2:$F$61,0))&amp;"","")</f>
        <v/>
      </c>
      <c r="B1251" t="n">
        <v>20036004</v>
      </c>
      <c r="C1251" t="inlineStr">
        <is>
          <t>Não</t>
        </is>
      </c>
      <c r="D1251" t="inlineStr">
        <is>
          <t>RR</t>
        </is>
      </c>
      <c r="E1251" t="inlineStr">
        <is>
          <t>NORTE</t>
        </is>
      </c>
      <c r="F1251" t="inlineStr">
        <is>
          <t>Cliente C - Misturador</t>
        </is>
      </c>
      <c r="G1251" t="inlineStr">
        <is>
          <t>Misturadores</t>
        </is>
      </c>
      <c r="H1251" s="10" t="n">
        <v>255</v>
      </c>
      <c r="I1251" s="10">
        <f>IFERROR(T1251*H1251,0)</f>
        <v/>
      </c>
      <c r="J1251" s="11" t="n">
        <v>46130</v>
      </c>
      <c r="K1251" s="11" t="n"/>
      <c r="L1251" t="inlineStr">
        <is>
          <t>NF Vencida</t>
        </is>
      </c>
      <c r="M1251">
        <f>IF(L1251="","",IFERROR(VLOOKUP(L1251,mapGrupoStatus,2,0),"Outros"))</f>
        <v/>
      </c>
      <c r="N1251">
        <f>IF(O1251="","",IF(O1251&lt;=30,"0-30 dias",IF(O1251&lt;=60,"31-60 dias",IF(O1251&lt;=90,"61-90 dias","Mais de 90 dias"))))</f>
        <v/>
      </c>
      <c r="O1251">
        <f>IF(OR(M1251="Pendente",M1251="Em andamento"),IF(J1251="","",TODAY()-J1251),"")</f>
        <v/>
      </c>
      <c r="P1251" t="n">
        <v>11818</v>
      </c>
      <c r="Q1251" t="inlineStr">
        <is>
          <t>Termotec Ltda (11818)</t>
        </is>
      </c>
      <c r="R1251" t="inlineStr">
        <is>
          <t>PC-0037</t>
        </is>
      </c>
      <c r="S1251" t="inlineStr">
        <is>
          <t>Bomba de recirculação modelo 01</t>
        </is>
      </c>
      <c r="T1251" t="n">
        <v>1</v>
      </c>
      <c r="U1251" t="inlineStr"/>
      <c r="V1251">
        <f>IF(J1251="","",MONTH(J1251))</f>
        <v/>
      </c>
      <c r="W1251">
        <f>IF(J1251="","",YEAR(J1251))</f>
        <v/>
      </c>
      <c r="X1251" t="inlineStr"/>
      <c r="Y1251">
        <f>IFERROR(INDEX(Rastreio!$H$2:$H$200,MATCH(X1251&amp;"|"&amp;U1251,Rastreio!$A$2:$A$200,0)),"")</f>
        <v/>
      </c>
    </row>
    <row r="1252">
      <c r="A1252">
        <f>IFERROR(INDEX(STAs!$G$2:$G$61,MATCH(P1252,STAs!$F$2:$F$61,0))&amp;"","")</f>
        <v/>
      </c>
      <c r="B1252" t="n">
        <v>20037018</v>
      </c>
      <c r="C1252" t="inlineStr">
        <is>
          <t>Não</t>
        </is>
      </c>
      <c r="D1252" t="inlineStr">
        <is>
          <t>MS</t>
        </is>
      </c>
      <c r="E1252" t="inlineStr">
        <is>
          <t>CENTRO OESTE</t>
        </is>
      </c>
      <c r="F1252" t="inlineStr">
        <is>
          <t>Cliente A - Refrigerador</t>
        </is>
      </c>
      <c r="G1252" t="inlineStr">
        <is>
          <t>Refrigeradores</t>
        </is>
      </c>
      <c r="H1252" s="10" t="n">
        <v>50</v>
      </c>
      <c r="I1252" s="10">
        <f>IFERROR(T1252*H1252,0)</f>
        <v/>
      </c>
      <c r="J1252" s="11" t="n">
        <v>46130</v>
      </c>
      <c r="K1252" s="11" t="n">
        <v>46183</v>
      </c>
      <c r="L1252" t="inlineStr">
        <is>
          <t>Ok. Devolvida</t>
        </is>
      </c>
      <c r="M1252">
        <f>IF(L1252="","",IFERROR(VLOOKUP(L1252,mapGrupoStatus,2,0),"Outros"))</f>
        <v/>
      </c>
      <c r="N1252">
        <f>IF(O1252="","",IF(O1252&lt;=30,"0-30 dias",IF(O1252&lt;=60,"31-60 dias",IF(O1252&lt;=90,"61-90 dias","Mais de 90 dias"))))</f>
        <v/>
      </c>
      <c r="O1252">
        <f>IF(OR(M1252="Pendente",M1252="Em andamento"),IF(J1252="","",TODAY()-J1252),"")</f>
        <v/>
      </c>
      <c r="P1252" t="n">
        <v>11726</v>
      </c>
      <c r="Q1252" t="inlineStr">
        <is>
          <t>Norte Frio Refrigeração (11726)</t>
        </is>
      </c>
      <c r="R1252" t="inlineStr">
        <is>
          <t>PC-0006</t>
        </is>
      </c>
      <c r="S1252" t="inlineStr">
        <is>
          <t>Termostato modelo 03</t>
        </is>
      </c>
      <c r="T1252" t="n">
        <v>1</v>
      </c>
      <c r="U1252" t="n">
        <v>158</v>
      </c>
      <c r="V1252">
        <f>IF(J1252="","",MONTH(J1252))</f>
        <v/>
      </c>
      <c r="W1252">
        <f>IF(J1252="","",YEAR(J1252))</f>
        <v/>
      </c>
      <c r="X1252" t="inlineStr">
        <is>
          <t>ViaCargo</t>
        </is>
      </c>
      <c r="Y1252">
        <f>IFERROR(INDEX(Rastreio!$H$2:$H$200,MATCH(X1252&amp;"|"&amp;U1252,Rastreio!$A$2:$A$200,0)),"")</f>
        <v/>
      </c>
    </row>
    <row r="1253">
      <c r="A1253">
        <f>IFERROR(INDEX(STAs!$G$2:$G$61,MATCH(P1253,STAs!$F$2:$F$61,0))&amp;"","")</f>
        <v/>
      </c>
      <c r="B1253" t="n">
        <v>20000555</v>
      </c>
      <c r="C1253" t="inlineStr">
        <is>
          <t>Não</t>
        </is>
      </c>
      <c r="D1253" t="inlineStr">
        <is>
          <t>PR</t>
        </is>
      </c>
      <c r="E1253" t="inlineStr">
        <is>
          <t>SUL</t>
        </is>
      </c>
      <c r="F1253" t="inlineStr">
        <is>
          <t>Cliente A - Refrigerador</t>
        </is>
      </c>
      <c r="G1253" t="inlineStr">
        <is>
          <t>Refrigeradores</t>
        </is>
      </c>
      <c r="H1253" s="10" t="n">
        <v>325</v>
      </c>
      <c r="I1253" s="10">
        <f>IFERROR(T1253*H1253,0)</f>
        <v/>
      </c>
      <c r="J1253" s="11" t="n">
        <v>46131</v>
      </c>
      <c r="K1253" s="11" t="n"/>
      <c r="L1253" t="inlineStr">
        <is>
          <t>Em andamento</t>
        </is>
      </c>
      <c r="M1253">
        <f>IF(L1253="","",IFERROR(VLOOKUP(L1253,mapGrupoStatus,2,0),"Outros"))</f>
        <v/>
      </c>
      <c r="N1253">
        <f>IF(O1253="","",IF(O1253&lt;=30,"0-30 dias",IF(O1253&lt;=60,"31-60 dias",IF(O1253&lt;=90,"61-90 dias","Mais de 90 dias"))))</f>
        <v/>
      </c>
      <c r="O1253">
        <f>IF(OR(M1253="Pendente",M1253="Em andamento"),IF(J1253="","",TODAY()-J1253),"")</f>
        <v/>
      </c>
      <c r="P1253" t="n">
        <v>10504</v>
      </c>
      <c r="Q1253" t="inlineStr">
        <is>
          <t>Zero Grau Ltda (10504)</t>
        </is>
      </c>
      <c r="R1253" t="inlineStr">
        <is>
          <t>PC-0001</t>
        </is>
      </c>
      <c r="S1253" t="inlineStr">
        <is>
          <t>Compressor modelo 01</t>
        </is>
      </c>
      <c r="T1253" t="n">
        <v>1</v>
      </c>
      <c r="U1253" t="n">
        <v>101</v>
      </c>
      <c r="V1253">
        <f>IF(J1253="","",MONTH(J1253))</f>
        <v/>
      </c>
      <c r="W1253">
        <f>IF(J1253="","",YEAR(J1253))</f>
        <v/>
      </c>
      <c r="X1253" t="inlineStr">
        <is>
          <t>RotaSul</t>
        </is>
      </c>
      <c r="Y1253">
        <f>IFERROR(INDEX(Rastreio!$H$2:$H$200,MATCH(X1253&amp;"|"&amp;U1253,Rastreio!$A$2:$A$200,0)),"")</f>
        <v/>
      </c>
    </row>
    <row r="1254">
      <c r="A1254">
        <f>IFERROR(INDEX(STAs!$G$2:$G$61,MATCH(P1254,STAs!$F$2:$F$61,0))&amp;"","")</f>
        <v/>
      </c>
      <c r="B1254" t="n">
        <v>20005264</v>
      </c>
      <c r="C1254" t="inlineStr">
        <is>
          <t>Não</t>
        </is>
      </c>
      <c r="D1254" t="inlineStr">
        <is>
          <t>RJ</t>
        </is>
      </c>
      <c r="E1254" t="inlineStr">
        <is>
          <t>SUDESTE RJ e ES</t>
        </is>
      </c>
      <c r="F1254" t="inlineStr">
        <is>
          <t>Cliente B - Chopeira</t>
        </is>
      </c>
      <c r="G1254" t="inlineStr">
        <is>
          <t>Refrigeradores</t>
        </is>
      </c>
      <c r="H1254" s="10" t="n">
        <v>315</v>
      </c>
      <c r="I1254" s="10">
        <f>IFERROR(T1254*H1254,0)</f>
        <v/>
      </c>
      <c r="J1254" s="11" t="n">
        <v>46131</v>
      </c>
      <c r="K1254" s="11" t="n">
        <v>46158</v>
      </c>
      <c r="L1254" t="inlineStr">
        <is>
          <t>Ok. Devolvida</t>
        </is>
      </c>
      <c r="M1254">
        <f>IF(L1254="","",IFERROR(VLOOKUP(L1254,mapGrupoStatus,2,0),"Outros"))</f>
        <v/>
      </c>
      <c r="N1254">
        <f>IF(O1254="","",IF(O1254&lt;=30,"0-30 dias",IF(O1254&lt;=60,"31-60 dias",IF(O1254&lt;=90,"61-90 dias","Mais de 90 dias"))))</f>
        <v/>
      </c>
      <c r="O1254">
        <f>IF(OR(M1254="Pendente",M1254="Em andamento"),IF(J1254="","",TODAY()-J1254),"")</f>
        <v/>
      </c>
      <c r="P1254" t="n">
        <v>11059</v>
      </c>
      <c r="Q1254" t="inlineStr">
        <is>
          <t>Frio Ltda (11059)</t>
        </is>
      </c>
      <c r="R1254" t="inlineStr">
        <is>
          <t>PC-0002</t>
        </is>
      </c>
      <c r="S1254" t="inlineStr">
        <is>
          <t>Compressor modelo 02</t>
        </is>
      </c>
      <c r="T1254" t="n">
        <v>1</v>
      </c>
      <c r="U1254" t="n">
        <v>107</v>
      </c>
      <c r="V1254">
        <f>IF(J1254="","",MONTH(J1254))</f>
        <v/>
      </c>
      <c r="W1254">
        <f>IF(J1254="","",YEAR(J1254))</f>
        <v/>
      </c>
      <c r="X1254" t="inlineStr">
        <is>
          <t>CargoMax</t>
        </is>
      </c>
      <c r="Y1254">
        <f>IFERROR(INDEX(Rastreio!$H$2:$H$200,MATCH(X1254&amp;"|"&amp;U1254,Rastreio!$A$2:$A$200,0)),"")</f>
        <v/>
      </c>
    </row>
    <row r="1255">
      <c r="A1255">
        <f>IFERROR(INDEX(STAs!$G$2:$G$61,MATCH(P1255,STAs!$F$2:$F$61,0))&amp;"","")</f>
        <v/>
      </c>
      <c r="B1255" t="n">
        <v>20018251</v>
      </c>
      <c r="C1255" t="inlineStr">
        <is>
          <t>Não</t>
        </is>
      </c>
      <c r="D1255" t="inlineStr">
        <is>
          <t>AM</t>
        </is>
      </c>
      <c r="E1255" t="inlineStr">
        <is>
          <t>NORTE</t>
        </is>
      </c>
      <c r="F1255" t="inlineStr">
        <is>
          <t>Cliente C - Misturador</t>
        </is>
      </c>
      <c r="G1255" t="inlineStr">
        <is>
          <t>Refrigeradores</t>
        </is>
      </c>
      <c r="H1255" s="10" t="n">
        <v>35</v>
      </c>
      <c r="I1255" s="10">
        <f>IFERROR(T1255*H1255,0)</f>
        <v/>
      </c>
      <c r="J1255" s="11" t="n">
        <v>46131</v>
      </c>
      <c r="K1255" s="11" t="n"/>
      <c r="L1255" t="inlineStr">
        <is>
          <t>Não Devolve-Norte</t>
        </is>
      </c>
      <c r="M1255">
        <f>IF(L1255="","",IFERROR(VLOOKUP(L1255,mapGrupoStatus,2,0),"Outros"))</f>
        <v/>
      </c>
      <c r="N1255">
        <f>IF(O1255="","",IF(O1255&lt;=30,"0-30 dias",IF(O1255&lt;=60,"31-60 dias",IF(O1255&lt;=90,"61-90 dias","Mais de 90 dias"))))</f>
        <v/>
      </c>
      <c r="O1255">
        <f>IF(OR(M1255="Pendente",M1255="Em andamento"),IF(J1255="","",TODAY()-J1255),"")</f>
        <v/>
      </c>
      <c r="P1255" t="n">
        <v>10842</v>
      </c>
      <c r="Q1255" t="inlineStr">
        <is>
          <t>Frigo &amp; Cia (10842)</t>
        </is>
      </c>
      <c r="R1255" t="inlineStr">
        <is>
          <t>PC-0016</t>
        </is>
      </c>
      <c r="S1255" t="inlineStr">
        <is>
          <t>Filtro secador modelo 02</t>
        </is>
      </c>
      <c r="T1255" t="n">
        <v>1</v>
      </c>
      <c r="U1255" t="inlineStr"/>
      <c r="V1255">
        <f>IF(J1255="","",MONTH(J1255))</f>
        <v/>
      </c>
      <c r="W1255">
        <f>IF(J1255="","",YEAR(J1255))</f>
        <v/>
      </c>
      <c r="X1255" t="inlineStr"/>
      <c r="Y1255">
        <f>IFERROR(INDEX(Rastreio!$H$2:$H$200,MATCH(X1255&amp;"|"&amp;U1255,Rastreio!$A$2:$A$200,0)),"")</f>
        <v/>
      </c>
    </row>
    <row r="1256">
      <c r="A1256">
        <f>IFERROR(INDEX(STAs!$G$2:$G$61,MATCH(P1256,STAs!$F$2:$F$61,0))&amp;"","")</f>
        <v/>
      </c>
      <c r="B1256" t="n">
        <v>20025473</v>
      </c>
      <c r="C1256" t="inlineStr">
        <is>
          <t>Não</t>
        </is>
      </c>
      <c r="D1256" t="inlineStr">
        <is>
          <t>SP</t>
        </is>
      </c>
      <c r="E1256" t="inlineStr">
        <is>
          <t>SUDESTE SP</t>
        </is>
      </c>
      <c r="F1256" t="inlineStr">
        <is>
          <t>Cliente C - Misturador</t>
        </is>
      </c>
      <c r="G1256" t="inlineStr">
        <is>
          <t>Chopeiras</t>
        </is>
      </c>
      <c r="H1256" s="10" t="n">
        <v>100</v>
      </c>
      <c r="I1256" s="10">
        <f>IFERROR(T1256*H1256,0)</f>
        <v/>
      </c>
      <c r="J1256" s="11" t="n">
        <v>46131</v>
      </c>
      <c r="K1256" s="11" t="n">
        <v>46179</v>
      </c>
      <c r="L1256" t="inlineStr">
        <is>
          <t>Ok. Devolvida</t>
        </is>
      </c>
      <c r="M1256">
        <f>IF(L1256="","",IFERROR(VLOOKUP(L1256,mapGrupoStatus,2,0),"Outros"))</f>
        <v/>
      </c>
      <c r="N1256">
        <f>IF(O1256="","",IF(O1256&lt;=30,"0-30 dias",IF(O1256&lt;=60,"31-60 dias",IF(O1256&lt;=90,"61-90 dias","Mais de 90 dias"))))</f>
        <v/>
      </c>
      <c r="O1256">
        <f>IF(OR(M1256="Pendente",M1256="Em andamento"),IF(J1256="","",TODAY()-J1256),"")</f>
        <v/>
      </c>
      <c r="P1256" t="n">
        <v>12052</v>
      </c>
      <c r="Q1256" t="inlineStr">
        <is>
          <t>Brisa Refrigeração (12052)</t>
        </is>
      </c>
      <c r="R1256" t="inlineStr">
        <is>
          <t>PC-0027</t>
        </is>
      </c>
      <c r="S1256" t="inlineStr">
        <is>
          <t>Torneira de chopp modelo 02</t>
        </is>
      </c>
      <c r="T1256" t="n">
        <v>1</v>
      </c>
      <c r="U1256" t="n">
        <v>146</v>
      </c>
      <c r="V1256">
        <f>IF(J1256="","",MONTH(J1256))</f>
        <v/>
      </c>
      <c r="W1256">
        <f>IF(J1256="","",YEAR(J1256))</f>
        <v/>
      </c>
      <c r="X1256" t="inlineStr">
        <is>
          <t>LogExpress</t>
        </is>
      </c>
      <c r="Y1256">
        <f>IFERROR(INDEX(Rastreio!$H$2:$H$200,MATCH(X1256&amp;"|"&amp;U1256,Rastreio!$A$2:$A$200,0)),"")</f>
        <v/>
      </c>
    </row>
    <row r="1257">
      <c r="A1257">
        <f>IFERROR(INDEX(STAs!$G$2:$G$61,MATCH(P1257,STAs!$F$2:$F$61,0))&amp;"","")</f>
        <v/>
      </c>
      <c r="B1257" t="n">
        <v>20025781</v>
      </c>
      <c r="C1257" t="inlineStr">
        <is>
          <t>Sim</t>
        </is>
      </c>
      <c r="D1257" t="inlineStr">
        <is>
          <t>GO</t>
        </is>
      </c>
      <c r="E1257" t="inlineStr">
        <is>
          <t>CENTRO OESTE</t>
        </is>
      </c>
      <c r="F1257" t="inlineStr">
        <is>
          <t>Cliente A - Refrigerador</t>
        </is>
      </c>
      <c r="G1257" t="inlineStr">
        <is>
          <t>Misturadores</t>
        </is>
      </c>
      <c r="H1257" s="10" t="n">
        <v>50</v>
      </c>
      <c r="I1257" s="10">
        <f>IFERROR(T1257*H1257,0)</f>
        <v/>
      </c>
      <c r="J1257" s="11" t="n">
        <v>46131</v>
      </c>
      <c r="K1257" s="11" t="n"/>
      <c r="L1257" t="inlineStr">
        <is>
          <t>Debitar do STA</t>
        </is>
      </c>
      <c r="M1257">
        <f>IF(L1257="","",IFERROR(VLOOKUP(L1257,mapGrupoStatus,2,0),"Outros"))</f>
        <v/>
      </c>
      <c r="N1257">
        <f>IF(O1257="","",IF(O1257&lt;=30,"0-30 dias",IF(O1257&lt;=60,"31-60 dias",IF(O1257&lt;=90,"61-90 dias","Mais de 90 dias"))))</f>
        <v/>
      </c>
      <c r="O1257">
        <f>IF(OR(M1257="Pendente",M1257="Em andamento"),IF(J1257="","",TODAY()-J1257),"")</f>
        <v/>
      </c>
      <c r="P1257" t="n">
        <v>11677</v>
      </c>
      <c r="Q1257" t="inlineStr">
        <is>
          <t>Cool Service Manutenção (11677)</t>
        </is>
      </c>
      <c r="R1257" t="inlineStr">
        <is>
          <t>PC-0047</t>
        </is>
      </c>
      <c r="S1257" t="inlineStr">
        <is>
          <t>Sensor de nível modelo 03</t>
        </is>
      </c>
      <c r="T1257" t="n">
        <v>1</v>
      </c>
      <c r="U1257" t="inlineStr"/>
      <c r="V1257">
        <f>IF(J1257="","",MONTH(J1257))</f>
        <v/>
      </c>
      <c r="W1257">
        <f>IF(J1257="","",YEAR(J1257))</f>
        <v/>
      </c>
      <c r="X1257" t="inlineStr"/>
      <c r="Y1257">
        <f>IFERROR(INDEX(Rastreio!$H$2:$H$200,MATCH(X1257&amp;"|"&amp;U1257,Rastreio!$A$2:$A$200,0)),"")</f>
        <v/>
      </c>
    </row>
    <row r="1258">
      <c r="A1258">
        <f>IFERROR(INDEX(STAs!$G$2:$G$61,MATCH(P1258,STAs!$F$2:$F$61,0))&amp;"","")</f>
        <v/>
      </c>
      <c r="B1258" t="n">
        <v>20040027</v>
      </c>
      <c r="C1258" t="inlineStr">
        <is>
          <t>Não</t>
        </is>
      </c>
      <c r="D1258" t="inlineStr">
        <is>
          <t>PE</t>
        </is>
      </c>
      <c r="E1258" t="inlineStr">
        <is>
          <t>NORDESTE</t>
        </is>
      </c>
      <c r="F1258" t="inlineStr">
        <is>
          <t>Cliente B - Chopeira</t>
        </is>
      </c>
      <c r="G1258" t="inlineStr">
        <is>
          <t>Misturadores</t>
        </is>
      </c>
      <c r="H1258" s="10" t="n">
        <v>60</v>
      </c>
      <c r="I1258" s="10">
        <f>IFERROR(T1258*H1258,0)</f>
        <v/>
      </c>
      <c r="J1258" s="11" t="n">
        <v>46131</v>
      </c>
      <c r="K1258" s="11" t="n">
        <v>46156</v>
      </c>
      <c r="L1258" t="inlineStr">
        <is>
          <t>Ok. Devolvida</t>
        </is>
      </c>
      <c r="M1258">
        <f>IF(L1258="","",IFERROR(VLOOKUP(L1258,mapGrupoStatus,2,0),"Outros"))</f>
        <v/>
      </c>
      <c r="N1258">
        <f>IF(O1258="","",IF(O1258&lt;=30,"0-30 dias",IF(O1258&lt;=60,"31-60 dias",IF(O1258&lt;=90,"61-90 dias","Mais de 90 dias"))))</f>
        <v/>
      </c>
      <c r="O1258">
        <f>IF(OR(M1258="Pendente",M1258="Em andamento"),IF(J1258="","",TODAY()-J1258),"")</f>
        <v/>
      </c>
      <c r="P1258" t="n">
        <v>11352</v>
      </c>
      <c r="Q1258" t="inlineStr">
        <is>
          <t>Frio Express (11352)</t>
        </is>
      </c>
      <c r="R1258" t="inlineStr">
        <is>
          <t>PC-0046</t>
        </is>
      </c>
      <c r="S1258" t="inlineStr">
        <is>
          <t>Sensor de nível modelo 02</t>
        </is>
      </c>
      <c r="T1258" t="n">
        <v>1</v>
      </c>
      <c r="U1258" t="n">
        <v>158</v>
      </c>
      <c r="V1258">
        <f>IF(J1258="","",MONTH(J1258))</f>
        <v/>
      </c>
      <c r="W1258">
        <f>IF(J1258="","",YEAR(J1258))</f>
        <v/>
      </c>
      <c r="X1258" t="inlineStr">
        <is>
          <t>EntregaJá</t>
        </is>
      </c>
      <c r="Y1258">
        <f>IFERROR(INDEX(Rastreio!$H$2:$H$200,MATCH(X1258&amp;"|"&amp;U1258,Rastreio!$A$2:$A$200,0)),"")</f>
        <v/>
      </c>
    </row>
    <row r="1259">
      <c r="A1259">
        <f>IFERROR(INDEX(STAs!$G$2:$G$61,MATCH(P1259,STAs!$F$2:$F$61,0))&amp;"","")</f>
        <v/>
      </c>
      <c r="B1259" t="n">
        <v>20001646</v>
      </c>
      <c r="C1259" t="inlineStr">
        <is>
          <t>Não</t>
        </is>
      </c>
      <c r="D1259" t="inlineStr">
        <is>
          <t>MG</t>
        </is>
      </c>
      <c r="E1259" t="inlineStr">
        <is>
          <t>SUDESTE MG</t>
        </is>
      </c>
      <c r="F1259" t="inlineStr">
        <is>
          <t>Cliente C - Misturador</t>
        </is>
      </c>
      <c r="G1259" t="inlineStr">
        <is>
          <t>Misturadores</t>
        </is>
      </c>
      <c r="H1259" s="10" t="n">
        <v>265</v>
      </c>
      <c r="I1259" s="10">
        <f>IFERROR(T1259*H1259,0)</f>
        <v/>
      </c>
      <c r="J1259" s="11" t="n">
        <v>46132</v>
      </c>
      <c r="K1259" s="11" t="n">
        <v>46176</v>
      </c>
      <c r="L1259" t="inlineStr">
        <is>
          <t>Ok. Devolvida</t>
        </is>
      </c>
      <c r="M1259">
        <f>IF(L1259="","",IFERROR(VLOOKUP(L1259,mapGrupoStatus,2,0),"Outros"))</f>
        <v/>
      </c>
      <c r="N1259">
        <f>IF(O1259="","",IF(O1259&lt;=30,"0-30 dias",IF(O1259&lt;=60,"31-60 dias",IF(O1259&lt;=90,"61-90 dias","Mais de 90 dias"))))</f>
        <v/>
      </c>
      <c r="O1259">
        <f>IF(OR(M1259="Pendente",M1259="Em andamento"),IF(J1259="","",TODAY()-J1259),"")</f>
        <v/>
      </c>
      <c r="P1259" t="n">
        <v>11619</v>
      </c>
      <c r="Q1259" t="inlineStr">
        <is>
          <t>Refrigeração Ltda (11619)</t>
        </is>
      </c>
      <c r="R1259" t="inlineStr">
        <is>
          <t>PC-0038</t>
        </is>
      </c>
      <c r="S1259" t="inlineStr">
        <is>
          <t>Bomba de recirculação modelo 02</t>
        </is>
      </c>
      <c r="T1259" t="n">
        <v>1</v>
      </c>
      <c r="U1259" t="n">
        <v>103</v>
      </c>
      <c r="V1259">
        <f>IF(J1259="","",MONTH(J1259))</f>
        <v/>
      </c>
      <c r="W1259">
        <f>IF(J1259="","",YEAR(J1259))</f>
        <v/>
      </c>
      <c r="X1259" t="inlineStr">
        <is>
          <t>LogExpress</t>
        </is>
      </c>
      <c r="Y1259">
        <f>IFERROR(INDEX(Rastreio!$H$2:$H$200,MATCH(X1259&amp;"|"&amp;U1259,Rastreio!$A$2:$A$200,0)),"")</f>
        <v/>
      </c>
    </row>
    <row r="1260">
      <c r="A1260">
        <f>IFERROR(INDEX(STAs!$G$2:$G$61,MATCH(P1260,STAs!$F$2:$F$61,0))&amp;"","")</f>
        <v/>
      </c>
      <c r="B1260" t="n">
        <v>20014312</v>
      </c>
      <c r="C1260" t="inlineStr">
        <is>
          <t>Não</t>
        </is>
      </c>
      <c r="D1260" t="inlineStr">
        <is>
          <t>AM</t>
        </is>
      </c>
      <c r="E1260" t="inlineStr">
        <is>
          <t>NORTE</t>
        </is>
      </c>
      <c r="F1260" t="inlineStr">
        <is>
          <t>Cliente C - Misturador</t>
        </is>
      </c>
      <c r="G1260" t="inlineStr">
        <is>
          <t>Refrigeradores</t>
        </is>
      </c>
      <c r="H1260" s="10" t="n">
        <v>65</v>
      </c>
      <c r="I1260" s="10">
        <f>IFERROR(T1260*H1260,0)</f>
        <v/>
      </c>
      <c r="J1260" s="11" t="n">
        <v>46132</v>
      </c>
      <c r="K1260" s="11" t="n"/>
      <c r="L1260" t="inlineStr">
        <is>
          <t>Não Devolve-Norte</t>
        </is>
      </c>
      <c r="M1260">
        <f>IF(L1260="","",IFERROR(VLOOKUP(L1260,mapGrupoStatus,2,0),"Outros"))</f>
        <v/>
      </c>
      <c r="N1260">
        <f>IF(O1260="","",IF(O1260&lt;=30,"0-30 dias",IF(O1260&lt;=60,"31-60 dias",IF(O1260&lt;=90,"61-90 dias","Mais de 90 dias"))))</f>
        <v/>
      </c>
      <c r="O1260">
        <f>IF(OR(M1260="Pendente",M1260="Em andamento"),IF(J1260="","",TODAY()-J1260),"")</f>
        <v/>
      </c>
      <c r="P1260" t="n">
        <v>12269</v>
      </c>
      <c r="Q1260" t="inlineStr">
        <is>
          <t>Polar Técnica (12269)</t>
        </is>
      </c>
      <c r="R1260" t="inlineStr">
        <is>
          <t>PC-0010</t>
        </is>
      </c>
      <c r="S1260" t="inlineStr">
        <is>
          <t>Ventilador modelo 04</t>
        </is>
      </c>
      <c r="T1260" t="n">
        <v>1</v>
      </c>
      <c r="U1260" t="inlineStr"/>
      <c r="V1260">
        <f>IF(J1260="","",MONTH(J1260))</f>
        <v/>
      </c>
      <c r="W1260">
        <f>IF(J1260="","",YEAR(J1260))</f>
        <v/>
      </c>
      <c r="X1260" t="inlineStr"/>
      <c r="Y1260">
        <f>IFERROR(INDEX(Rastreio!$H$2:$H$200,MATCH(X1260&amp;"|"&amp;U1260,Rastreio!$A$2:$A$200,0)),"")</f>
        <v/>
      </c>
    </row>
    <row r="1261">
      <c r="A1261">
        <f>IFERROR(INDEX(STAs!$G$2:$G$61,MATCH(P1261,STAs!$F$2:$F$61,0))&amp;"","")</f>
        <v/>
      </c>
      <c r="B1261" t="n">
        <v>20015926</v>
      </c>
      <c r="C1261" t="inlineStr">
        <is>
          <t>Não</t>
        </is>
      </c>
      <c r="D1261" t="inlineStr">
        <is>
          <t>RR</t>
        </is>
      </c>
      <c r="E1261" t="inlineStr">
        <is>
          <t>NORTE</t>
        </is>
      </c>
      <c r="F1261" t="inlineStr">
        <is>
          <t>Cliente A - Refrigerador</t>
        </is>
      </c>
      <c r="G1261" t="inlineStr">
        <is>
          <t>Misturadores</t>
        </is>
      </c>
      <c r="H1261" s="10" t="n">
        <v>50</v>
      </c>
      <c r="I1261" s="10">
        <f>IFERROR(T1261*H1261,0)</f>
        <v/>
      </c>
      <c r="J1261" s="11" t="n">
        <v>46132</v>
      </c>
      <c r="K1261" s="11" t="n"/>
      <c r="L1261" t="inlineStr">
        <is>
          <t>Não Devolve-Norte</t>
        </is>
      </c>
      <c r="M1261">
        <f>IF(L1261="","",IFERROR(VLOOKUP(L1261,mapGrupoStatus,2,0),"Outros"))</f>
        <v/>
      </c>
      <c r="N1261">
        <f>IF(O1261="","",IF(O1261&lt;=30,"0-30 dias",IF(O1261&lt;=60,"31-60 dias",IF(O1261&lt;=90,"61-90 dias","Mais de 90 dias"))))</f>
        <v/>
      </c>
      <c r="O1261">
        <f>IF(OR(M1261="Pendente",M1261="Em andamento"),IF(J1261="","",TODAY()-J1261),"")</f>
        <v/>
      </c>
      <c r="P1261" t="n">
        <v>12422</v>
      </c>
      <c r="Q1261" t="inlineStr">
        <is>
          <t>Assistência Técnica Refrigeração (12422)</t>
        </is>
      </c>
      <c r="R1261" t="inlineStr">
        <is>
          <t>PC-0045</t>
        </is>
      </c>
      <c r="S1261" t="inlineStr">
        <is>
          <t>Sensor de nível modelo 01</t>
        </is>
      </c>
      <c r="T1261" t="n">
        <v>1</v>
      </c>
      <c r="U1261" t="inlineStr"/>
      <c r="V1261">
        <f>IF(J1261="","",MONTH(J1261))</f>
        <v/>
      </c>
      <c r="W1261">
        <f>IF(J1261="","",YEAR(J1261))</f>
        <v/>
      </c>
      <c r="X1261" t="inlineStr"/>
      <c r="Y1261">
        <f>IFERROR(INDEX(Rastreio!$H$2:$H$200,MATCH(X1261&amp;"|"&amp;U1261,Rastreio!$A$2:$A$200,0)),"")</f>
        <v/>
      </c>
    </row>
    <row r="1262">
      <c r="A1262">
        <f>IFERROR(INDEX(STAs!$G$2:$G$61,MATCH(P1262,STAs!$F$2:$F$61,0))&amp;"","")</f>
        <v/>
      </c>
      <c r="B1262" t="n">
        <v>20018676</v>
      </c>
      <c r="C1262" t="inlineStr">
        <is>
          <t>Não</t>
        </is>
      </c>
      <c r="D1262" t="inlineStr">
        <is>
          <t>SP</t>
        </is>
      </c>
      <c r="E1262" t="inlineStr">
        <is>
          <t>SUDESTE SP</t>
        </is>
      </c>
      <c r="F1262" t="inlineStr">
        <is>
          <t>Cliente C - Misturador</t>
        </is>
      </c>
      <c r="G1262" t="inlineStr">
        <is>
          <t>Misturadores</t>
        </is>
      </c>
      <c r="H1262" s="10" t="n">
        <v>40</v>
      </c>
      <c r="I1262" s="10">
        <f>IFERROR(T1262*H1262,0)</f>
        <v/>
      </c>
      <c r="J1262" s="11" t="n">
        <v>46132</v>
      </c>
      <c r="K1262" s="11" t="n">
        <v>46183</v>
      </c>
      <c r="L1262" t="inlineStr">
        <is>
          <t>Ok. Devolvida</t>
        </is>
      </c>
      <c r="M1262">
        <f>IF(L1262="","",IFERROR(VLOOKUP(L1262,mapGrupoStatus,2,0),"Outros"))</f>
        <v/>
      </c>
      <c r="N1262">
        <f>IF(O1262="","",IF(O1262&lt;=30,"0-30 dias",IF(O1262&lt;=60,"31-60 dias",IF(O1262&lt;=90,"61-90 dias","Mais de 90 dias"))))</f>
        <v/>
      </c>
      <c r="O1262">
        <f>IF(OR(M1262="Pendente",M1262="Em andamento"),IF(J1262="","",TODAY()-J1262),"")</f>
        <v/>
      </c>
      <c r="P1262" t="n">
        <v>10111</v>
      </c>
      <c r="Q1262" t="inlineStr">
        <is>
          <t>Refrigel Manutenção (10111)</t>
        </is>
      </c>
      <c r="R1262" t="inlineStr">
        <is>
          <t>PC-0042</t>
        </is>
      </c>
      <c r="S1262" t="inlineStr">
        <is>
          <t>Bico dosador modelo 01</t>
        </is>
      </c>
      <c r="T1262" t="n">
        <v>1</v>
      </c>
      <c r="U1262" t="n">
        <v>127</v>
      </c>
      <c r="V1262">
        <f>IF(J1262="","",MONTH(J1262))</f>
        <v/>
      </c>
      <c r="W1262">
        <f>IF(J1262="","",YEAR(J1262))</f>
        <v/>
      </c>
      <c r="X1262" t="inlineStr">
        <is>
          <t>EntregaJá</t>
        </is>
      </c>
      <c r="Y1262">
        <f>IFERROR(INDEX(Rastreio!$H$2:$H$200,MATCH(X1262&amp;"|"&amp;U1262,Rastreio!$A$2:$A$200,0)),"")</f>
        <v/>
      </c>
    </row>
    <row r="1263">
      <c r="A1263">
        <f>IFERROR(INDEX(STAs!$G$2:$G$61,MATCH(P1263,STAs!$F$2:$F$61,0))&amp;"","")</f>
        <v/>
      </c>
      <c r="B1263" t="n">
        <v>20020339</v>
      </c>
      <c r="C1263" t="inlineStr">
        <is>
          <t>Não</t>
        </is>
      </c>
      <c r="D1263" t="inlineStr">
        <is>
          <t>SP</t>
        </is>
      </c>
      <c r="E1263" t="inlineStr">
        <is>
          <t>SUDESTE SP</t>
        </is>
      </c>
      <c r="F1263" t="inlineStr">
        <is>
          <t>Cliente C - Misturador</t>
        </is>
      </c>
      <c r="G1263" t="inlineStr">
        <is>
          <t>Chopeiras</t>
        </is>
      </c>
      <c r="H1263" s="10" t="n">
        <v>85</v>
      </c>
      <c r="I1263" s="10">
        <f>IFERROR(T1263*H1263,0)</f>
        <v/>
      </c>
      <c r="J1263" s="11" t="n">
        <v>46132</v>
      </c>
      <c r="K1263" s="11" t="n">
        <v>46189</v>
      </c>
      <c r="L1263" t="inlineStr">
        <is>
          <t>Ok. Devolvida</t>
        </is>
      </c>
      <c r="M1263">
        <f>IF(L1263="","",IFERROR(VLOOKUP(L1263,mapGrupoStatus,2,0),"Outros"))</f>
        <v/>
      </c>
      <c r="N1263">
        <f>IF(O1263="","",IF(O1263&lt;=30,"0-30 dias",IF(O1263&lt;=60,"31-60 dias",IF(O1263&lt;=90,"61-90 dias","Mais de 90 dias"))))</f>
        <v/>
      </c>
      <c r="O1263">
        <f>IF(OR(M1263="Pendente",M1263="Em andamento"),IF(J1263="","",TODAY()-J1263),"")</f>
        <v/>
      </c>
      <c r="P1263" t="n">
        <v>11710</v>
      </c>
      <c r="Q1263" t="inlineStr">
        <is>
          <t>Brisa &amp; Cia (11710)</t>
        </is>
      </c>
      <c r="R1263" t="inlineStr">
        <is>
          <t>PC-0028</t>
        </is>
      </c>
      <c r="S1263" t="inlineStr">
        <is>
          <t>Torneira de chopp modelo 03</t>
        </is>
      </c>
      <c r="T1263" t="n">
        <v>1</v>
      </c>
      <c r="U1263" t="n">
        <v>130</v>
      </c>
      <c r="V1263">
        <f>IF(J1263="","",MONTH(J1263))</f>
        <v/>
      </c>
      <c r="W1263">
        <f>IF(J1263="","",YEAR(J1263))</f>
        <v/>
      </c>
      <c r="X1263" t="inlineStr">
        <is>
          <t>RotaSul</t>
        </is>
      </c>
      <c r="Y1263">
        <f>IFERROR(INDEX(Rastreio!$H$2:$H$200,MATCH(X1263&amp;"|"&amp;U1263,Rastreio!$A$2:$A$200,0)),"")</f>
        <v/>
      </c>
    </row>
    <row r="1264">
      <c r="A1264">
        <f>IFERROR(INDEX(STAs!$G$2:$G$61,MATCH(P1264,STAs!$F$2:$F$61,0))&amp;"","")</f>
        <v/>
      </c>
      <c r="B1264" t="n">
        <v>20021353</v>
      </c>
      <c r="C1264" t="inlineStr">
        <is>
          <t>Sim</t>
        </is>
      </c>
      <c r="D1264" t="inlineStr">
        <is>
          <t>CE</t>
        </is>
      </c>
      <c r="E1264" t="inlineStr">
        <is>
          <t>NORDESTE</t>
        </is>
      </c>
      <c r="F1264" t="inlineStr">
        <is>
          <t>Cliente B - Chopeira</t>
        </is>
      </c>
      <c r="G1264" t="inlineStr">
        <is>
          <t>Refrigeradores</t>
        </is>
      </c>
      <c r="H1264" s="10" t="n">
        <v>25</v>
      </c>
      <c r="I1264" s="10">
        <f>IFERROR(T1264*H1264,0)</f>
        <v/>
      </c>
      <c r="J1264" s="11" t="n">
        <v>46132</v>
      </c>
      <c r="K1264" s="11" t="n"/>
      <c r="L1264" t="inlineStr">
        <is>
          <t>Aguardando devolução</t>
        </is>
      </c>
      <c r="M1264">
        <f>IF(L1264="","",IFERROR(VLOOKUP(L1264,mapGrupoStatus,2,0),"Outros"))</f>
        <v/>
      </c>
      <c r="N1264">
        <f>IF(O1264="","",IF(O1264&lt;=30,"0-30 dias",IF(O1264&lt;=60,"31-60 dias",IF(O1264&lt;=90,"61-90 dias","Mais de 90 dias"))))</f>
        <v/>
      </c>
      <c r="O1264">
        <f>IF(OR(M1264="Pendente",M1264="Em andamento"),IF(J1264="","",TODAY()-J1264),"")</f>
        <v/>
      </c>
      <c r="P1264" t="n">
        <v>10615</v>
      </c>
      <c r="Q1264" t="inlineStr">
        <is>
          <t>Brisa Técnica (10615)</t>
        </is>
      </c>
      <c r="R1264" t="inlineStr">
        <is>
          <t>PC-0015</t>
        </is>
      </c>
      <c r="S1264" t="inlineStr">
        <is>
          <t>Filtro secador modelo 01</t>
        </is>
      </c>
      <c r="T1264" t="n">
        <v>1</v>
      </c>
      <c r="U1264" t="inlineStr"/>
      <c r="V1264">
        <f>IF(J1264="","",MONTH(J1264))</f>
        <v/>
      </c>
      <c r="W1264">
        <f>IF(J1264="","",YEAR(J1264))</f>
        <v/>
      </c>
      <c r="X1264" t="inlineStr"/>
      <c r="Y1264">
        <f>IFERROR(INDEX(Rastreio!$H$2:$H$200,MATCH(X1264&amp;"|"&amp;U1264,Rastreio!$A$2:$A$200,0)),"")</f>
        <v/>
      </c>
    </row>
    <row r="1265">
      <c r="A1265">
        <f>IFERROR(INDEX(STAs!$G$2:$G$61,MATCH(P1265,STAs!$F$2:$F$61,0))&amp;"","")</f>
        <v/>
      </c>
      <c r="B1265" t="n">
        <v>20030006</v>
      </c>
      <c r="C1265" t="inlineStr">
        <is>
          <t>Não</t>
        </is>
      </c>
      <c r="D1265" t="inlineStr">
        <is>
          <t>BA</t>
        </is>
      </c>
      <c r="E1265" t="inlineStr">
        <is>
          <t>NORDESTE</t>
        </is>
      </c>
      <c r="F1265" t="inlineStr">
        <is>
          <t>Cliente B - Chopeira</t>
        </is>
      </c>
      <c r="G1265" t="inlineStr">
        <is>
          <t>Chopeiras</t>
        </is>
      </c>
      <c r="H1265" s="10" t="n">
        <v>85</v>
      </c>
      <c r="I1265" s="10">
        <f>IFERROR(T1265*H1265,0)</f>
        <v/>
      </c>
      <c r="J1265" s="11" t="n">
        <v>46132</v>
      </c>
      <c r="K1265" s="11" t="n">
        <v>46138</v>
      </c>
      <c r="L1265" t="inlineStr">
        <is>
          <t>Ok. Devolvida</t>
        </is>
      </c>
      <c r="M1265">
        <f>IF(L1265="","",IFERROR(VLOOKUP(L1265,mapGrupoStatus,2,0),"Outros"))</f>
        <v/>
      </c>
      <c r="N1265">
        <f>IF(O1265="","",IF(O1265&lt;=30,"0-30 dias",IF(O1265&lt;=60,"31-60 dias",IF(O1265&lt;=90,"61-90 dias","Mais de 90 dias"))))</f>
        <v/>
      </c>
      <c r="O1265">
        <f>IF(OR(M1265="Pendente",M1265="Em andamento"),IF(J1265="","",TODAY()-J1265),"")</f>
        <v/>
      </c>
      <c r="P1265" t="n">
        <v>11244</v>
      </c>
      <c r="Q1265" t="inlineStr">
        <is>
          <t>Refrigeração Manutenção (11244)</t>
        </is>
      </c>
      <c r="R1265" t="inlineStr">
        <is>
          <t>PC-0035</t>
        </is>
      </c>
      <c r="S1265" t="inlineStr">
        <is>
          <t>Válvula extratora modelo 01</t>
        </is>
      </c>
      <c r="T1265" t="n">
        <v>1</v>
      </c>
      <c r="U1265" t="n">
        <v>151</v>
      </c>
      <c r="V1265">
        <f>IF(J1265="","",MONTH(J1265))</f>
        <v/>
      </c>
      <c r="W1265">
        <f>IF(J1265="","",YEAR(J1265))</f>
        <v/>
      </c>
      <c r="X1265" t="inlineStr">
        <is>
          <t>RotaSul</t>
        </is>
      </c>
      <c r="Y1265">
        <f>IFERROR(INDEX(Rastreio!$H$2:$H$200,MATCH(X1265&amp;"|"&amp;U1265,Rastreio!$A$2:$A$200,0)),"")</f>
        <v/>
      </c>
    </row>
    <row r="1266">
      <c r="A1266">
        <f>IFERROR(INDEX(STAs!$G$2:$G$61,MATCH(P1266,STAs!$F$2:$F$61,0))&amp;"","")</f>
        <v/>
      </c>
      <c r="B1266" t="n">
        <v>20033573</v>
      </c>
      <c r="C1266" t="inlineStr">
        <is>
          <t>Não</t>
        </is>
      </c>
      <c r="D1266" t="inlineStr">
        <is>
          <t>MG</t>
        </is>
      </c>
      <c r="E1266" t="inlineStr">
        <is>
          <t>SUDESTE MG</t>
        </is>
      </c>
      <c r="F1266" t="inlineStr">
        <is>
          <t>Cliente B - Chopeira</t>
        </is>
      </c>
      <c r="G1266" t="inlineStr">
        <is>
          <t>Misturadores</t>
        </is>
      </c>
      <c r="H1266" s="10" t="n">
        <v>255</v>
      </c>
      <c r="I1266" s="10">
        <f>IFERROR(T1266*H1266,0)</f>
        <v/>
      </c>
      <c r="J1266" s="11" t="n">
        <v>46132</v>
      </c>
      <c r="K1266" s="11" t="n"/>
      <c r="L1266" t="inlineStr">
        <is>
          <t>NPD</t>
        </is>
      </c>
      <c r="M1266">
        <f>IF(L1266="","",IFERROR(VLOOKUP(L1266,mapGrupoStatus,2,0),"Outros"))</f>
        <v/>
      </c>
      <c r="N1266">
        <f>IF(O1266="","",IF(O1266&lt;=30,"0-30 dias",IF(O1266&lt;=60,"31-60 dias",IF(O1266&lt;=90,"61-90 dias","Mais de 90 dias"))))</f>
        <v/>
      </c>
      <c r="O1266">
        <f>IF(OR(M1266="Pendente",M1266="Em andamento"),IF(J1266="","",TODAY()-J1266),"")</f>
        <v/>
      </c>
      <c r="P1266" t="n">
        <v>12689</v>
      </c>
      <c r="Q1266" t="inlineStr">
        <is>
          <t>Norte Frio Manutenção (12689)</t>
        </is>
      </c>
      <c r="R1266" t="inlineStr">
        <is>
          <t>PC-0037</t>
        </is>
      </c>
      <c r="S1266" t="inlineStr">
        <is>
          <t>Bomba de recirculação modelo 01</t>
        </is>
      </c>
      <c r="T1266" t="n">
        <v>1</v>
      </c>
      <c r="U1266" t="inlineStr"/>
      <c r="V1266">
        <f>IF(J1266="","",MONTH(J1266))</f>
        <v/>
      </c>
      <c r="W1266">
        <f>IF(J1266="","",YEAR(J1266))</f>
        <v/>
      </c>
      <c r="X1266" t="inlineStr"/>
      <c r="Y1266">
        <f>IFERROR(INDEX(Rastreio!$H$2:$H$200,MATCH(X1266&amp;"|"&amp;U1266,Rastreio!$A$2:$A$200,0)),"")</f>
        <v/>
      </c>
    </row>
    <row r="1267">
      <c r="A1267">
        <f>IFERROR(INDEX(STAs!$G$2:$G$61,MATCH(P1267,STAs!$F$2:$F$61,0))&amp;"","")</f>
        <v/>
      </c>
      <c r="B1267" t="n">
        <v>20018636</v>
      </c>
      <c r="C1267" t="inlineStr">
        <is>
          <t>Não</t>
        </is>
      </c>
      <c r="D1267" t="inlineStr">
        <is>
          <t>SC</t>
        </is>
      </c>
      <c r="E1267" t="inlineStr">
        <is>
          <t>SUL</t>
        </is>
      </c>
      <c r="F1267" t="inlineStr">
        <is>
          <t>Cliente A - Refrigerador</t>
        </is>
      </c>
      <c r="G1267" t="inlineStr">
        <is>
          <t>Misturadores</t>
        </is>
      </c>
      <c r="H1267" s="10" t="n">
        <v>35</v>
      </c>
      <c r="I1267" s="10">
        <f>IFERROR(T1267*H1267,0)</f>
        <v/>
      </c>
      <c r="J1267" s="11" t="n">
        <v>46133</v>
      </c>
      <c r="K1267" s="11" t="n"/>
      <c r="L1267" t="inlineStr">
        <is>
          <t>Em transporte</t>
        </is>
      </c>
      <c r="M1267">
        <f>IF(L1267="","",IFERROR(VLOOKUP(L1267,mapGrupoStatus,2,0),"Outros"))</f>
        <v/>
      </c>
      <c r="N1267">
        <f>IF(O1267="","",IF(O1267&lt;=30,"0-30 dias",IF(O1267&lt;=60,"31-60 dias",IF(O1267&lt;=90,"61-90 dias","Mais de 90 dias"))))</f>
        <v/>
      </c>
      <c r="O1267">
        <f>IF(OR(M1267="Pendente",M1267="Em andamento"),IF(J1267="","",TODAY()-J1267),"")</f>
        <v/>
      </c>
      <c r="P1267" t="n">
        <v>12138</v>
      </c>
      <c r="Q1267" t="inlineStr">
        <is>
          <t>Refrigeração Serviços (12138)</t>
        </is>
      </c>
      <c r="R1267" t="inlineStr">
        <is>
          <t>PC-0043</t>
        </is>
      </c>
      <c r="S1267" t="inlineStr">
        <is>
          <t>Bico dosador modelo 02</t>
        </is>
      </c>
      <c r="T1267" t="n">
        <v>1</v>
      </c>
      <c r="U1267" t="n">
        <v>136</v>
      </c>
      <c r="V1267">
        <f>IF(J1267="","",MONTH(J1267))</f>
        <v/>
      </c>
      <c r="W1267">
        <f>IF(J1267="","",YEAR(J1267))</f>
        <v/>
      </c>
      <c r="X1267" t="inlineStr">
        <is>
          <t>ViaCargo</t>
        </is>
      </c>
      <c r="Y1267">
        <f>IFERROR(INDEX(Rastreio!$H$2:$H$200,MATCH(X1267&amp;"|"&amp;U1267,Rastreio!$A$2:$A$200,0)),"")</f>
        <v/>
      </c>
    </row>
    <row r="1268">
      <c r="A1268">
        <f>IFERROR(INDEX(STAs!$G$2:$G$61,MATCH(P1268,STAs!$F$2:$F$61,0))&amp;"","")</f>
        <v/>
      </c>
      <c r="B1268" t="n">
        <v>20031323</v>
      </c>
      <c r="C1268" t="inlineStr">
        <is>
          <t>Não</t>
        </is>
      </c>
      <c r="D1268" t="inlineStr">
        <is>
          <t>PI</t>
        </is>
      </c>
      <c r="E1268" t="inlineStr">
        <is>
          <t>NORDESTE</t>
        </is>
      </c>
      <c r="F1268" t="inlineStr">
        <is>
          <t>Cliente B - Chopeira</t>
        </is>
      </c>
      <c r="G1268" t="inlineStr">
        <is>
          <t>Chopeiras</t>
        </is>
      </c>
      <c r="H1268" s="10" t="n">
        <v>115</v>
      </c>
      <c r="I1268" s="10">
        <f>IFERROR(T1268*H1268,0)</f>
        <v/>
      </c>
      <c r="J1268" s="11" t="n">
        <v>46133</v>
      </c>
      <c r="K1268" s="11" t="n">
        <v>46167</v>
      </c>
      <c r="L1268" t="inlineStr">
        <is>
          <t>Ok. Devolvida</t>
        </is>
      </c>
      <c r="M1268">
        <f>IF(L1268="","",IFERROR(VLOOKUP(L1268,mapGrupoStatus,2,0),"Outros"))</f>
        <v/>
      </c>
      <c r="N1268">
        <f>IF(O1268="","",IF(O1268&lt;=30,"0-30 dias",IF(O1268&lt;=60,"31-60 dias",IF(O1268&lt;=90,"61-90 dias","Mais de 90 dias"))))</f>
        <v/>
      </c>
      <c r="O1268">
        <f>IF(OR(M1268="Pendente",M1268="Em andamento"),IF(J1268="","",TODAY()-J1268),"")</f>
        <v/>
      </c>
      <c r="P1268" t="n">
        <v>10562</v>
      </c>
      <c r="Q1268" t="inlineStr">
        <is>
          <t>Clima &amp; Cia (10562)</t>
        </is>
      </c>
      <c r="R1268" t="inlineStr">
        <is>
          <t>PC-0033</t>
        </is>
      </c>
      <c r="S1268" t="inlineStr">
        <is>
          <t>Regulador de pressão modelo 02</t>
        </is>
      </c>
      <c r="T1268" t="n">
        <v>1</v>
      </c>
      <c r="U1268" t="n">
        <v>151</v>
      </c>
      <c r="V1268">
        <f>IF(J1268="","",MONTH(J1268))</f>
        <v/>
      </c>
      <c r="W1268">
        <f>IF(J1268="","",YEAR(J1268))</f>
        <v/>
      </c>
      <c r="X1268" t="inlineStr">
        <is>
          <t>ViaCargo</t>
        </is>
      </c>
      <c r="Y1268">
        <f>IFERROR(INDEX(Rastreio!$H$2:$H$200,MATCH(X1268&amp;"|"&amp;U1268,Rastreio!$A$2:$A$200,0)),"")</f>
        <v/>
      </c>
    </row>
    <row r="1269">
      <c r="A1269">
        <f>IFERROR(INDEX(STAs!$G$2:$G$61,MATCH(P1269,STAs!$F$2:$F$61,0))&amp;"","")</f>
        <v/>
      </c>
      <c r="B1269" t="n">
        <v>20019925</v>
      </c>
      <c r="C1269" t="inlineStr">
        <is>
          <t>Sim</t>
        </is>
      </c>
      <c r="D1269" t="inlineStr">
        <is>
          <t>GO</t>
        </is>
      </c>
      <c r="E1269" t="inlineStr">
        <is>
          <t>CENTRO OESTE</t>
        </is>
      </c>
      <c r="F1269" t="inlineStr">
        <is>
          <t>Cliente B - Chopeira</t>
        </is>
      </c>
      <c r="G1269" t="inlineStr">
        <is>
          <t>Refrigeradores</t>
        </is>
      </c>
      <c r="H1269" s="10" t="n">
        <v>55</v>
      </c>
      <c r="I1269" s="10">
        <f>IFERROR(T1269*H1269,0)</f>
        <v/>
      </c>
      <c r="J1269" s="11" t="n">
        <v>46134</v>
      </c>
      <c r="K1269" s="11" t="n">
        <v>46186</v>
      </c>
      <c r="L1269" t="inlineStr">
        <is>
          <t>Ok. Devolvida</t>
        </is>
      </c>
      <c r="M1269">
        <f>IF(L1269="","",IFERROR(VLOOKUP(L1269,mapGrupoStatus,2,0),"Outros"))</f>
        <v/>
      </c>
      <c r="N1269">
        <f>IF(O1269="","",IF(O1269&lt;=30,"0-30 dias",IF(O1269&lt;=60,"31-60 dias",IF(O1269&lt;=90,"61-90 dias","Mais de 90 dias"))))</f>
        <v/>
      </c>
      <c r="O1269">
        <f>IF(OR(M1269="Pendente",M1269="Em andamento"),IF(J1269="","",TODAY()-J1269),"")</f>
        <v/>
      </c>
      <c r="P1269" t="n">
        <v>11677</v>
      </c>
      <c r="Q1269" t="inlineStr">
        <is>
          <t>Cool Service Manutenção (11677)</t>
        </is>
      </c>
      <c r="R1269" t="inlineStr">
        <is>
          <t>PC-0008</t>
        </is>
      </c>
      <c r="S1269" t="inlineStr">
        <is>
          <t>Ventilador modelo 02</t>
        </is>
      </c>
      <c r="T1269" t="n">
        <v>2</v>
      </c>
      <c r="U1269" t="n">
        <v>131</v>
      </c>
      <c r="V1269">
        <f>IF(J1269="","",MONTH(J1269))</f>
        <v/>
      </c>
      <c r="W1269">
        <f>IF(J1269="","",YEAR(J1269))</f>
        <v/>
      </c>
      <c r="X1269" t="inlineStr">
        <is>
          <t>TransNorte</t>
        </is>
      </c>
      <c r="Y1269">
        <f>IFERROR(INDEX(Rastreio!$H$2:$H$200,MATCH(X1269&amp;"|"&amp;U1269,Rastreio!$A$2:$A$200,0)),"")</f>
        <v/>
      </c>
    </row>
    <row r="1270">
      <c r="A1270">
        <f>IFERROR(INDEX(STAs!$G$2:$G$61,MATCH(P1270,STAs!$F$2:$F$61,0))&amp;"","")</f>
        <v/>
      </c>
      <c r="B1270" t="n">
        <v>20029057</v>
      </c>
      <c r="C1270" t="inlineStr">
        <is>
          <t>Não</t>
        </is>
      </c>
      <c r="D1270" t="inlineStr">
        <is>
          <t>RR</t>
        </is>
      </c>
      <c r="E1270" t="inlineStr">
        <is>
          <t>NORTE</t>
        </is>
      </c>
      <c r="F1270" t="inlineStr">
        <is>
          <t>Cliente B - Chopeira</t>
        </is>
      </c>
      <c r="G1270" t="inlineStr">
        <is>
          <t>Refrigeradores</t>
        </is>
      </c>
      <c r="H1270" s="10" t="n">
        <v>35</v>
      </c>
      <c r="I1270" s="10">
        <f>IFERROR(T1270*H1270,0)</f>
        <v/>
      </c>
      <c r="J1270" s="11" t="n">
        <v>46134</v>
      </c>
      <c r="K1270" s="11" t="n">
        <v>46183</v>
      </c>
      <c r="L1270" t="inlineStr">
        <is>
          <t>Ok. Devolvida</t>
        </is>
      </c>
      <c r="M1270">
        <f>IF(L1270="","",IFERROR(VLOOKUP(L1270,mapGrupoStatus,2,0),"Outros"))</f>
        <v/>
      </c>
      <c r="N1270">
        <f>IF(O1270="","",IF(O1270&lt;=30,"0-30 dias",IF(O1270&lt;=60,"31-60 dias",IF(O1270&lt;=90,"61-90 dias","Mais de 90 dias"))))</f>
        <v/>
      </c>
      <c r="O1270">
        <f>IF(OR(M1270="Pendente",M1270="Em andamento"),IF(J1270="","",TODAY()-J1270),"")</f>
        <v/>
      </c>
      <c r="P1270" t="n">
        <v>12422</v>
      </c>
      <c r="Q1270" t="inlineStr">
        <is>
          <t>Assistência Técnica Refrigeração (12422)</t>
        </is>
      </c>
      <c r="R1270" t="inlineStr">
        <is>
          <t>PC-0024</t>
        </is>
      </c>
      <c r="S1270" t="inlineStr">
        <is>
          <t>Relé de partida modelo 02</t>
        </is>
      </c>
      <c r="T1270" t="n">
        <v>1</v>
      </c>
      <c r="U1270" t="n">
        <v>150</v>
      </c>
      <c r="V1270">
        <f>IF(J1270="","",MONTH(J1270))</f>
        <v/>
      </c>
      <c r="W1270">
        <f>IF(J1270="","",YEAR(J1270))</f>
        <v/>
      </c>
      <c r="X1270" t="inlineStr">
        <is>
          <t>TransNorte</t>
        </is>
      </c>
      <c r="Y1270">
        <f>IFERROR(INDEX(Rastreio!$H$2:$H$200,MATCH(X1270&amp;"|"&amp;U1270,Rastreio!$A$2:$A$200,0)),"")</f>
        <v/>
      </c>
    </row>
    <row r="1271">
      <c r="A1271">
        <f>IFERROR(INDEX(STAs!$G$2:$G$61,MATCH(P1271,STAs!$F$2:$F$61,0))&amp;"","")</f>
        <v/>
      </c>
      <c r="B1271" t="n">
        <v>20002800</v>
      </c>
      <c r="C1271" t="inlineStr">
        <is>
          <t>Não</t>
        </is>
      </c>
      <c r="D1271" t="inlineStr">
        <is>
          <t>SP</t>
        </is>
      </c>
      <c r="E1271" t="inlineStr">
        <is>
          <t>SUDESTE SP</t>
        </is>
      </c>
      <c r="F1271" t="inlineStr">
        <is>
          <t>Cliente A - Refrigerador</t>
        </is>
      </c>
      <c r="G1271" t="inlineStr">
        <is>
          <t>Misturadores</t>
        </is>
      </c>
      <c r="H1271" s="10" t="n">
        <v>185</v>
      </c>
      <c r="I1271" s="10">
        <f>IFERROR(T1271*H1271,0)</f>
        <v/>
      </c>
      <c r="J1271" s="11" t="n">
        <v>46135</v>
      </c>
      <c r="K1271" s="11" t="n">
        <v>46193</v>
      </c>
      <c r="L1271" t="inlineStr">
        <is>
          <t>Ok. Devolvida</t>
        </is>
      </c>
      <c r="M1271">
        <f>IF(L1271="","",IFERROR(VLOOKUP(L1271,mapGrupoStatus,2,0),"Outros"))</f>
        <v/>
      </c>
      <c r="N1271">
        <f>IF(O1271="","",IF(O1271&lt;=30,"0-30 dias",IF(O1271&lt;=60,"31-60 dias",IF(O1271&lt;=90,"61-90 dias","Mais de 90 dias"))))</f>
        <v/>
      </c>
      <c r="O1271">
        <f>IF(OR(M1271="Pendente",M1271="Em andamento"),IF(J1271="","",TODAY()-J1271),"")</f>
        <v/>
      </c>
      <c r="P1271" t="n">
        <v>11365</v>
      </c>
      <c r="Q1271" t="inlineStr">
        <is>
          <t>Ártico Express (11365)</t>
        </is>
      </c>
      <c r="R1271" t="inlineStr">
        <is>
          <t>PC-0041</t>
        </is>
      </c>
      <c r="S1271" t="inlineStr">
        <is>
          <t>Motor agitador modelo 02</t>
        </is>
      </c>
      <c r="T1271" t="n">
        <v>1</v>
      </c>
      <c r="U1271" t="n">
        <v>106</v>
      </c>
      <c r="V1271">
        <f>IF(J1271="","",MONTH(J1271))</f>
        <v/>
      </c>
      <c r="W1271">
        <f>IF(J1271="","",YEAR(J1271))</f>
        <v/>
      </c>
      <c r="X1271" t="inlineStr">
        <is>
          <t>RotaSul</t>
        </is>
      </c>
      <c r="Y1271">
        <f>IFERROR(INDEX(Rastreio!$H$2:$H$200,MATCH(X1271&amp;"|"&amp;U1271,Rastreio!$A$2:$A$200,0)),"")</f>
        <v/>
      </c>
    </row>
    <row r="1272">
      <c r="A1272">
        <f>IFERROR(INDEX(STAs!$G$2:$G$61,MATCH(P1272,STAs!$F$2:$F$61,0))&amp;"","")</f>
        <v/>
      </c>
      <c r="B1272" t="n">
        <v>20007947</v>
      </c>
      <c r="C1272" t="inlineStr">
        <is>
          <t>Não</t>
        </is>
      </c>
      <c r="D1272" t="inlineStr">
        <is>
          <t>RJ</t>
        </is>
      </c>
      <c r="E1272" t="inlineStr">
        <is>
          <t>SUDESTE RJ e ES</t>
        </is>
      </c>
      <c r="F1272" t="inlineStr">
        <is>
          <t>Cliente A - Refrigerador</t>
        </is>
      </c>
      <c r="G1272" t="inlineStr">
        <is>
          <t>Refrigeradores</t>
        </is>
      </c>
      <c r="H1272" s="10" t="n">
        <v>45</v>
      </c>
      <c r="I1272" s="10">
        <f>IFERROR(T1272*H1272,0)</f>
        <v/>
      </c>
      <c r="J1272" s="11" t="n">
        <v>46135</v>
      </c>
      <c r="K1272" s="11" t="n"/>
      <c r="L1272" t="inlineStr">
        <is>
          <t>Debitar do STA</t>
        </is>
      </c>
      <c r="M1272">
        <f>IF(L1272="","",IFERROR(VLOOKUP(L1272,mapGrupoStatus,2,0),"Outros"))</f>
        <v/>
      </c>
      <c r="N1272">
        <f>IF(O1272="","",IF(O1272&lt;=30,"0-30 dias",IF(O1272&lt;=60,"31-60 dias",IF(O1272&lt;=90,"61-90 dias","Mais de 90 dias"))))</f>
        <v/>
      </c>
      <c r="O1272">
        <f>IF(OR(M1272="Pendente",M1272="Em andamento"),IF(J1272="","",TODAY()-J1272),"")</f>
        <v/>
      </c>
      <c r="P1272" t="n">
        <v>11059</v>
      </c>
      <c r="Q1272" t="inlineStr">
        <is>
          <t>Frio Ltda (11059)</t>
        </is>
      </c>
      <c r="R1272" t="inlineStr">
        <is>
          <t>PC-0018</t>
        </is>
      </c>
      <c r="S1272" t="inlineStr">
        <is>
          <t>Gaxeta da porta modelo 01</t>
        </is>
      </c>
      <c r="T1272" t="n">
        <v>1</v>
      </c>
      <c r="U1272" t="inlineStr"/>
      <c r="V1272">
        <f>IF(J1272="","",MONTH(J1272))</f>
        <v/>
      </c>
      <c r="W1272">
        <f>IF(J1272="","",YEAR(J1272))</f>
        <v/>
      </c>
      <c r="X1272" t="inlineStr"/>
      <c r="Y1272">
        <f>IFERROR(INDEX(Rastreio!$H$2:$H$200,MATCH(X1272&amp;"|"&amp;U1272,Rastreio!$A$2:$A$200,0)),"")</f>
        <v/>
      </c>
    </row>
    <row r="1273">
      <c r="A1273">
        <f>IFERROR(INDEX(STAs!$G$2:$G$61,MATCH(P1273,STAs!$F$2:$F$61,0))&amp;"","")</f>
        <v/>
      </c>
      <c r="B1273" t="n">
        <v>20015305</v>
      </c>
      <c r="C1273" t="inlineStr">
        <is>
          <t>Não</t>
        </is>
      </c>
      <c r="D1273" t="inlineStr">
        <is>
          <t>GO</t>
        </is>
      </c>
      <c r="E1273" t="inlineStr">
        <is>
          <t>CENTRO OESTE</t>
        </is>
      </c>
      <c r="F1273" t="inlineStr">
        <is>
          <t>Cliente C - Misturador</t>
        </is>
      </c>
      <c r="G1273" t="inlineStr">
        <is>
          <t>Misturadores</t>
        </is>
      </c>
      <c r="H1273" s="10" t="n">
        <v>35</v>
      </c>
      <c r="I1273" s="10">
        <f>IFERROR(T1273*H1273,0)</f>
        <v/>
      </c>
      <c r="J1273" s="11" t="n">
        <v>46135</v>
      </c>
      <c r="K1273" s="11" t="n"/>
      <c r="L1273" t="inlineStr">
        <is>
          <t>Debitar do STA</t>
        </is>
      </c>
      <c r="M1273">
        <f>IF(L1273="","",IFERROR(VLOOKUP(L1273,mapGrupoStatus,2,0),"Outros"))</f>
        <v/>
      </c>
      <c r="N1273">
        <f>IF(O1273="","",IF(O1273&lt;=30,"0-30 dias",IF(O1273&lt;=60,"31-60 dias",IF(O1273&lt;=90,"61-90 dias","Mais de 90 dias"))))</f>
        <v/>
      </c>
      <c r="O1273">
        <f>IF(OR(M1273="Pendente",M1273="Em andamento"),IF(J1273="","",TODAY()-J1273),"")</f>
        <v/>
      </c>
      <c r="P1273" t="n">
        <v>12007</v>
      </c>
      <c r="Q1273" t="inlineStr">
        <is>
          <t>Refrigel Ltda (12007)</t>
        </is>
      </c>
      <c r="R1273" t="inlineStr">
        <is>
          <t>PC-0043</t>
        </is>
      </c>
      <c r="S1273" t="inlineStr">
        <is>
          <t>Bico dosador modelo 02</t>
        </is>
      </c>
      <c r="T1273" t="n">
        <v>1</v>
      </c>
      <c r="U1273" t="inlineStr"/>
      <c r="V1273">
        <f>IF(J1273="","",MONTH(J1273))</f>
        <v/>
      </c>
      <c r="W1273">
        <f>IF(J1273="","",YEAR(J1273))</f>
        <v/>
      </c>
      <c r="X1273" t="inlineStr"/>
      <c r="Y1273">
        <f>IFERROR(INDEX(Rastreio!$H$2:$H$200,MATCH(X1273&amp;"|"&amp;U1273,Rastreio!$A$2:$A$200,0)),"")</f>
        <v/>
      </c>
    </row>
    <row r="1274">
      <c r="A1274">
        <f>IFERROR(INDEX(STAs!$G$2:$G$61,MATCH(P1274,STAs!$F$2:$F$61,0))&amp;"","")</f>
        <v/>
      </c>
      <c r="B1274" t="n">
        <v>20015768</v>
      </c>
      <c r="C1274" t="inlineStr">
        <is>
          <t>Não</t>
        </is>
      </c>
      <c r="D1274" t="inlineStr">
        <is>
          <t>GO</t>
        </is>
      </c>
      <c r="E1274" t="inlineStr">
        <is>
          <t>CENTRO OESTE</t>
        </is>
      </c>
      <c r="F1274" t="inlineStr">
        <is>
          <t>Cliente B - Chopeira</t>
        </is>
      </c>
      <c r="G1274" t="inlineStr">
        <is>
          <t>Refrigeradores</t>
        </is>
      </c>
      <c r="H1274" s="10" t="n">
        <v>35</v>
      </c>
      <c r="I1274" s="10">
        <f>IFERROR(T1274*H1274,0)</f>
        <v/>
      </c>
      <c r="J1274" s="11" t="n">
        <v>46135</v>
      </c>
      <c r="K1274" s="11" t="n"/>
      <c r="L1274" t="inlineStr">
        <is>
          <t>Aguardando Transporte</t>
        </is>
      </c>
      <c r="M1274">
        <f>IF(L1274="","",IFERROR(VLOOKUP(L1274,mapGrupoStatus,2,0),"Outros"))</f>
        <v/>
      </c>
      <c r="N1274">
        <f>IF(O1274="","",IF(O1274&lt;=30,"0-30 dias",IF(O1274&lt;=60,"31-60 dias",IF(O1274&lt;=90,"61-90 dias","Mais de 90 dias"))))</f>
        <v/>
      </c>
      <c r="O1274">
        <f>IF(OR(M1274="Pendente",M1274="Em andamento"),IF(J1274="","",TODAY()-J1274),"")</f>
        <v/>
      </c>
      <c r="P1274" t="n">
        <v>11293</v>
      </c>
      <c r="Q1274" t="inlineStr">
        <is>
          <t>Assistência Técnica Ltda (11293)</t>
        </is>
      </c>
      <c r="R1274" t="inlineStr">
        <is>
          <t>PC-0024</t>
        </is>
      </c>
      <c r="S1274" t="inlineStr">
        <is>
          <t>Relé de partida modelo 02</t>
        </is>
      </c>
      <c r="T1274" t="n">
        <v>1</v>
      </c>
      <c r="U1274" t="n">
        <v>126</v>
      </c>
      <c r="V1274">
        <f>IF(J1274="","",MONTH(J1274))</f>
        <v/>
      </c>
      <c r="W1274">
        <f>IF(J1274="","",YEAR(J1274))</f>
        <v/>
      </c>
      <c r="X1274" t="inlineStr">
        <is>
          <t>EntregaJá</t>
        </is>
      </c>
      <c r="Y1274">
        <f>IFERROR(INDEX(Rastreio!$H$2:$H$200,MATCH(X1274&amp;"|"&amp;U1274,Rastreio!$A$2:$A$200,0)),"")</f>
        <v/>
      </c>
    </row>
    <row r="1275">
      <c r="A1275">
        <f>IFERROR(INDEX(STAs!$G$2:$G$61,MATCH(P1275,STAs!$F$2:$F$61,0))&amp;"","")</f>
        <v/>
      </c>
      <c r="B1275" t="n">
        <v>20019356</v>
      </c>
      <c r="C1275" t="inlineStr">
        <is>
          <t>Não</t>
        </is>
      </c>
      <c r="D1275" t="inlineStr">
        <is>
          <t>SC</t>
        </is>
      </c>
      <c r="E1275" t="inlineStr">
        <is>
          <t>SUL</t>
        </is>
      </c>
      <c r="F1275" t="inlineStr">
        <is>
          <t>Cliente A - Refrigerador</t>
        </is>
      </c>
      <c r="G1275" t="inlineStr">
        <is>
          <t>Refrigeradores</t>
        </is>
      </c>
      <c r="H1275" s="10" t="n">
        <v>40</v>
      </c>
      <c r="I1275" s="10">
        <f>IFERROR(T1275*H1275,0)</f>
        <v/>
      </c>
      <c r="J1275" s="11" t="n">
        <v>46135</v>
      </c>
      <c r="K1275" s="11" t="n"/>
      <c r="L1275" t="inlineStr">
        <is>
          <t>Não Devolve-Norte</t>
        </is>
      </c>
      <c r="M1275">
        <f>IF(L1275="","",IFERROR(VLOOKUP(L1275,mapGrupoStatus,2,0),"Outros"))</f>
        <v/>
      </c>
      <c r="N1275">
        <f>IF(O1275="","",IF(O1275&lt;=30,"0-30 dias",IF(O1275&lt;=60,"31-60 dias",IF(O1275&lt;=90,"61-90 dias","Mais de 90 dias"))))</f>
        <v/>
      </c>
      <c r="O1275">
        <f>IF(OR(M1275="Pendente",M1275="Em andamento"),IF(J1275="","",TODAY()-J1275),"")</f>
        <v/>
      </c>
      <c r="P1275" t="n">
        <v>12138</v>
      </c>
      <c r="Q1275" t="inlineStr">
        <is>
          <t>Refrigeração Serviços (12138)</t>
        </is>
      </c>
      <c r="R1275" t="inlineStr">
        <is>
          <t>PC-0004</t>
        </is>
      </c>
      <c r="S1275" t="inlineStr">
        <is>
          <t>Termostato modelo 01</t>
        </is>
      </c>
      <c r="T1275" t="n">
        <v>3</v>
      </c>
      <c r="U1275" t="inlineStr"/>
      <c r="V1275">
        <f>IF(J1275="","",MONTH(J1275))</f>
        <v/>
      </c>
      <c r="W1275">
        <f>IF(J1275="","",YEAR(J1275))</f>
        <v/>
      </c>
      <c r="X1275" t="inlineStr"/>
      <c r="Y1275">
        <f>IFERROR(INDEX(Rastreio!$H$2:$H$200,MATCH(X1275&amp;"|"&amp;U1275,Rastreio!$A$2:$A$200,0)),"")</f>
        <v/>
      </c>
    </row>
    <row r="1276">
      <c r="A1276">
        <f>IFERROR(INDEX(STAs!$G$2:$G$61,MATCH(P1276,STAs!$F$2:$F$61,0))&amp;"","")</f>
        <v/>
      </c>
      <c r="B1276" t="n">
        <v>20031415</v>
      </c>
      <c r="C1276" t="inlineStr">
        <is>
          <t>Não</t>
        </is>
      </c>
      <c r="D1276" t="inlineStr">
        <is>
          <t>RJ</t>
        </is>
      </c>
      <c r="E1276" t="inlineStr">
        <is>
          <t>SUDESTE RJ e ES</t>
        </is>
      </c>
      <c r="F1276" t="inlineStr">
        <is>
          <t>Cliente C - Misturador</t>
        </is>
      </c>
      <c r="G1276" t="inlineStr">
        <is>
          <t>Refrigeradores</t>
        </is>
      </c>
      <c r="H1276" s="10" t="n">
        <v>45</v>
      </c>
      <c r="I1276" s="10">
        <f>IFERROR(T1276*H1276,0)</f>
        <v/>
      </c>
      <c r="J1276" s="11" t="n">
        <v>46135</v>
      </c>
      <c r="K1276" s="11" t="n"/>
      <c r="L1276" t="inlineStr">
        <is>
          <t>Em andamento</t>
        </is>
      </c>
      <c r="M1276">
        <f>IF(L1276="","",IFERROR(VLOOKUP(L1276,mapGrupoStatus,2,0),"Outros"))</f>
        <v/>
      </c>
      <c r="N1276">
        <f>IF(O1276="","",IF(O1276&lt;=30,"0-30 dias",IF(O1276&lt;=60,"31-60 dias",IF(O1276&lt;=90,"61-90 dias","Mais de 90 dias"))))</f>
        <v/>
      </c>
      <c r="O1276">
        <f>IF(OR(M1276="Pendente",M1276="Em andamento"),IF(J1276="","",TODAY()-J1276),"")</f>
        <v/>
      </c>
      <c r="P1276" t="n">
        <v>12811</v>
      </c>
      <c r="Q1276" t="inlineStr">
        <is>
          <t>Norte Frio Técnica (12811)</t>
        </is>
      </c>
      <c r="R1276" t="inlineStr">
        <is>
          <t>PC-0018</t>
        </is>
      </c>
      <c r="S1276" t="inlineStr">
        <is>
          <t>Gaxeta da porta modelo 01</t>
        </is>
      </c>
      <c r="T1276" t="n">
        <v>2</v>
      </c>
      <c r="U1276" t="n">
        <v>154</v>
      </c>
      <c r="V1276">
        <f>IF(J1276="","",MONTH(J1276))</f>
        <v/>
      </c>
      <c r="W1276">
        <f>IF(J1276="","",YEAR(J1276))</f>
        <v/>
      </c>
      <c r="X1276" t="inlineStr">
        <is>
          <t>TransNorte</t>
        </is>
      </c>
      <c r="Y1276">
        <f>IFERROR(INDEX(Rastreio!$H$2:$H$200,MATCH(X1276&amp;"|"&amp;U1276,Rastreio!$A$2:$A$200,0)),"")</f>
        <v/>
      </c>
    </row>
    <row r="1277">
      <c r="A1277">
        <f>IFERROR(INDEX(STAs!$G$2:$G$61,MATCH(P1277,STAs!$F$2:$F$61,0))&amp;"","")</f>
        <v/>
      </c>
      <c r="B1277" t="n">
        <v>20032018</v>
      </c>
      <c r="C1277" t="inlineStr">
        <is>
          <t>Não</t>
        </is>
      </c>
      <c r="D1277" t="inlineStr">
        <is>
          <t>ES</t>
        </is>
      </c>
      <c r="E1277" t="inlineStr">
        <is>
          <t>SUDESTE RJ e ES</t>
        </is>
      </c>
      <c r="F1277" t="inlineStr">
        <is>
          <t>Cliente B - Chopeira</t>
        </is>
      </c>
      <c r="G1277" t="inlineStr">
        <is>
          <t>Misturadores</t>
        </is>
      </c>
      <c r="H1277" s="10" t="n">
        <v>40</v>
      </c>
      <c r="I1277" s="10">
        <f>IFERROR(T1277*H1277,0)</f>
        <v/>
      </c>
      <c r="J1277" s="11" t="n">
        <v>46135</v>
      </c>
      <c r="K1277" s="11" t="n"/>
      <c r="L1277" t="inlineStr">
        <is>
          <t>NF Vencida</t>
        </is>
      </c>
      <c r="M1277">
        <f>IF(L1277="","",IFERROR(VLOOKUP(L1277,mapGrupoStatus,2,0),"Outros"))</f>
        <v/>
      </c>
      <c r="N1277">
        <f>IF(O1277="","",IF(O1277&lt;=30,"0-30 dias",IF(O1277&lt;=60,"31-60 dias",IF(O1277&lt;=90,"61-90 dias","Mais de 90 dias"))))</f>
        <v/>
      </c>
      <c r="O1277">
        <f>IF(OR(M1277="Pendente",M1277="Em andamento"),IF(J1277="","",TODAY()-J1277),"")</f>
        <v/>
      </c>
      <c r="P1277" t="n">
        <v>11099</v>
      </c>
      <c r="Q1277" t="inlineStr">
        <is>
          <t>Refrigel Serviços (11099)</t>
        </is>
      </c>
      <c r="R1277" t="inlineStr">
        <is>
          <t>PC-0042</t>
        </is>
      </c>
      <c r="S1277" t="inlineStr">
        <is>
          <t>Bico dosador modelo 01</t>
        </is>
      </c>
      <c r="T1277" t="n">
        <v>1</v>
      </c>
      <c r="U1277" t="inlineStr"/>
      <c r="V1277">
        <f>IF(J1277="","",MONTH(J1277))</f>
        <v/>
      </c>
      <c r="W1277">
        <f>IF(J1277="","",YEAR(J1277))</f>
        <v/>
      </c>
      <c r="X1277" t="inlineStr"/>
      <c r="Y1277">
        <f>IFERROR(INDEX(Rastreio!$H$2:$H$200,MATCH(X1277&amp;"|"&amp;U1277,Rastreio!$A$2:$A$200,0)),"")</f>
        <v/>
      </c>
    </row>
    <row r="1278">
      <c r="A1278">
        <f>IFERROR(INDEX(STAs!$G$2:$G$61,MATCH(P1278,STAs!$F$2:$F$61,0))&amp;"","")</f>
        <v/>
      </c>
      <c r="B1278" t="n">
        <v>20037283</v>
      </c>
      <c r="C1278" t="inlineStr">
        <is>
          <t>Não</t>
        </is>
      </c>
      <c r="D1278" t="inlineStr">
        <is>
          <t>MG</t>
        </is>
      </c>
      <c r="E1278" t="inlineStr">
        <is>
          <t>SUDESTE MG</t>
        </is>
      </c>
      <c r="F1278" t="inlineStr">
        <is>
          <t>Cliente C - Misturador</t>
        </is>
      </c>
      <c r="G1278" t="inlineStr">
        <is>
          <t>Refrigeradores</t>
        </is>
      </c>
      <c r="H1278" s="10" t="n">
        <v>30</v>
      </c>
      <c r="I1278" s="10">
        <f>IFERROR(T1278*H1278,0)</f>
        <v/>
      </c>
      <c r="J1278" s="11" t="n">
        <v>46135</v>
      </c>
      <c r="K1278" s="11" t="n"/>
      <c r="L1278" t="inlineStr">
        <is>
          <t>NPD</t>
        </is>
      </c>
      <c r="M1278">
        <f>IF(L1278="","",IFERROR(VLOOKUP(L1278,mapGrupoStatus,2,0),"Outros"))</f>
        <v/>
      </c>
      <c r="N1278">
        <f>IF(O1278="","",IF(O1278&lt;=30,"0-30 dias",IF(O1278&lt;=60,"31-60 dias",IF(O1278&lt;=90,"61-90 dias","Mais de 90 dias"))))</f>
        <v/>
      </c>
      <c r="O1278">
        <f>IF(OR(M1278="Pendente",M1278="Em andamento"),IF(J1278="","",TODAY()-J1278),"")</f>
        <v/>
      </c>
      <c r="P1278" t="n">
        <v>12158</v>
      </c>
      <c r="Q1278" t="inlineStr">
        <is>
          <t>Gelo Serviços (12158)</t>
        </is>
      </c>
      <c r="R1278" t="inlineStr">
        <is>
          <t>PC-0025</t>
        </is>
      </c>
      <c r="S1278" t="inlineStr">
        <is>
          <t>Relé de partida modelo 03</t>
        </is>
      </c>
      <c r="T1278" t="n">
        <v>1</v>
      </c>
      <c r="U1278" t="inlineStr"/>
      <c r="V1278">
        <f>IF(J1278="","",MONTH(J1278))</f>
        <v/>
      </c>
      <c r="W1278">
        <f>IF(J1278="","",YEAR(J1278))</f>
        <v/>
      </c>
      <c r="X1278" t="inlineStr"/>
      <c r="Y1278">
        <f>IFERROR(INDEX(Rastreio!$H$2:$H$200,MATCH(X1278&amp;"|"&amp;U1278,Rastreio!$A$2:$A$200,0)),"")</f>
        <v/>
      </c>
    </row>
    <row r="1279">
      <c r="A1279">
        <f>IFERROR(INDEX(STAs!$G$2:$G$61,MATCH(P1279,STAs!$F$2:$F$61,0))&amp;"","")</f>
        <v/>
      </c>
      <c r="B1279" t="n">
        <v>20040974</v>
      </c>
      <c r="C1279" t="inlineStr">
        <is>
          <t>Não</t>
        </is>
      </c>
      <c r="D1279" t="inlineStr">
        <is>
          <t>PR</t>
        </is>
      </c>
      <c r="E1279" t="inlineStr">
        <is>
          <t>SUL</t>
        </is>
      </c>
      <c r="F1279" t="inlineStr">
        <is>
          <t>Cliente B - Chopeira</t>
        </is>
      </c>
      <c r="G1279" t="inlineStr">
        <is>
          <t>Refrigeradores</t>
        </is>
      </c>
      <c r="H1279" s="10" t="n">
        <v>40</v>
      </c>
      <c r="I1279" s="10">
        <f>IFERROR(T1279*H1279,0)</f>
        <v/>
      </c>
      <c r="J1279" s="11" t="n">
        <v>46135</v>
      </c>
      <c r="K1279" s="11" t="n">
        <v>46153</v>
      </c>
      <c r="L1279" t="inlineStr">
        <is>
          <t>Ok. Devolvida</t>
        </is>
      </c>
      <c r="M1279">
        <f>IF(L1279="","",IFERROR(VLOOKUP(L1279,mapGrupoStatus,2,0),"Outros"))</f>
        <v/>
      </c>
      <c r="N1279">
        <f>IF(O1279="","",IF(O1279&lt;=30,"0-30 dias",IF(O1279&lt;=60,"31-60 dias",IF(O1279&lt;=90,"61-90 dias","Mais de 90 dias"))))</f>
        <v/>
      </c>
      <c r="O1279">
        <f>IF(OR(M1279="Pendente",M1279="Em andamento"),IF(J1279="","",TODAY()-J1279),"")</f>
        <v/>
      </c>
      <c r="P1279" t="n">
        <v>10504</v>
      </c>
      <c r="Q1279" t="inlineStr">
        <is>
          <t>Zero Grau Ltda (10504)</t>
        </is>
      </c>
      <c r="R1279" t="inlineStr">
        <is>
          <t>PC-0004</t>
        </is>
      </c>
      <c r="S1279" t="inlineStr">
        <is>
          <t>Termostato modelo 01</t>
        </is>
      </c>
      <c r="T1279" t="n">
        <v>1</v>
      </c>
      <c r="U1279" t="n">
        <v>180</v>
      </c>
      <c r="V1279">
        <f>IF(J1279="","",MONTH(J1279))</f>
        <v/>
      </c>
      <c r="W1279">
        <f>IF(J1279="","",YEAR(J1279))</f>
        <v/>
      </c>
      <c r="X1279" t="inlineStr">
        <is>
          <t>RotaSul</t>
        </is>
      </c>
      <c r="Y1279">
        <f>IFERROR(INDEX(Rastreio!$H$2:$H$200,MATCH(X1279&amp;"|"&amp;U1279,Rastreio!$A$2:$A$200,0)),"")</f>
        <v/>
      </c>
    </row>
    <row r="1280">
      <c r="A1280">
        <f>IFERROR(INDEX(STAs!$G$2:$G$61,MATCH(P1280,STAs!$F$2:$F$61,0))&amp;"","")</f>
        <v/>
      </c>
      <c r="B1280" t="n">
        <v>20004997</v>
      </c>
      <c r="C1280" t="inlineStr">
        <is>
          <t>Não</t>
        </is>
      </c>
      <c r="D1280" t="inlineStr">
        <is>
          <t>GO</t>
        </is>
      </c>
      <c r="E1280" t="inlineStr">
        <is>
          <t>CENTRO OESTE</t>
        </is>
      </c>
      <c r="F1280" t="inlineStr">
        <is>
          <t>Cliente C - Misturador</t>
        </is>
      </c>
      <c r="G1280" t="inlineStr">
        <is>
          <t>Misturadores</t>
        </is>
      </c>
      <c r="H1280" s="10" t="n">
        <v>60</v>
      </c>
      <c r="I1280" s="10">
        <f>IFERROR(T1280*H1280,0)</f>
        <v/>
      </c>
      <c r="J1280" s="11" t="n">
        <v>46136</v>
      </c>
      <c r="K1280" s="11" t="n">
        <v>46191</v>
      </c>
      <c r="L1280" t="inlineStr">
        <is>
          <t>Ok. Devolvida</t>
        </is>
      </c>
      <c r="M1280">
        <f>IF(L1280="","",IFERROR(VLOOKUP(L1280,mapGrupoStatus,2,0),"Outros"))</f>
        <v/>
      </c>
      <c r="N1280">
        <f>IF(O1280="","",IF(O1280&lt;=30,"0-30 dias",IF(O1280&lt;=60,"31-60 dias",IF(O1280&lt;=90,"61-90 dias","Mais de 90 dias"))))</f>
        <v/>
      </c>
      <c r="O1280">
        <f>IF(OR(M1280="Pendente",M1280="Em andamento"),IF(J1280="","",TODAY()-J1280),"")</f>
        <v/>
      </c>
      <c r="P1280" t="n">
        <v>12007</v>
      </c>
      <c r="Q1280" t="inlineStr">
        <is>
          <t>Refrigel Ltda (12007)</t>
        </is>
      </c>
      <c r="R1280" t="inlineStr">
        <is>
          <t>PC-0048</t>
        </is>
      </c>
      <c r="S1280" t="inlineStr">
        <is>
          <t>Sensor de nível modelo 04</t>
        </is>
      </c>
      <c r="T1280" t="n">
        <v>1</v>
      </c>
      <c r="U1280" t="n">
        <v>112</v>
      </c>
      <c r="V1280">
        <f>IF(J1280="","",MONTH(J1280))</f>
        <v/>
      </c>
      <c r="W1280">
        <f>IF(J1280="","",YEAR(J1280))</f>
        <v/>
      </c>
      <c r="X1280" t="inlineStr">
        <is>
          <t>ViaCargo</t>
        </is>
      </c>
      <c r="Y1280">
        <f>IFERROR(INDEX(Rastreio!$H$2:$H$200,MATCH(X1280&amp;"|"&amp;U1280,Rastreio!$A$2:$A$200,0)),"")</f>
        <v/>
      </c>
    </row>
    <row r="1281">
      <c r="A1281">
        <f>IFERROR(INDEX(STAs!$G$2:$G$61,MATCH(P1281,STAs!$F$2:$F$61,0))&amp;"","")</f>
        <v/>
      </c>
      <c r="B1281" t="n">
        <v>20013943</v>
      </c>
      <c r="C1281" t="inlineStr">
        <is>
          <t>Não</t>
        </is>
      </c>
      <c r="D1281" t="inlineStr">
        <is>
          <t>SP</t>
        </is>
      </c>
      <c r="E1281" t="inlineStr">
        <is>
          <t>SUDESTE SP</t>
        </is>
      </c>
      <c r="F1281" t="inlineStr">
        <is>
          <t>Cliente B - Chopeira</t>
        </is>
      </c>
      <c r="G1281" t="inlineStr">
        <is>
          <t>Refrigeradores</t>
        </is>
      </c>
      <c r="H1281" s="10" t="n">
        <v>190</v>
      </c>
      <c r="I1281" s="10">
        <f>IFERROR(T1281*H1281,0)</f>
        <v/>
      </c>
      <c r="J1281" s="11" t="n">
        <v>46136</v>
      </c>
      <c r="K1281" s="11" t="n">
        <v>46196</v>
      </c>
      <c r="L1281" t="inlineStr">
        <is>
          <t>Ok. Devolvida</t>
        </is>
      </c>
      <c r="M1281">
        <f>IF(L1281="","",IFERROR(VLOOKUP(L1281,mapGrupoStatus,2,0),"Outros"))</f>
        <v/>
      </c>
      <c r="N1281">
        <f>IF(O1281="","",IF(O1281&lt;=30,"0-30 dias",IF(O1281&lt;=60,"31-60 dias",IF(O1281&lt;=90,"61-90 dias","Mais de 90 dias"))))</f>
        <v/>
      </c>
      <c r="O1281">
        <f>IF(OR(M1281="Pendente",M1281="Em andamento"),IF(J1281="","",TODAY()-J1281),"")</f>
        <v/>
      </c>
      <c r="P1281" t="n">
        <v>10413</v>
      </c>
      <c r="Q1281" t="inlineStr">
        <is>
          <t>Polar Manutenção (10413)</t>
        </is>
      </c>
      <c r="R1281" t="inlineStr">
        <is>
          <t>PC-0014</t>
        </is>
      </c>
      <c r="S1281" t="inlineStr">
        <is>
          <t>Placa eletrônica modelo 04</t>
        </is>
      </c>
      <c r="T1281" t="n">
        <v>2</v>
      </c>
      <c r="U1281" t="n">
        <v>127</v>
      </c>
      <c r="V1281">
        <f>IF(J1281="","",MONTH(J1281))</f>
        <v/>
      </c>
      <c r="W1281">
        <f>IF(J1281="","",YEAR(J1281))</f>
        <v/>
      </c>
      <c r="X1281" t="inlineStr">
        <is>
          <t>CargoMax</t>
        </is>
      </c>
      <c r="Y1281">
        <f>IFERROR(INDEX(Rastreio!$H$2:$H$200,MATCH(X1281&amp;"|"&amp;U1281,Rastreio!$A$2:$A$200,0)),"")</f>
        <v/>
      </c>
    </row>
    <row r="1282">
      <c r="A1282">
        <f>IFERROR(INDEX(STAs!$G$2:$G$61,MATCH(P1282,STAs!$F$2:$F$61,0))&amp;"","")</f>
        <v/>
      </c>
      <c r="B1282" t="n">
        <v>20020421</v>
      </c>
      <c r="C1282" t="inlineStr">
        <is>
          <t>Não</t>
        </is>
      </c>
      <c r="D1282" t="inlineStr">
        <is>
          <t>RJ</t>
        </is>
      </c>
      <c r="E1282" t="inlineStr">
        <is>
          <t>SUDESTE RJ e ES</t>
        </is>
      </c>
      <c r="F1282" t="inlineStr">
        <is>
          <t>Cliente B - Chopeira</t>
        </is>
      </c>
      <c r="G1282" t="inlineStr">
        <is>
          <t>Refrigeradores</t>
        </is>
      </c>
      <c r="H1282" s="10" t="n">
        <v>155</v>
      </c>
      <c r="I1282" s="10">
        <f>IFERROR(T1282*H1282,0)</f>
        <v/>
      </c>
      <c r="J1282" s="11" t="n">
        <v>46136</v>
      </c>
      <c r="K1282" s="11" t="n"/>
      <c r="L1282" t="inlineStr">
        <is>
          <t>Debitar do STA</t>
        </is>
      </c>
      <c r="M1282">
        <f>IF(L1282="","",IFERROR(VLOOKUP(L1282,mapGrupoStatus,2,0),"Outros"))</f>
        <v/>
      </c>
      <c r="N1282">
        <f>IF(O1282="","",IF(O1282&lt;=30,"0-30 dias",IF(O1282&lt;=60,"31-60 dias",IF(O1282&lt;=90,"61-90 dias","Mais de 90 dias"))))</f>
        <v/>
      </c>
      <c r="O1282">
        <f>IF(OR(M1282="Pendente",M1282="Em andamento"),IF(J1282="","",TODAY()-J1282),"")</f>
        <v/>
      </c>
      <c r="P1282" t="n">
        <v>11059</v>
      </c>
      <c r="Q1282" t="inlineStr">
        <is>
          <t>Frio Ltda (11059)</t>
        </is>
      </c>
      <c r="R1282" t="inlineStr">
        <is>
          <t>PC-0022</t>
        </is>
      </c>
      <c r="S1282" t="inlineStr">
        <is>
          <t>Controlador digital modelo 02</t>
        </is>
      </c>
      <c r="T1282" t="n">
        <v>1</v>
      </c>
      <c r="U1282" t="inlineStr"/>
      <c r="V1282">
        <f>IF(J1282="","",MONTH(J1282))</f>
        <v/>
      </c>
      <c r="W1282">
        <f>IF(J1282="","",YEAR(J1282))</f>
        <v/>
      </c>
      <c r="X1282" t="inlineStr"/>
      <c r="Y1282">
        <f>IFERROR(INDEX(Rastreio!$H$2:$H$200,MATCH(X1282&amp;"|"&amp;U1282,Rastreio!$A$2:$A$200,0)),"")</f>
        <v/>
      </c>
    </row>
    <row r="1283">
      <c r="A1283">
        <f>IFERROR(INDEX(STAs!$G$2:$G$61,MATCH(P1283,STAs!$F$2:$F$61,0))&amp;"","")</f>
        <v/>
      </c>
      <c r="B1283" t="n">
        <v>20030988</v>
      </c>
      <c r="C1283" t="inlineStr">
        <is>
          <t>Não</t>
        </is>
      </c>
      <c r="D1283" t="inlineStr">
        <is>
          <t>MG</t>
        </is>
      </c>
      <c r="E1283" t="inlineStr">
        <is>
          <t>SUDESTE MG</t>
        </is>
      </c>
      <c r="F1283" t="inlineStr">
        <is>
          <t>Cliente B - Chopeira</t>
        </is>
      </c>
      <c r="G1283" t="inlineStr">
        <is>
          <t>Chopeiras</t>
        </is>
      </c>
      <c r="H1283" s="10" t="n">
        <v>85</v>
      </c>
      <c r="I1283" s="10">
        <f>IFERROR(T1283*H1283,0)</f>
        <v/>
      </c>
      <c r="J1283" s="11" t="n">
        <v>46136</v>
      </c>
      <c r="K1283" s="11" t="n">
        <v>46150</v>
      </c>
      <c r="L1283" t="inlineStr">
        <is>
          <t>Ok. Devolvida</t>
        </is>
      </c>
      <c r="M1283">
        <f>IF(L1283="","",IFERROR(VLOOKUP(L1283,mapGrupoStatus,2,0),"Outros"))</f>
        <v/>
      </c>
      <c r="N1283">
        <f>IF(O1283="","",IF(O1283&lt;=30,"0-30 dias",IF(O1283&lt;=60,"31-60 dias",IF(O1283&lt;=90,"61-90 dias","Mais de 90 dias"))))</f>
        <v/>
      </c>
      <c r="O1283">
        <f>IF(OR(M1283="Pendente",M1283="Em andamento"),IF(J1283="","",TODAY()-J1283),"")</f>
        <v/>
      </c>
      <c r="P1283" t="n">
        <v>11487</v>
      </c>
      <c r="Q1283" t="inlineStr">
        <is>
          <t>Assistência Técnica Manutenção (11487)</t>
        </is>
      </c>
      <c r="R1283" t="inlineStr">
        <is>
          <t>PC-0026</t>
        </is>
      </c>
      <c r="S1283" t="inlineStr">
        <is>
          <t>Torneira de chopp modelo 01</t>
        </is>
      </c>
      <c r="T1283" t="n">
        <v>1</v>
      </c>
      <c r="U1283" t="n">
        <v>154</v>
      </c>
      <c r="V1283">
        <f>IF(J1283="","",MONTH(J1283))</f>
        <v/>
      </c>
      <c r="W1283">
        <f>IF(J1283="","",YEAR(J1283))</f>
        <v/>
      </c>
      <c r="X1283" t="inlineStr">
        <is>
          <t>TransNorte</t>
        </is>
      </c>
      <c r="Y1283">
        <f>IFERROR(INDEX(Rastreio!$H$2:$H$200,MATCH(X1283&amp;"|"&amp;U1283,Rastreio!$A$2:$A$200,0)),"")</f>
        <v/>
      </c>
    </row>
    <row r="1284">
      <c r="A1284">
        <f>IFERROR(INDEX(STAs!$G$2:$G$61,MATCH(P1284,STAs!$F$2:$F$61,0))&amp;"","")</f>
        <v/>
      </c>
      <c r="B1284" t="n">
        <v>20031627</v>
      </c>
      <c r="C1284" t="inlineStr">
        <is>
          <t>Não</t>
        </is>
      </c>
      <c r="D1284" t="inlineStr">
        <is>
          <t>PR</t>
        </is>
      </c>
      <c r="E1284" t="inlineStr">
        <is>
          <t>SUL</t>
        </is>
      </c>
      <c r="F1284" t="inlineStr">
        <is>
          <t>Cliente C - Misturador</t>
        </is>
      </c>
      <c r="G1284" t="inlineStr">
        <is>
          <t>Refrigeradores</t>
        </is>
      </c>
      <c r="H1284" s="10" t="n">
        <v>45</v>
      </c>
      <c r="I1284" s="10">
        <f>IFERROR(T1284*H1284,0)</f>
        <v/>
      </c>
      <c r="J1284" s="11" t="n">
        <v>46136</v>
      </c>
      <c r="K1284" s="11" t="n"/>
      <c r="L1284" t="inlineStr">
        <is>
          <t>Em transporte</t>
        </is>
      </c>
      <c r="M1284">
        <f>IF(L1284="","",IFERROR(VLOOKUP(L1284,mapGrupoStatus,2,0),"Outros"))</f>
        <v/>
      </c>
      <c r="N1284">
        <f>IF(O1284="","",IF(O1284&lt;=30,"0-30 dias",IF(O1284&lt;=60,"31-60 dias",IF(O1284&lt;=90,"61-90 dias","Mais de 90 dias"))))</f>
        <v/>
      </c>
      <c r="O1284">
        <f>IF(OR(M1284="Pendente",M1284="Em andamento"),IF(J1284="","",TODAY()-J1284),"")</f>
        <v/>
      </c>
      <c r="P1284" t="n">
        <v>11898</v>
      </c>
      <c r="Q1284" t="inlineStr">
        <is>
          <t>Refrigel Express (11898)</t>
        </is>
      </c>
      <c r="R1284" t="inlineStr">
        <is>
          <t>PC-0019</t>
        </is>
      </c>
      <c r="S1284" t="inlineStr">
        <is>
          <t>Gaxeta da porta modelo 02</t>
        </is>
      </c>
      <c r="T1284" t="n">
        <v>1</v>
      </c>
      <c r="U1284" t="n">
        <v>146</v>
      </c>
      <c r="V1284">
        <f>IF(J1284="","",MONTH(J1284))</f>
        <v/>
      </c>
      <c r="W1284">
        <f>IF(J1284="","",YEAR(J1284))</f>
        <v/>
      </c>
      <c r="X1284" t="inlineStr">
        <is>
          <t>EntregaJá</t>
        </is>
      </c>
      <c r="Y1284">
        <f>IFERROR(INDEX(Rastreio!$H$2:$H$200,MATCH(X1284&amp;"|"&amp;U1284,Rastreio!$A$2:$A$200,0)),"")</f>
        <v/>
      </c>
    </row>
    <row r="1285">
      <c r="A1285">
        <f>IFERROR(INDEX(STAs!$G$2:$G$61,MATCH(P1285,STAs!$F$2:$F$61,0))&amp;"","")</f>
        <v/>
      </c>
      <c r="B1285" t="n">
        <v>20034139</v>
      </c>
      <c r="C1285" t="inlineStr">
        <is>
          <t>Não</t>
        </is>
      </c>
      <c r="D1285" t="inlineStr">
        <is>
          <t>SP</t>
        </is>
      </c>
      <c r="E1285" t="inlineStr">
        <is>
          <t>SUDESTE SP</t>
        </is>
      </c>
      <c r="F1285" t="inlineStr">
        <is>
          <t>Cliente B - Chopeira</t>
        </is>
      </c>
      <c r="G1285" t="inlineStr">
        <is>
          <t>Refrigeradores</t>
        </is>
      </c>
      <c r="H1285" s="10" t="n">
        <v>35</v>
      </c>
      <c r="I1285" s="10">
        <f>IFERROR(T1285*H1285,0)</f>
        <v/>
      </c>
      <c r="J1285" s="11" t="n">
        <v>46136</v>
      </c>
      <c r="K1285" s="11" t="n"/>
      <c r="L1285" t="inlineStr">
        <is>
          <t>Em transporte</t>
        </is>
      </c>
      <c r="M1285">
        <f>IF(L1285="","",IFERROR(VLOOKUP(L1285,mapGrupoStatus,2,0),"Outros"))</f>
        <v/>
      </c>
      <c r="N1285">
        <f>IF(O1285="","",IF(O1285&lt;=30,"0-30 dias",IF(O1285&lt;=60,"31-60 dias",IF(O1285&lt;=90,"61-90 dias","Mais de 90 dias"))))</f>
        <v/>
      </c>
      <c r="O1285">
        <f>IF(OR(M1285="Pendente",M1285="Em andamento"),IF(J1285="","",TODAY()-J1285),"")</f>
        <v/>
      </c>
      <c r="P1285" t="n">
        <v>10111</v>
      </c>
      <c r="Q1285" t="inlineStr">
        <is>
          <t>Refrigel Manutenção (10111)</t>
        </is>
      </c>
      <c r="R1285" t="inlineStr">
        <is>
          <t>PC-0023</t>
        </is>
      </c>
      <c r="S1285" t="inlineStr">
        <is>
          <t>Relé de partida modelo 01</t>
        </is>
      </c>
      <c r="T1285" t="n">
        <v>2</v>
      </c>
      <c r="U1285" t="n">
        <v>159</v>
      </c>
      <c r="V1285">
        <f>IF(J1285="","",MONTH(J1285))</f>
        <v/>
      </c>
      <c r="W1285">
        <f>IF(J1285="","",YEAR(J1285))</f>
        <v/>
      </c>
      <c r="X1285" t="inlineStr">
        <is>
          <t>CargoMax</t>
        </is>
      </c>
      <c r="Y1285">
        <f>IFERROR(INDEX(Rastreio!$H$2:$H$200,MATCH(X1285&amp;"|"&amp;U1285,Rastreio!$A$2:$A$200,0)),"")</f>
        <v/>
      </c>
    </row>
    <row r="1286">
      <c r="A1286">
        <f>IFERROR(INDEX(STAs!$G$2:$G$61,MATCH(P1286,STAs!$F$2:$F$61,0))&amp;"","")</f>
        <v/>
      </c>
      <c r="B1286" t="n">
        <v>20000827</v>
      </c>
      <c r="C1286" t="inlineStr">
        <is>
          <t>Não</t>
        </is>
      </c>
      <c r="D1286" t="inlineStr">
        <is>
          <t>MG</t>
        </is>
      </c>
      <c r="E1286" t="inlineStr">
        <is>
          <t>SUDESTE MG</t>
        </is>
      </c>
      <c r="F1286" t="inlineStr">
        <is>
          <t>Cliente B - Chopeira</t>
        </is>
      </c>
      <c r="G1286" t="inlineStr">
        <is>
          <t>Refrigeradores</t>
        </is>
      </c>
      <c r="H1286" s="10" t="n">
        <v>325</v>
      </c>
      <c r="I1286" s="10">
        <f>IFERROR(T1286*H1286,0)</f>
        <v/>
      </c>
      <c r="J1286" s="11" t="n">
        <v>46137</v>
      </c>
      <c r="K1286" s="11" t="n">
        <v>46154</v>
      </c>
      <c r="L1286" t="inlineStr">
        <is>
          <t>Ok. Devolvida</t>
        </is>
      </c>
      <c r="M1286">
        <f>IF(L1286="","",IFERROR(VLOOKUP(L1286,mapGrupoStatus,2,0),"Outros"))</f>
        <v/>
      </c>
      <c r="N1286">
        <f>IF(O1286="","",IF(O1286&lt;=30,"0-30 dias",IF(O1286&lt;=60,"31-60 dias",IF(O1286&lt;=90,"61-90 dias","Mais de 90 dias"))))</f>
        <v/>
      </c>
      <c r="O1286">
        <f>IF(OR(M1286="Pendente",M1286="Em andamento"),IF(J1286="","",TODAY()-J1286),"")</f>
        <v/>
      </c>
      <c r="P1286" t="n">
        <v>12470</v>
      </c>
      <c r="Q1286" t="inlineStr">
        <is>
          <t>Cool Service Técnica (12470)</t>
        </is>
      </c>
      <c r="R1286" t="inlineStr">
        <is>
          <t>PC-0001</t>
        </is>
      </c>
      <c r="S1286" t="inlineStr">
        <is>
          <t>Compressor modelo 01</t>
        </is>
      </c>
      <c r="T1286" t="n">
        <v>1</v>
      </c>
      <c r="U1286" t="n">
        <v>100</v>
      </c>
      <c r="V1286">
        <f>IF(J1286="","",MONTH(J1286))</f>
        <v/>
      </c>
      <c r="W1286">
        <f>IF(J1286="","",YEAR(J1286))</f>
        <v/>
      </c>
      <c r="X1286" t="inlineStr">
        <is>
          <t>CargoMax</t>
        </is>
      </c>
      <c r="Y1286">
        <f>IFERROR(INDEX(Rastreio!$H$2:$H$200,MATCH(X1286&amp;"|"&amp;U1286,Rastreio!$A$2:$A$200,0)),"")</f>
        <v/>
      </c>
    </row>
    <row r="1287">
      <c r="A1287">
        <f>IFERROR(INDEX(STAs!$G$2:$G$61,MATCH(P1287,STAs!$F$2:$F$61,0))&amp;"","")</f>
        <v/>
      </c>
      <c r="B1287" t="n">
        <v>20013342</v>
      </c>
      <c r="C1287" t="inlineStr">
        <is>
          <t>Não</t>
        </is>
      </c>
      <c r="D1287" t="inlineStr">
        <is>
          <t>PE</t>
        </is>
      </c>
      <c r="E1287" t="inlineStr">
        <is>
          <t>NORDESTE</t>
        </is>
      </c>
      <c r="F1287" t="inlineStr">
        <is>
          <t>Cliente C - Misturador</t>
        </is>
      </c>
      <c r="G1287" t="inlineStr">
        <is>
          <t>Refrigeradores</t>
        </is>
      </c>
      <c r="H1287" s="10" t="n">
        <v>35</v>
      </c>
      <c r="I1287" s="10">
        <f>IFERROR(T1287*H1287,0)</f>
        <v/>
      </c>
      <c r="J1287" s="11" t="n">
        <v>46137</v>
      </c>
      <c r="K1287" s="11" t="n">
        <v>46160</v>
      </c>
      <c r="L1287" t="inlineStr">
        <is>
          <t>Ok. Devolvida</t>
        </is>
      </c>
      <c r="M1287">
        <f>IF(L1287="","",IFERROR(VLOOKUP(L1287,mapGrupoStatus,2,0),"Outros"))</f>
        <v/>
      </c>
      <c r="N1287">
        <f>IF(O1287="","",IF(O1287&lt;=30,"0-30 dias",IF(O1287&lt;=60,"31-60 dias",IF(O1287&lt;=90,"61-90 dias","Mais de 90 dias"))))</f>
        <v/>
      </c>
      <c r="O1287">
        <f>IF(OR(M1287="Pendente",M1287="Em andamento"),IF(J1287="","",TODAY()-J1287),"")</f>
        <v/>
      </c>
      <c r="P1287" t="n">
        <v>11352</v>
      </c>
      <c r="Q1287" t="inlineStr">
        <is>
          <t>Frio Express (11352)</t>
        </is>
      </c>
      <c r="R1287" t="inlineStr">
        <is>
          <t>PC-0020</t>
        </is>
      </c>
      <c r="S1287" t="inlineStr">
        <is>
          <t>Gaxeta da porta modelo 03</t>
        </is>
      </c>
      <c r="T1287" t="n">
        <v>1</v>
      </c>
      <c r="U1287" t="n">
        <v>125</v>
      </c>
      <c r="V1287">
        <f>IF(J1287="","",MONTH(J1287))</f>
        <v/>
      </c>
      <c r="W1287">
        <f>IF(J1287="","",YEAR(J1287))</f>
        <v/>
      </c>
      <c r="X1287" t="inlineStr">
        <is>
          <t>CargoMax</t>
        </is>
      </c>
      <c r="Y1287">
        <f>IFERROR(INDEX(Rastreio!$H$2:$H$200,MATCH(X1287&amp;"|"&amp;U1287,Rastreio!$A$2:$A$200,0)),"")</f>
        <v/>
      </c>
    </row>
    <row r="1288">
      <c r="A1288">
        <f>IFERROR(INDEX(STAs!$G$2:$G$61,MATCH(P1288,STAs!$F$2:$F$61,0))&amp;"","")</f>
        <v/>
      </c>
      <c r="B1288" t="n">
        <v>20025534</v>
      </c>
      <c r="C1288" t="inlineStr">
        <is>
          <t>Não</t>
        </is>
      </c>
      <c r="D1288" t="inlineStr">
        <is>
          <t>MT</t>
        </is>
      </c>
      <c r="E1288" t="inlineStr">
        <is>
          <t>CENTRO OESTE</t>
        </is>
      </c>
      <c r="F1288" t="inlineStr">
        <is>
          <t>Cliente C - Misturador</t>
        </is>
      </c>
      <c r="G1288" t="inlineStr">
        <is>
          <t>Refrigeradores</t>
        </is>
      </c>
      <c r="H1288" s="10" t="n">
        <v>25</v>
      </c>
      <c r="I1288" s="10">
        <f>IFERROR(T1288*H1288,0)</f>
        <v/>
      </c>
      <c r="J1288" s="11" t="n">
        <v>46137</v>
      </c>
      <c r="K1288" s="11" t="n"/>
      <c r="L1288" t="inlineStr">
        <is>
          <t>Em andamento</t>
        </is>
      </c>
      <c r="M1288">
        <f>IF(L1288="","",IFERROR(VLOOKUP(L1288,mapGrupoStatus,2,0),"Outros"))</f>
        <v/>
      </c>
      <c r="N1288">
        <f>IF(O1288="","",IF(O1288&lt;=30,"0-30 dias",IF(O1288&lt;=60,"31-60 dias",IF(O1288&lt;=90,"61-90 dias","Mais de 90 dias"))))</f>
        <v/>
      </c>
      <c r="O1288">
        <f>IF(OR(M1288="Pendente",M1288="Em andamento"),IF(J1288="","",TODAY()-J1288),"")</f>
        <v/>
      </c>
      <c r="P1288" t="n">
        <v>10227</v>
      </c>
      <c r="Q1288" t="inlineStr">
        <is>
          <t>Assistência Técnica ME (10227)</t>
        </is>
      </c>
      <c r="R1288" t="inlineStr">
        <is>
          <t>PC-0015</t>
        </is>
      </c>
      <c r="S1288" t="inlineStr">
        <is>
          <t>Filtro secador modelo 01</t>
        </is>
      </c>
      <c r="T1288" t="n">
        <v>1</v>
      </c>
      <c r="U1288" t="n">
        <v>142</v>
      </c>
      <c r="V1288">
        <f>IF(J1288="","",MONTH(J1288))</f>
        <v/>
      </c>
      <c r="W1288">
        <f>IF(J1288="","",YEAR(J1288))</f>
        <v/>
      </c>
      <c r="X1288" t="inlineStr">
        <is>
          <t>ViaCargo</t>
        </is>
      </c>
      <c r="Y1288">
        <f>IFERROR(INDEX(Rastreio!$H$2:$H$200,MATCH(X1288&amp;"|"&amp;U1288,Rastreio!$A$2:$A$200,0)),"")</f>
        <v/>
      </c>
    </row>
    <row r="1289">
      <c r="A1289">
        <f>IFERROR(INDEX(STAs!$G$2:$G$61,MATCH(P1289,STAs!$F$2:$F$61,0))&amp;"","")</f>
        <v/>
      </c>
      <c r="B1289" t="n">
        <v>20003420</v>
      </c>
      <c r="C1289" t="inlineStr">
        <is>
          <t>Não</t>
        </is>
      </c>
      <c r="D1289" t="inlineStr">
        <is>
          <t>RS</t>
        </is>
      </c>
      <c r="E1289" t="inlineStr">
        <is>
          <t>SUL</t>
        </is>
      </c>
      <c r="F1289" t="inlineStr">
        <is>
          <t>Cliente C - Misturador</t>
        </is>
      </c>
      <c r="G1289" t="inlineStr">
        <is>
          <t>Chopeiras</t>
        </is>
      </c>
      <c r="H1289" s="10" t="n">
        <v>100</v>
      </c>
      <c r="I1289" s="10">
        <f>IFERROR(T1289*H1289,0)</f>
        <v/>
      </c>
      <c r="J1289" s="11" t="n">
        <v>46138</v>
      </c>
      <c r="K1289" s="11" t="n">
        <v>46181</v>
      </c>
      <c r="L1289" t="inlineStr">
        <is>
          <t>Ok. Devolvida</t>
        </is>
      </c>
      <c r="M1289">
        <f>IF(L1289="","",IFERROR(VLOOKUP(L1289,mapGrupoStatus,2,0),"Outros"))</f>
        <v/>
      </c>
      <c r="N1289">
        <f>IF(O1289="","",IF(O1289&lt;=30,"0-30 dias",IF(O1289&lt;=60,"31-60 dias",IF(O1289&lt;=90,"61-90 dias","Mais de 90 dias"))))</f>
        <v/>
      </c>
      <c r="O1289">
        <f>IF(OR(M1289="Pendente",M1289="Em andamento"),IF(J1289="","",TODAY()-J1289),"")</f>
        <v/>
      </c>
      <c r="P1289" t="n">
        <v>11459</v>
      </c>
      <c r="Q1289" t="inlineStr">
        <is>
          <t>Frio ME (11459)</t>
        </is>
      </c>
      <c r="R1289" t="inlineStr">
        <is>
          <t>PC-0027</t>
        </is>
      </c>
      <c r="S1289" t="inlineStr">
        <is>
          <t>Torneira de chopp modelo 02</t>
        </is>
      </c>
      <c r="T1289" t="n">
        <v>1</v>
      </c>
      <c r="U1289" t="n">
        <v>104</v>
      </c>
      <c r="V1289">
        <f>IF(J1289="","",MONTH(J1289))</f>
        <v/>
      </c>
      <c r="W1289">
        <f>IF(J1289="","",YEAR(J1289))</f>
        <v/>
      </c>
      <c r="X1289" t="inlineStr">
        <is>
          <t>TransNorte</t>
        </is>
      </c>
      <c r="Y1289">
        <f>IFERROR(INDEX(Rastreio!$H$2:$H$200,MATCH(X1289&amp;"|"&amp;U1289,Rastreio!$A$2:$A$200,0)),"")</f>
        <v/>
      </c>
    </row>
    <row r="1290">
      <c r="A1290">
        <f>IFERROR(INDEX(STAs!$G$2:$G$61,MATCH(P1290,STAs!$F$2:$F$61,0))&amp;"","")</f>
        <v/>
      </c>
      <c r="B1290" t="n">
        <v>20023353</v>
      </c>
      <c r="C1290" t="inlineStr">
        <is>
          <t>Não</t>
        </is>
      </c>
      <c r="D1290" t="inlineStr">
        <is>
          <t>GO</t>
        </is>
      </c>
      <c r="E1290" t="inlineStr">
        <is>
          <t>CENTRO OESTE</t>
        </is>
      </c>
      <c r="F1290" t="inlineStr">
        <is>
          <t>Cliente C - Misturador</t>
        </is>
      </c>
      <c r="G1290" t="inlineStr">
        <is>
          <t>Misturadores</t>
        </is>
      </c>
      <c r="H1290" s="10" t="n">
        <v>50</v>
      </c>
      <c r="I1290" s="10">
        <f>IFERROR(T1290*H1290,0)</f>
        <v/>
      </c>
      <c r="J1290" s="11" t="n">
        <v>46138</v>
      </c>
      <c r="K1290" s="11" t="n"/>
      <c r="L1290" t="inlineStr">
        <is>
          <t>Aguardando devolução</t>
        </is>
      </c>
      <c r="M1290">
        <f>IF(L1290="","",IFERROR(VLOOKUP(L1290,mapGrupoStatus,2,0),"Outros"))</f>
        <v/>
      </c>
      <c r="N1290">
        <f>IF(O1290="","",IF(O1290&lt;=30,"0-30 dias",IF(O1290&lt;=60,"31-60 dias",IF(O1290&lt;=90,"61-90 dias","Mais de 90 dias"))))</f>
        <v/>
      </c>
      <c r="O1290">
        <f>IF(OR(M1290="Pendente",M1290="Em andamento"),IF(J1290="","",TODAY()-J1290),"")</f>
        <v/>
      </c>
      <c r="P1290" t="n">
        <v>11293</v>
      </c>
      <c r="Q1290" t="inlineStr">
        <is>
          <t>Assistência Técnica Ltda (11293)</t>
        </is>
      </c>
      <c r="R1290" t="inlineStr">
        <is>
          <t>PC-0045</t>
        </is>
      </c>
      <c r="S1290" t="inlineStr">
        <is>
          <t>Sensor de nível modelo 01</t>
        </is>
      </c>
      <c r="T1290" t="n">
        <v>1</v>
      </c>
      <c r="U1290" t="inlineStr"/>
      <c r="V1290">
        <f>IF(J1290="","",MONTH(J1290))</f>
        <v/>
      </c>
      <c r="W1290">
        <f>IF(J1290="","",YEAR(J1290))</f>
        <v/>
      </c>
      <c r="X1290" t="inlineStr"/>
      <c r="Y1290">
        <f>IFERROR(INDEX(Rastreio!$H$2:$H$200,MATCH(X1290&amp;"|"&amp;U1290,Rastreio!$A$2:$A$200,0)),"")</f>
        <v/>
      </c>
    </row>
    <row r="1291">
      <c r="A1291">
        <f>IFERROR(INDEX(STAs!$G$2:$G$61,MATCH(P1291,STAs!$F$2:$F$61,0))&amp;"","")</f>
        <v/>
      </c>
      <c r="B1291" t="n">
        <v>20024010</v>
      </c>
      <c r="C1291" t="inlineStr">
        <is>
          <t>Não</t>
        </is>
      </c>
      <c r="D1291" t="inlineStr">
        <is>
          <t>GO</t>
        </is>
      </c>
      <c r="E1291" t="inlineStr">
        <is>
          <t>CENTRO OESTE</t>
        </is>
      </c>
      <c r="F1291" t="inlineStr">
        <is>
          <t>Cliente B - Chopeira</t>
        </is>
      </c>
      <c r="G1291" t="inlineStr">
        <is>
          <t>Chopeiras</t>
        </is>
      </c>
      <c r="H1291" s="10" t="n">
        <v>115</v>
      </c>
      <c r="I1291" s="10">
        <f>IFERROR(T1291*H1291,0)</f>
        <v/>
      </c>
      <c r="J1291" s="11" t="n">
        <v>46138</v>
      </c>
      <c r="K1291" s="11" t="n"/>
      <c r="L1291" t="inlineStr">
        <is>
          <t>NF Vencida</t>
        </is>
      </c>
      <c r="M1291">
        <f>IF(L1291="","",IFERROR(VLOOKUP(L1291,mapGrupoStatus,2,0),"Outros"))</f>
        <v/>
      </c>
      <c r="N1291">
        <f>IF(O1291="","",IF(O1291&lt;=30,"0-30 dias",IF(O1291&lt;=60,"31-60 dias",IF(O1291&lt;=90,"61-90 dias","Mais de 90 dias"))))</f>
        <v/>
      </c>
      <c r="O1291">
        <f>IF(OR(M1291="Pendente",M1291="Em andamento"),IF(J1291="","",TODAY()-J1291),"")</f>
        <v/>
      </c>
      <c r="P1291" t="n">
        <v>12007</v>
      </c>
      <c r="Q1291" t="inlineStr">
        <is>
          <t>Refrigel Ltda (12007)</t>
        </is>
      </c>
      <c r="R1291" t="inlineStr">
        <is>
          <t>PC-0033</t>
        </is>
      </c>
      <c r="S1291" t="inlineStr">
        <is>
          <t>Regulador de pressão modelo 02</t>
        </is>
      </c>
      <c r="T1291" t="n">
        <v>1</v>
      </c>
      <c r="U1291" t="inlineStr"/>
      <c r="V1291">
        <f>IF(J1291="","",MONTH(J1291))</f>
        <v/>
      </c>
      <c r="W1291">
        <f>IF(J1291="","",YEAR(J1291))</f>
        <v/>
      </c>
      <c r="X1291" t="inlineStr"/>
      <c r="Y1291">
        <f>IFERROR(INDEX(Rastreio!$H$2:$H$200,MATCH(X1291&amp;"|"&amp;U1291,Rastreio!$A$2:$A$200,0)),"")</f>
        <v/>
      </c>
    </row>
    <row r="1292">
      <c r="A1292">
        <f>IFERROR(INDEX(STAs!$G$2:$G$61,MATCH(P1292,STAs!$F$2:$F$61,0))&amp;"","")</f>
        <v/>
      </c>
      <c r="B1292" t="n">
        <v>20033460</v>
      </c>
      <c r="C1292" t="inlineStr">
        <is>
          <t>Não</t>
        </is>
      </c>
      <c r="D1292" t="inlineStr">
        <is>
          <t>MT</t>
        </is>
      </c>
      <c r="E1292" t="inlineStr">
        <is>
          <t>CENTRO OESTE</t>
        </is>
      </c>
      <c r="F1292" t="inlineStr">
        <is>
          <t>Cliente C - Misturador</t>
        </is>
      </c>
      <c r="G1292" t="inlineStr">
        <is>
          <t>Refrigeradores</t>
        </is>
      </c>
      <c r="H1292" s="10" t="n">
        <v>55</v>
      </c>
      <c r="I1292" s="10">
        <f>IFERROR(T1292*H1292,0)</f>
        <v/>
      </c>
      <c r="J1292" s="11" t="n">
        <v>46138</v>
      </c>
      <c r="K1292" s="11" t="n"/>
      <c r="L1292" t="inlineStr">
        <is>
          <t>NPD</t>
        </is>
      </c>
      <c r="M1292">
        <f>IF(L1292="","",IFERROR(VLOOKUP(L1292,mapGrupoStatus,2,0),"Outros"))</f>
        <v/>
      </c>
      <c r="N1292">
        <f>IF(O1292="","",IF(O1292&lt;=30,"0-30 dias",IF(O1292&lt;=60,"31-60 dias",IF(O1292&lt;=90,"61-90 dias","Mais de 90 dias"))))</f>
        <v/>
      </c>
      <c r="O1292">
        <f>IF(OR(M1292="Pendente",M1292="Em andamento"),IF(J1292="","",TODAY()-J1292),"")</f>
        <v/>
      </c>
      <c r="P1292" t="n">
        <v>10227</v>
      </c>
      <c r="Q1292" t="inlineStr">
        <is>
          <t>Assistência Técnica ME (10227)</t>
        </is>
      </c>
      <c r="R1292" t="inlineStr">
        <is>
          <t>PC-0008</t>
        </is>
      </c>
      <c r="S1292" t="inlineStr">
        <is>
          <t>Ventilador modelo 02</t>
        </is>
      </c>
      <c r="T1292" t="n">
        <v>1</v>
      </c>
      <c r="U1292" t="inlineStr"/>
      <c r="V1292">
        <f>IF(J1292="","",MONTH(J1292))</f>
        <v/>
      </c>
      <c r="W1292">
        <f>IF(J1292="","",YEAR(J1292))</f>
        <v/>
      </c>
      <c r="X1292" t="inlineStr"/>
      <c r="Y1292">
        <f>IFERROR(INDEX(Rastreio!$H$2:$H$200,MATCH(X1292&amp;"|"&amp;U1292,Rastreio!$A$2:$A$200,0)),"")</f>
        <v/>
      </c>
    </row>
    <row r="1293">
      <c r="A1293">
        <f>IFERROR(INDEX(STAs!$G$2:$G$61,MATCH(P1293,STAs!$F$2:$F$61,0))&amp;"","")</f>
        <v/>
      </c>
      <c r="B1293" t="n">
        <v>20036496</v>
      </c>
      <c r="C1293" t="inlineStr">
        <is>
          <t>Não</t>
        </is>
      </c>
      <c r="D1293" t="inlineStr">
        <is>
          <t>MG</t>
        </is>
      </c>
      <c r="E1293" t="inlineStr">
        <is>
          <t>SUDESTE MG</t>
        </is>
      </c>
      <c r="F1293" t="inlineStr">
        <is>
          <t>Cliente B - Chopeira</t>
        </is>
      </c>
      <c r="G1293" t="inlineStr">
        <is>
          <t>Refrigeradores</t>
        </is>
      </c>
      <c r="H1293" s="10" t="n">
        <v>155</v>
      </c>
      <c r="I1293" s="10">
        <f>IFERROR(T1293*H1293,0)</f>
        <v/>
      </c>
      <c r="J1293" s="11" t="n">
        <v>46138</v>
      </c>
      <c r="K1293" s="11" t="n"/>
      <c r="L1293" t="inlineStr">
        <is>
          <t>Aguardando devolução</t>
        </is>
      </c>
      <c r="M1293">
        <f>IF(L1293="","",IFERROR(VLOOKUP(L1293,mapGrupoStatus,2,0),"Outros"))</f>
        <v/>
      </c>
      <c r="N1293">
        <f>IF(O1293="","",IF(O1293&lt;=30,"0-30 dias",IF(O1293&lt;=60,"31-60 dias",IF(O1293&lt;=90,"61-90 dias","Mais de 90 dias"))))</f>
        <v/>
      </c>
      <c r="O1293">
        <f>IF(OR(M1293="Pendente",M1293="Em andamento"),IF(J1293="","",TODAY()-J1293),"")</f>
        <v/>
      </c>
      <c r="P1293" t="n">
        <v>11487</v>
      </c>
      <c r="Q1293" t="inlineStr">
        <is>
          <t>Assistência Técnica Manutenção (11487)</t>
        </is>
      </c>
      <c r="R1293" t="inlineStr">
        <is>
          <t>PC-0021</t>
        </is>
      </c>
      <c r="S1293" t="inlineStr">
        <is>
          <t>Controlador digital modelo 01</t>
        </is>
      </c>
      <c r="T1293" t="n">
        <v>1</v>
      </c>
      <c r="U1293" t="inlineStr"/>
      <c r="V1293">
        <f>IF(J1293="","",MONTH(J1293))</f>
        <v/>
      </c>
      <c r="W1293">
        <f>IF(J1293="","",YEAR(J1293))</f>
        <v/>
      </c>
      <c r="X1293" t="inlineStr"/>
      <c r="Y1293">
        <f>IFERROR(INDEX(Rastreio!$H$2:$H$200,MATCH(X1293&amp;"|"&amp;U1293,Rastreio!$A$2:$A$200,0)),"")</f>
        <v/>
      </c>
    </row>
    <row r="1294">
      <c r="A1294">
        <f>IFERROR(INDEX(STAs!$G$2:$G$61,MATCH(P1294,STAs!$F$2:$F$61,0))&amp;"","")</f>
        <v/>
      </c>
      <c r="B1294" t="n">
        <v>20039641</v>
      </c>
      <c r="C1294" t="inlineStr">
        <is>
          <t>Não</t>
        </is>
      </c>
      <c r="D1294" t="inlineStr">
        <is>
          <t>RS</t>
        </is>
      </c>
      <c r="E1294" t="inlineStr">
        <is>
          <t>SUL</t>
        </is>
      </c>
      <c r="F1294" t="inlineStr">
        <is>
          <t>Cliente A - Refrigerador</t>
        </is>
      </c>
      <c r="G1294" t="inlineStr">
        <is>
          <t>Refrigeradores</t>
        </is>
      </c>
      <c r="H1294" s="10" t="n">
        <v>25</v>
      </c>
      <c r="I1294" s="10">
        <f>IFERROR(T1294*H1294,0)</f>
        <v/>
      </c>
      <c r="J1294" s="11" t="n">
        <v>46138</v>
      </c>
      <c r="K1294" s="11" t="n"/>
      <c r="L1294" t="inlineStr">
        <is>
          <t>NF Vencida</t>
        </is>
      </c>
      <c r="M1294">
        <f>IF(L1294="","",IFERROR(VLOOKUP(L1294,mapGrupoStatus,2,0),"Outros"))</f>
        <v/>
      </c>
      <c r="N1294">
        <f>IF(O1294="","",IF(O1294&lt;=30,"0-30 dias",IF(O1294&lt;=60,"31-60 dias",IF(O1294&lt;=90,"61-90 dias","Mais de 90 dias"))))</f>
        <v/>
      </c>
      <c r="O1294">
        <f>IF(OR(M1294="Pendente",M1294="Em andamento"),IF(J1294="","",TODAY()-J1294),"")</f>
        <v/>
      </c>
      <c r="P1294" t="n">
        <v>12617</v>
      </c>
      <c r="Q1294" t="inlineStr">
        <is>
          <t>Gelo Manutenção (12617)</t>
        </is>
      </c>
      <c r="R1294" t="inlineStr">
        <is>
          <t>PC-0015</t>
        </is>
      </c>
      <c r="S1294" t="inlineStr">
        <is>
          <t>Filtro secador modelo 01</t>
        </is>
      </c>
      <c r="T1294" t="n">
        <v>1</v>
      </c>
      <c r="U1294" t="inlineStr"/>
      <c r="V1294">
        <f>IF(J1294="","",MONTH(J1294))</f>
        <v/>
      </c>
      <c r="W1294">
        <f>IF(J1294="","",YEAR(J1294))</f>
        <v/>
      </c>
      <c r="X1294" t="inlineStr"/>
      <c r="Y1294">
        <f>IFERROR(INDEX(Rastreio!$H$2:$H$200,MATCH(X1294&amp;"|"&amp;U1294,Rastreio!$A$2:$A$200,0)),"")</f>
        <v/>
      </c>
    </row>
    <row r="1295">
      <c r="A1295">
        <f>IFERROR(INDEX(STAs!$G$2:$G$61,MATCH(P1295,STAs!$F$2:$F$61,0))&amp;"","")</f>
        <v/>
      </c>
      <c r="B1295" t="n">
        <v>20001177</v>
      </c>
      <c r="C1295" t="inlineStr">
        <is>
          <t>Não</t>
        </is>
      </c>
      <c r="D1295" t="inlineStr">
        <is>
          <t>AM</t>
        </is>
      </c>
      <c r="E1295" t="inlineStr">
        <is>
          <t>NORTE</t>
        </is>
      </c>
      <c r="F1295" t="inlineStr">
        <is>
          <t>Cliente A - Refrigerador</t>
        </is>
      </c>
      <c r="G1295" t="inlineStr">
        <is>
          <t>Misturadores</t>
        </is>
      </c>
      <c r="H1295" s="10" t="n">
        <v>35</v>
      </c>
      <c r="I1295" s="10">
        <f>IFERROR(T1295*H1295,0)</f>
        <v/>
      </c>
      <c r="J1295" s="11" t="n">
        <v>46139</v>
      </c>
      <c r="K1295" s="11" t="n"/>
      <c r="L1295" t="inlineStr">
        <is>
          <t>NF Vencida</t>
        </is>
      </c>
      <c r="M1295">
        <f>IF(L1295="","",IFERROR(VLOOKUP(L1295,mapGrupoStatus,2,0),"Outros"))</f>
        <v/>
      </c>
      <c r="N1295">
        <f>IF(O1295="","",IF(O1295&lt;=30,"0-30 dias",IF(O1295&lt;=60,"31-60 dias",IF(O1295&lt;=90,"61-90 dias","Mais de 90 dias"))))</f>
        <v/>
      </c>
      <c r="O1295">
        <f>IF(OR(M1295="Pendente",M1295="Em andamento"),IF(J1295="","",TODAY()-J1295),"")</f>
        <v/>
      </c>
      <c r="P1295" t="n">
        <v>10842</v>
      </c>
      <c r="Q1295" t="inlineStr">
        <is>
          <t>Frigo &amp; Cia (10842)</t>
        </is>
      </c>
      <c r="R1295" t="inlineStr">
        <is>
          <t>PC-0043</t>
        </is>
      </c>
      <c r="S1295" t="inlineStr">
        <is>
          <t>Bico dosador modelo 02</t>
        </is>
      </c>
      <c r="T1295" t="n">
        <v>1</v>
      </c>
      <c r="U1295" t="inlineStr"/>
      <c r="V1295">
        <f>IF(J1295="","",MONTH(J1295))</f>
        <v/>
      </c>
      <c r="W1295">
        <f>IF(J1295="","",YEAR(J1295))</f>
        <v/>
      </c>
      <c r="X1295" t="inlineStr"/>
      <c r="Y1295">
        <f>IFERROR(INDEX(Rastreio!$H$2:$H$200,MATCH(X1295&amp;"|"&amp;U1295,Rastreio!$A$2:$A$200,0)),"")</f>
        <v/>
      </c>
    </row>
    <row r="1296">
      <c r="A1296">
        <f>IFERROR(INDEX(STAs!$G$2:$G$61,MATCH(P1296,STAs!$F$2:$F$61,0))&amp;"","")</f>
        <v/>
      </c>
      <c r="B1296" t="n">
        <v>20014064</v>
      </c>
      <c r="C1296" t="inlineStr">
        <is>
          <t>Não</t>
        </is>
      </c>
      <c r="D1296" t="inlineStr">
        <is>
          <t>RR</t>
        </is>
      </c>
      <c r="E1296" t="inlineStr">
        <is>
          <t>NORTE</t>
        </is>
      </c>
      <c r="F1296" t="inlineStr">
        <is>
          <t>Cliente C - Misturador</t>
        </is>
      </c>
      <c r="G1296" t="inlineStr">
        <is>
          <t>Chopeiras</t>
        </is>
      </c>
      <c r="H1296" s="10" t="n">
        <v>85</v>
      </c>
      <c r="I1296" s="10">
        <f>IFERROR(T1296*H1296,0)</f>
        <v/>
      </c>
      <c r="J1296" s="11" t="n">
        <v>46139</v>
      </c>
      <c r="K1296" s="11" t="n"/>
      <c r="L1296" t="inlineStr">
        <is>
          <t>Não Devolve-Norte</t>
        </is>
      </c>
      <c r="M1296">
        <f>IF(L1296="","",IFERROR(VLOOKUP(L1296,mapGrupoStatus,2,0),"Outros"))</f>
        <v/>
      </c>
      <c r="N1296">
        <f>IF(O1296="","",IF(O1296&lt;=30,"0-30 dias",IF(O1296&lt;=60,"31-60 dias",IF(O1296&lt;=90,"61-90 dias","Mais de 90 dias"))))</f>
        <v/>
      </c>
      <c r="O1296">
        <f>IF(OR(M1296="Pendente",M1296="Em andamento"),IF(J1296="","",TODAY()-J1296),"")</f>
        <v/>
      </c>
      <c r="P1296" t="n">
        <v>12422</v>
      </c>
      <c r="Q1296" t="inlineStr">
        <is>
          <t>Assistência Técnica Refrigeração (12422)</t>
        </is>
      </c>
      <c r="R1296" t="inlineStr">
        <is>
          <t>PC-0035</t>
        </is>
      </c>
      <c r="S1296" t="inlineStr">
        <is>
          <t>Válvula extratora modelo 01</t>
        </is>
      </c>
      <c r="T1296" t="n">
        <v>1</v>
      </c>
      <c r="U1296" t="inlineStr"/>
      <c r="V1296">
        <f>IF(J1296="","",MONTH(J1296))</f>
        <v/>
      </c>
      <c r="W1296">
        <f>IF(J1296="","",YEAR(J1296))</f>
        <v/>
      </c>
      <c r="X1296" t="inlineStr"/>
      <c r="Y1296">
        <f>IFERROR(INDEX(Rastreio!$H$2:$H$200,MATCH(X1296&amp;"|"&amp;U1296,Rastreio!$A$2:$A$200,0)),"")</f>
        <v/>
      </c>
    </row>
    <row r="1297">
      <c r="A1297">
        <f>IFERROR(INDEX(STAs!$G$2:$G$61,MATCH(P1297,STAs!$F$2:$F$61,0))&amp;"","")</f>
        <v/>
      </c>
      <c r="B1297" t="n">
        <v>20027365</v>
      </c>
      <c r="C1297" t="inlineStr">
        <is>
          <t>Sim</t>
        </is>
      </c>
      <c r="D1297" t="inlineStr">
        <is>
          <t>SP</t>
        </is>
      </c>
      <c r="E1297" t="inlineStr">
        <is>
          <t>SUDESTE SP</t>
        </is>
      </c>
      <c r="F1297" t="inlineStr">
        <is>
          <t>Cliente C - Misturador</t>
        </is>
      </c>
      <c r="G1297" t="inlineStr">
        <is>
          <t>Chopeiras</t>
        </is>
      </c>
      <c r="H1297" s="10" t="n">
        <v>120</v>
      </c>
      <c r="I1297" s="10">
        <f>IFERROR(T1297*H1297,0)</f>
        <v/>
      </c>
      <c r="J1297" s="11" t="n">
        <v>46139</v>
      </c>
      <c r="K1297" s="11" t="n"/>
      <c r="L1297" t="inlineStr">
        <is>
          <t>Em andamento</t>
        </is>
      </c>
      <c r="M1297">
        <f>IF(L1297="","",IFERROR(VLOOKUP(L1297,mapGrupoStatus,2,0),"Outros"))</f>
        <v/>
      </c>
      <c r="N1297">
        <f>IF(O1297="","",IF(O1297&lt;=30,"0-30 dias",IF(O1297&lt;=60,"31-60 dias",IF(O1297&lt;=90,"61-90 dias","Mais de 90 dias"))))</f>
        <v/>
      </c>
      <c r="O1297">
        <f>IF(OR(M1297="Pendente",M1297="Em andamento"),IF(J1297="","",TODAY()-J1297),"")</f>
        <v/>
      </c>
      <c r="P1297" t="n">
        <v>10010</v>
      </c>
      <c r="Q1297" t="inlineStr">
        <is>
          <t>Cool Service ME (10010)</t>
        </is>
      </c>
      <c r="R1297" t="inlineStr">
        <is>
          <t>PC-0032</t>
        </is>
      </c>
      <c r="S1297" t="inlineStr">
        <is>
          <t>Regulador de pressão modelo 01</t>
        </is>
      </c>
      <c r="T1297" t="n">
        <v>1</v>
      </c>
      <c r="U1297" t="n">
        <v>146</v>
      </c>
      <c r="V1297">
        <f>IF(J1297="","",MONTH(J1297))</f>
        <v/>
      </c>
      <c r="W1297">
        <f>IF(J1297="","",YEAR(J1297))</f>
        <v/>
      </c>
      <c r="X1297" t="inlineStr">
        <is>
          <t>CargoMax</t>
        </is>
      </c>
      <c r="Y1297">
        <f>IFERROR(INDEX(Rastreio!$H$2:$H$200,MATCH(X1297&amp;"|"&amp;U1297,Rastreio!$A$2:$A$200,0)),"")</f>
        <v/>
      </c>
    </row>
    <row r="1298">
      <c r="A1298">
        <f>IFERROR(INDEX(STAs!$G$2:$G$61,MATCH(P1298,STAs!$F$2:$F$61,0))&amp;"","")</f>
        <v/>
      </c>
      <c r="B1298" t="n">
        <v>20021425</v>
      </c>
      <c r="C1298" t="inlineStr">
        <is>
          <t>Não</t>
        </is>
      </c>
      <c r="D1298" t="inlineStr">
        <is>
          <t>ES</t>
        </is>
      </c>
      <c r="E1298" t="inlineStr">
        <is>
          <t>SUDESTE RJ e ES</t>
        </is>
      </c>
      <c r="F1298" t="inlineStr">
        <is>
          <t>Cliente B - Chopeira</t>
        </is>
      </c>
      <c r="G1298" t="inlineStr">
        <is>
          <t>Chopeiras</t>
        </is>
      </c>
      <c r="H1298" s="10" t="n">
        <v>85</v>
      </c>
      <c r="I1298" s="10">
        <f>IFERROR(T1298*H1298,0)</f>
        <v/>
      </c>
      <c r="J1298" s="11" t="n">
        <v>46140</v>
      </c>
      <c r="K1298" s="11" t="n">
        <v>46168</v>
      </c>
      <c r="L1298" t="inlineStr">
        <is>
          <t>Ok. Devolvida</t>
        </is>
      </c>
      <c r="M1298">
        <f>IF(L1298="","",IFERROR(VLOOKUP(L1298,mapGrupoStatus,2,0),"Outros"))</f>
        <v/>
      </c>
      <c r="N1298">
        <f>IF(O1298="","",IF(O1298&lt;=30,"0-30 dias",IF(O1298&lt;=60,"31-60 dias",IF(O1298&lt;=90,"61-90 dias","Mais de 90 dias"))))</f>
        <v/>
      </c>
      <c r="O1298">
        <f>IF(OR(M1298="Pendente",M1298="Em andamento"),IF(J1298="","",TODAY()-J1298),"")</f>
        <v/>
      </c>
      <c r="P1298" t="n">
        <v>11099</v>
      </c>
      <c r="Q1298" t="inlineStr">
        <is>
          <t>Refrigel Serviços (11099)</t>
        </is>
      </c>
      <c r="R1298" t="inlineStr">
        <is>
          <t>PC-0028</t>
        </is>
      </c>
      <c r="S1298" t="inlineStr">
        <is>
          <t>Torneira de chopp modelo 03</t>
        </is>
      </c>
      <c r="T1298" t="n">
        <v>1</v>
      </c>
      <c r="U1298" t="n">
        <v>132</v>
      </c>
      <c r="V1298">
        <f>IF(J1298="","",MONTH(J1298))</f>
        <v/>
      </c>
      <c r="W1298">
        <f>IF(J1298="","",YEAR(J1298))</f>
        <v/>
      </c>
      <c r="X1298" t="inlineStr">
        <is>
          <t>RotaSul</t>
        </is>
      </c>
      <c r="Y1298">
        <f>IFERROR(INDEX(Rastreio!$H$2:$H$200,MATCH(X1298&amp;"|"&amp;U1298,Rastreio!$A$2:$A$200,0)),"")</f>
        <v/>
      </c>
    </row>
    <row r="1299">
      <c r="A1299">
        <f>IFERROR(INDEX(STAs!$G$2:$G$61,MATCH(P1299,STAs!$F$2:$F$61,0))&amp;"","")</f>
        <v/>
      </c>
      <c r="B1299" t="n">
        <v>20030273</v>
      </c>
      <c r="C1299" t="inlineStr">
        <is>
          <t>Não</t>
        </is>
      </c>
      <c r="D1299" t="inlineStr">
        <is>
          <t>GO</t>
        </is>
      </c>
      <c r="E1299" t="inlineStr">
        <is>
          <t>CENTRO OESTE</t>
        </is>
      </c>
      <c r="F1299" t="inlineStr">
        <is>
          <t>Cliente C - Misturador</t>
        </is>
      </c>
      <c r="G1299" t="inlineStr">
        <is>
          <t>Refrigeradores</t>
        </is>
      </c>
      <c r="H1299" s="10" t="n">
        <v>40</v>
      </c>
      <c r="I1299" s="10">
        <f>IFERROR(T1299*H1299,0)</f>
        <v/>
      </c>
      <c r="J1299" s="11" t="n">
        <v>46140</v>
      </c>
      <c r="K1299" s="11" t="n"/>
      <c r="L1299" t="inlineStr">
        <is>
          <t>Em transporte</t>
        </is>
      </c>
      <c r="M1299">
        <f>IF(L1299="","",IFERROR(VLOOKUP(L1299,mapGrupoStatus,2,0),"Outros"))</f>
        <v/>
      </c>
      <c r="N1299">
        <f>IF(O1299="","",IF(O1299&lt;=30,"0-30 dias",IF(O1299&lt;=60,"31-60 dias",IF(O1299&lt;=90,"61-90 dias","Mais de 90 dias"))))</f>
        <v/>
      </c>
      <c r="O1299">
        <f>IF(OR(M1299="Pendente",M1299="Em andamento"),IF(J1299="","",TODAY()-J1299),"")</f>
        <v/>
      </c>
      <c r="P1299" t="n">
        <v>10317</v>
      </c>
      <c r="Q1299" t="inlineStr">
        <is>
          <t>Termotec Manutenção (10317)</t>
        </is>
      </c>
      <c r="R1299" t="inlineStr">
        <is>
          <t>PC-0004</t>
        </is>
      </c>
      <c r="S1299" t="inlineStr">
        <is>
          <t>Termostato modelo 01</t>
        </is>
      </c>
      <c r="T1299" t="n">
        <v>2</v>
      </c>
      <c r="U1299" t="n">
        <v>158</v>
      </c>
      <c r="V1299">
        <f>IF(J1299="","",MONTH(J1299))</f>
        <v/>
      </c>
      <c r="W1299">
        <f>IF(J1299="","",YEAR(J1299))</f>
        <v/>
      </c>
      <c r="X1299" t="inlineStr">
        <is>
          <t>LogExpress</t>
        </is>
      </c>
      <c r="Y1299">
        <f>IFERROR(INDEX(Rastreio!$H$2:$H$200,MATCH(X1299&amp;"|"&amp;U1299,Rastreio!$A$2:$A$200,0)),"")</f>
        <v/>
      </c>
    </row>
    <row r="1300">
      <c r="A1300">
        <f>IFERROR(INDEX(STAs!$G$2:$G$61,MATCH(P1300,STAs!$F$2:$F$61,0))&amp;"","")</f>
        <v/>
      </c>
      <c r="B1300" t="n">
        <v>20032948</v>
      </c>
      <c r="C1300" t="inlineStr">
        <is>
          <t>Sim</t>
        </is>
      </c>
      <c r="D1300" t="inlineStr">
        <is>
          <t>CE</t>
        </is>
      </c>
      <c r="E1300" t="inlineStr">
        <is>
          <t>NORDESTE</t>
        </is>
      </c>
      <c r="F1300" t="inlineStr">
        <is>
          <t>Cliente C - Misturador</t>
        </is>
      </c>
      <c r="G1300" t="inlineStr">
        <is>
          <t>Refrigeradores</t>
        </is>
      </c>
      <c r="H1300" s="10" t="n">
        <v>175</v>
      </c>
      <c r="I1300" s="10">
        <f>IFERROR(T1300*H1300,0)</f>
        <v/>
      </c>
      <c r="J1300" s="11" t="n">
        <v>46140</v>
      </c>
      <c r="K1300" s="11" t="n">
        <v>46168</v>
      </c>
      <c r="L1300" t="inlineStr">
        <is>
          <t>Ok. Devolvida</t>
        </is>
      </c>
      <c r="M1300">
        <f>IF(L1300="","",IFERROR(VLOOKUP(L1300,mapGrupoStatus,2,0),"Outros"))</f>
        <v/>
      </c>
      <c r="N1300">
        <f>IF(O1300="","",IF(O1300&lt;=30,"0-30 dias",IF(O1300&lt;=60,"31-60 dias",IF(O1300&lt;=90,"61-90 dias","Mais de 90 dias"))))</f>
        <v/>
      </c>
      <c r="O1300">
        <f>IF(OR(M1300="Pendente",M1300="Em andamento"),IF(J1300="","",TODAY()-J1300),"")</f>
        <v/>
      </c>
      <c r="P1300" t="n">
        <v>10615</v>
      </c>
      <c r="Q1300" t="inlineStr">
        <is>
          <t>Brisa Técnica (10615)</t>
        </is>
      </c>
      <c r="R1300" t="inlineStr">
        <is>
          <t>PC-0012</t>
        </is>
      </c>
      <c r="S1300" t="inlineStr">
        <is>
          <t>Placa eletrônica modelo 02</t>
        </is>
      </c>
      <c r="T1300" t="n">
        <v>1</v>
      </c>
      <c r="U1300" t="n">
        <v>152</v>
      </c>
      <c r="V1300">
        <f>IF(J1300="","",MONTH(J1300))</f>
        <v/>
      </c>
      <c r="W1300">
        <f>IF(J1300="","",YEAR(J1300))</f>
        <v/>
      </c>
      <c r="X1300" t="inlineStr">
        <is>
          <t>ViaCargo</t>
        </is>
      </c>
      <c r="Y1300">
        <f>IFERROR(INDEX(Rastreio!$H$2:$H$200,MATCH(X1300&amp;"|"&amp;U1300,Rastreio!$A$2:$A$200,0)),"")</f>
        <v/>
      </c>
    </row>
    <row r="1301">
      <c r="A1301">
        <f>IFERROR(INDEX(STAs!$G$2:$G$61,MATCH(P1301,STAs!$F$2:$F$61,0))&amp;"","")</f>
        <v/>
      </c>
      <c r="B1301" t="n">
        <v>20014094</v>
      </c>
      <c r="C1301" t="inlineStr">
        <is>
          <t>Não</t>
        </is>
      </c>
      <c r="D1301" t="inlineStr">
        <is>
          <t>MG</t>
        </is>
      </c>
      <c r="E1301" t="inlineStr">
        <is>
          <t>SUDESTE MG</t>
        </is>
      </c>
      <c r="F1301" t="inlineStr">
        <is>
          <t>Cliente C - Misturador</t>
        </is>
      </c>
      <c r="G1301" t="inlineStr">
        <is>
          <t>Refrigeradores</t>
        </is>
      </c>
      <c r="H1301" s="10" t="n">
        <v>35</v>
      </c>
      <c r="I1301" s="10">
        <f>IFERROR(T1301*H1301,0)</f>
        <v/>
      </c>
      <c r="J1301" s="11" t="n">
        <v>46141</v>
      </c>
      <c r="K1301" s="11" t="n">
        <v>46160</v>
      </c>
      <c r="L1301" t="inlineStr">
        <is>
          <t>Ok. Devolvida</t>
        </is>
      </c>
      <c r="M1301">
        <f>IF(L1301="","",IFERROR(VLOOKUP(L1301,mapGrupoStatus,2,0),"Outros"))</f>
        <v/>
      </c>
      <c r="N1301">
        <f>IF(O1301="","",IF(O1301&lt;=30,"0-30 dias",IF(O1301&lt;=60,"31-60 dias",IF(O1301&lt;=90,"61-90 dias","Mais de 90 dias"))))</f>
        <v/>
      </c>
      <c r="O1301">
        <f>IF(OR(M1301="Pendente",M1301="Em andamento"),IF(J1301="","",TODAY()-J1301),"")</f>
        <v/>
      </c>
      <c r="P1301" t="n">
        <v>11487</v>
      </c>
      <c r="Q1301" t="inlineStr">
        <is>
          <t>Assistência Técnica Manutenção (11487)</t>
        </is>
      </c>
      <c r="R1301" t="inlineStr">
        <is>
          <t>PC-0020</t>
        </is>
      </c>
      <c r="S1301" t="inlineStr">
        <is>
          <t>Gaxeta da porta modelo 03</t>
        </is>
      </c>
      <c r="T1301" t="n">
        <v>1</v>
      </c>
      <c r="U1301" t="n">
        <v>123</v>
      </c>
      <c r="V1301">
        <f>IF(J1301="","",MONTH(J1301))</f>
        <v/>
      </c>
      <c r="W1301">
        <f>IF(J1301="","",YEAR(J1301))</f>
        <v/>
      </c>
      <c r="X1301" t="inlineStr">
        <is>
          <t>TransNorte</t>
        </is>
      </c>
      <c r="Y1301">
        <f>IFERROR(INDEX(Rastreio!$H$2:$H$200,MATCH(X1301&amp;"|"&amp;U1301,Rastreio!$A$2:$A$200,0)),"")</f>
        <v/>
      </c>
    </row>
    <row r="1302">
      <c r="A1302">
        <f>IFERROR(INDEX(STAs!$G$2:$G$61,MATCH(P1302,STAs!$F$2:$F$61,0))&amp;"","")</f>
        <v/>
      </c>
      <c r="B1302" t="n">
        <v>20015919</v>
      </c>
      <c r="C1302" t="inlineStr">
        <is>
          <t>Não</t>
        </is>
      </c>
      <c r="D1302" t="inlineStr">
        <is>
          <t>SP</t>
        </is>
      </c>
      <c r="E1302" t="inlineStr">
        <is>
          <t>SUDESTE SP</t>
        </is>
      </c>
      <c r="F1302" t="inlineStr">
        <is>
          <t>Cliente C - Misturador</t>
        </is>
      </c>
      <c r="G1302" t="inlineStr">
        <is>
          <t>Refrigeradores</t>
        </is>
      </c>
      <c r="H1302" s="10" t="n">
        <v>330</v>
      </c>
      <c r="I1302" s="10">
        <f>IFERROR(T1302*H1302,0)</f>
        <v/>
      </c>
      <c r="J1302" s="11" t="n">
        <v>46141</v>
      </c>
      <c r="K1302" s="11" t="n"/>
      <c r="L1302" t="inlineStr">
        <is>
          <t>Aguardando Transporte</t>
        </is>
      </c>
      <c r="M1302">
        <f>IF(L1302="","",IFERROR(VLOOKUP(L1302,mapGrupoStatus,2,0),"Outros"))</f>
        <v/>
      </c>
      <c r="N1302">
        <f>IF(O1302="","",IF(O1302&lt;=30,"0-30 dias",IF(O1302&lt;=60,"31-60 dias",IF(O1302&lt;=90,"61-90 dias","Mais de 90 dias"))))</f>
        <v/>
      </c>
      <c r="O1302">
        <f>IF(OR(M1302="Pendente",M1302="Em andamento"),IF(J1302="","",TODAY()-J1302),"")</f>
        <v/>
      </c>
      <c r="P1302" t="n">
        <v>11365</v>
      </c>
      <c r="Q1302" t="inlineStr">
        <is>
          <t>Ártico Express (11365)</t>
        </is>
      </c>
      <c r="R1302" t="inlineStr">
        <is>
          <t>PC-0003</t>
        </is>
      </c>
      <c r="S1302" t="inlineStr">
        <is>
          <t>Compressor modelo 03</t>
        </is>
      </c>
      <c r="T1302" t="n">
        <v>1</v>
      </c>
      <c r="U1302" t="n">
        <v>128</v>
      </c>
      <c r="V1302">
        <f>IF(J1302="","",MONTH(J1302))</f>
        <v/>
      </c>
      <c r="W1302">
        <f>IF(J1302="","",YEAR(J1302))</f>
        <v/>
      </c>
      <c r="X1302" t="inlineStr">
        <is>
          <t>CargoMax</t>
        </is>
      </c>
      <c r="Y1302">
        <f>IFERROR(INDEX(Rastreio!$H$2:$H$200,MATCH(X1302&amp;"|"&amp;U1302,Rastreio!$A$2:$A$200,0)),"")</f>
        <v/>
      </c>
    </row>
    <row r="1303">
      <c r="A1303">
        <f>IFERROR(INDEX(STAs!$G$2:$G$61,MATCH(P1303,STAs!$F$2:$F$61,0))&amp;"","")</f>
        <v/>
      </c>
      <c r="B1303" t="n">
        <v>20019184</v>
      </c>
      <c r="C1303" t="inlineStr">
        <is>
          <t>Não</t>
        </is>
      </c>
      <c r="D1303" t="inlineStr">
        <is>
          <t>TO</t>
        </is>
      </c>
      <c r="E1303" t="inlineStr">
        <is>
          <t>NORTE</t>
        </is>
      </c>
      <c r="F1303" t="inlineStr">
        <is>
          <t>Cliente A - Refrigerador</t>
        </is>
      </c>
      <c r="G1303" t="inlineStr">
        <is>
          <t>Misturadores</t>
        </is>
      </c>
      <c r="H1303" s="10" t="n">
        <v>50</v>
      </c>
      <c r="I1303" s="10">
        <f>IFERROR(T1303*H1303,0)</f>
        <v/>
      </c>
      <c r="J1303" s="11" t="n">
        <v>46141</v>
      </c>
      <c r="K1303" s="11" t="n"/>
      <c r="L1303" t="inlineStr">
        <is>
          <t>Não Devolve-Norte</t>
        </is>
      </c>
      <c r="M1303">
        <f>IF(L1303="","",IFERROR(VLOOKUP(L1303,mapGrupoStatus,2,0),"Outros"))</f>
        <v/>
      </c>
      <c r="N1303">
        <f>IF(O1303="","",IF(O1303&lt;=30,"0-30 dias",IF(O1303&lt;=60,"31-60 dias",IF(O1303&lt;=90,"61-90 dias","Mais de 90 dias"))))</f>
        <v/>
      </c>
      <c r="O1303">
        <f>IF(OR(M1303="Pendente",M1303="Em andamento"),IF(J1303="","",TODAY()-J1303),"")</f>
        <v/>
      </c>
      <c r="P1303" t="n">
        <v>10939</v>
      </c>
      <c r="Q1303" t="inlineStr">
        <is>
          <t>Zero Grau Manutenção (10939)</t>
        </is>
      </c>
      <c r="R1303" t="inlineStr">
        <is>
          <t>PC-0047</t>
        </is>
      </c>
      <c r="S1303" t="inlineStr">
        <is>
          <t>Sensor de nível modelo 03</t>
        </is>
      </c>
      <c r="T1303" t="n">
        <v>1</v>
      </c>
      <c r="U1303" t="inlineStr"/>
      <c r="V1303">
        <f>IF(J1303="","",MONTH(J1303))</f>
        <v/>
      </c>
      <c r="W1303">
        <f>IF(J1303="","",YEAR(J1303))</f>
        <v/>
      </c>
      <c r="X1303" t="inlineStr"/>
      <c r="Y1303">
        <f>IFERROR(INDEX(Rastreio!$H$2:$H$200,MATCH(X1303&amp;"|"&amp;U1303,Rastreio!$A$2:$A$200,0)),"")</f>
        <v/>
      </c>
    </row>
    <row r="1304">
      <c r="A1304">
        <f>IFERROR(INDEX(STAs!$G$2:$G$61,MATCH(P1304,STAs!$F$2:$F$61,0))&amp;"","")</f>
        <v/>
      </c>
      <c r="B1304" t="n">
        <v>20004282</v>
      </c>
      <c r="C1304" t="inlineStr">
        <is>
          <t>Não</t>
        </is>
      </c>
      <c r="D1304" t="inlineStr">
        <is>
          <t>BA</t>
        </is>
      </c>
      <c r="E1304" t="inlineStr">
        <is>
          <t>NORDESTE</t>
        </is>
      </c>
      <c r="F1304" t="inlineStr">
        <is>
          <t>Cliente C - Misturador</t>
        </is>
      </c>
      <c r="G1304" t="inlineStr">
        <is>
          <t>Chopeiras</t>
        </is>
      </c>
      <c r="H1304" s="10" t="n">
        <v>100</v>
      </c>
      <c r="I1304" s="10">
        <f>IFERROR(T1304*H1304,0)</f>
        <v/>
      </c>
      <c r="J1304" s="11" t="n">
        <v>46142</v>
      </c>
      <c r="K1304" s="11" t="n"/>
      <c r="L1304" t="inlineStr">
        <is>
          <t>Aguardando devolução</t>
        </is>
      </c>
      <c r="M1304">
        <f>IF(L1304="","",IFERROR(VLOOKUP(L1304,mapGrupoStatus,2,0),"Outros"))</f>
        <v/>
      </c>
      <c r="N1304">
        <f>IF(O1304="","",IF(O1304&lt;=30,"0-30 dias",IF(O1304&lt;=60,"31-60 dias",IF(O1304&lt;=90,"61-90 dias","Mais de 90 dias"))))</f>
        <v/>
      </c>
      <c r="O1304">
        <f>IF(OR(M1304="Pendente",M1304="Em andamento"),IF(J1304="","",TODAY()-J1304),"")</f>
        <v/>
      </c>
      <c r="P1304" t="n">
        <v>11244</v>
      </c>
      <c r="Q1304" t="inlineStr">
        <is>
          <t>Refrigeração Manutenção (11244)</t>
        </is>
      </c>
      <c r="R1304" t="inlineStr">
        <is>
          <t>PC-0027</t>
        </is>
      </c>
      <c r="S1304" t="inlineStr">
        <is>
          <t>Torneira de chopp modelo 02</t>
        </is>
      </c>
      <c r="T1304" t="n">
        <v>2</v>
      </c>
      <c r="U1304" t="inlineStr"/>
      <c r="V1304">
        <f>IF(J1304="","",MONTH(J1304))</f>
        <v/>
      </c>
      <c r="W1304">
        <f>IF(J1304="","",YEAR(J1304))</f>
        <v/>
      </c>
      <c r="X1304" t="inlineStr"/>
      <c r="Y1304">
        <f>IFERROR(INDEX(Rastreio!$H$2:$H$200,MATCH(X1304&amp;"|"&amp;U1304,Rastreio!$A$2:$A$200,0)),"")</f>
        <v/>
      </c>
    </row>
    <row r="1305">
      <c r="A1305">
        <f>IFERROR(INDEX(STAs!$G$2:$G$61,MATCH(P1305,STAs!$F$2:$F$61,0))&amp;"","")</f>
        <v/>
      </c>
      <c r="B1305" t="n">
        <v>20014026</v>
      </c>
      <c r="C1305" t="inlineStr">
        <is>
          <t>Não</t>
        </is>
      </c>
      <c r="D1305" t="inlineStr">
        <is>
          <t>RO</t>
        </is>
      </c>
      <c r="E1305" t="inlineStr">
        <is>
          <t>NORTE</t>
        </is>
      </c>
      <c r="F1305" t="inlineStr">
        <is>
          <t>Cliente B - Chopeira</t>
        </is>
      </c>
      <c r="G1305" t="inlineStr">
        <is>
          <t>Refrigeradores</t>
        </is>
      </c>
      <c r="H1305" s="10" t="n">
        <v>70</v>
      </c>
      <c r="I1305" s="10">
        <f>IFERROR(T1305*H1305,0)</f>
        <v/>
      </c>
      <c r="J1305" s="11" t="n">
        <v>46142</v>
      </c>
      <c r="K1305" s="11" t="n"/>
      <c r="L1305" t="inlineStr">
        <is>
          <t>Não Devolve-Norte</t>
        </is>
      </c>
      <c r="M1305">
        <f>IF(L1305="","",IFERROR(VLOOKUP(L1305,mapGrupoStatus,2,0),"Outros"))</f>
        <v/>
      </c>
      <c r="N1305">
        <f>IF(O1305="","",IF(O1305&lt;=30,"0-30 dias",IF(O1305&lt;=60,"31-60 dias",IF(O1305&lt;=90,"61-90 dias","Mais de 90 dias"))))</f>
        <v/>
      </c>
      <c r="O1305">
        <f>IF(OR(M1305="Pendente",M1305="Em andamento"),IF(J1305="","",TODAY()-J1305),"")</f>
        <v/>
      </c>
      <c r="P1305" t="n">
        <v>10172</v>
      </c>
      <c r="Q1305" t="inlineStr">
        <is>
          <t>Frigo Serviços (10172)</t>
        </is>
      </c>
      <c r="R1305" t="inlineStr">
        <is>
          <t>PC-0009</t>
        </is>
      </c>
      <c r="S1305" t="inlineStr">
        <is>
          <t>Ventilador modelo 03</t>
        </is>
      </c>
      <c r="T1305" t="n">
        <v>1</v>
      </c>
      <c r="U1305" t="inlineStr"/>
      <c r="V1305">
        <f>IF(J1305="","",MONTH(J1305))</f>
        <v/>
      </c>
      <c r="W1305">
        <f>IF(J1305="","",YEAR(J1305))</f>
        <v/>
      </c>
      <c r="X1305" t="inlineStr"/>
      <c r="Y1305">
        <f>IFERROR(INDEX(Rastreio!$H$2:$H$200,MATCH(X1305&amp;"|"&amp;U1305,Rastreio!$A$2:$A$200,0)),"")</f>
        <v/>
      </c>
    </row>
    <row r="1306">
      <c r="A1306">
        <f>IFERROR(INDEX(STAs!$G$2:$G$61,MATCH(P1306,STAs!$F$2:$F$61,0))&amp;"","")</f>
        <v/>
      </c>
      <c r="B1306" t="n">
        <v>20019247</v>
      </c>
      <c r="C1306" t="inlineStr">
        <is>
          <t>Não</t>
        </is>
      </c>
      <c r="D1306" t="inlineStr">
        <is>
          <t>SP</t>
        </is>
      </c>
      <c r="E1306" t="inlineStr">
        <is>
          <t>SUDESTE SP</t>
        </is>
      </c>
      <c r="F1306" t="inlineStr">
        <is>
          <t>Cliente A - Refrigerador</t>
        </is>
      </c>
      <c r="G1306" t="inlineStr">
        <is>
          <t>Misturadores</t>
        </is>
      </c>
      <c r="H1306" s="10" t="n">
        <v>40</v>
      </c>
      <c r="I1306" s="10">
        <f>IFERROR(T1306*H1306,0)</f>
        <v/>
      </c>
      <c r="J1306" s="11" t="n">
        <v>46142</v>
      </c>
      <c r="K1306" s="11" t="n"/>
      <c r="L1306" t="inlineStr">
        <is>
          <t>Aguardando devolução</t>
        </is>
      </c>
      <c r="M1306">
        <f>IF(L1306="","",IFERROR(VLOOKUP(L1306,mapGrupoStatus,2,0),"Outros"))</f>
        <v/>
      </c>
      <c r="N1306">
        <f>IF(O1306="","",IF(O1306&lt;=30,"0-30 dias",IF(O1306&lt;=60,"31-60 dias",IF(O1306&lt;=90,"61-90 dias","Mais de 90 dias"))))</f>
        <v/>
      </c>
      <c r="O1306">
        <f>IF(OR(M1306="Pendente",M1306="Em andamento"),IF(J1306="","",TODAY()-J1306),"")</f>
        <v/>
      </c>
      <c r="P1306" t="n">
        <v>12052</v>
      </c>
      <c r="Q1306" t="inlineStr">
        <is>
          <t>Brisa Refrigeração (12052)</t>
        </is>
      </c>
      <c r="R1306" t="inlineStr">
        <is>
          <t>PC-0042</t>
        </is>
      </c>
      <c r="S1306" t="inlineStr">
        <is>
          <t>Bico dosador modelo 01</t>
        </is>
      </c>
      <c r="T1306" t="n">
        <v>1</v>
      </c>
      <c r="U1306" t="inlineStr"/>
      <c r="V1306">
        <f>IF(J1306="","",MONTH(J1306))</f>
        <v/>
      </c>
      <c r="W1306">
        <f>IF(J1306="","",YEAR(J1306))</f>
        <v/>
      </c>
      <c r="X1306" t="inlineStr"/>
      <c r="Y1306">
        <f>IFERROR(INDEX(Rastreio!$H$2:$H$200,MATCH(X1306&amp;"|"&amp;U1306,Rastreio!$A$2:$A$200,0)),"")</f>
        <v/>
      </c>
    </row>
    <row r="1307">
      <c r="A1307">
        <f>IFERROR(INDEX(STAs!$G$2:$G$61,MATCH(P1307,STAs!$F$2:$F$61,0))&amp;"","")</f>
        <v/>
      </c>
      <c r="B1307" t="n">
        <v>20021513</v>
      </c>
      <c r="C1307" t="inlineStr">
        <is>
          <t>Não</t>
        </is>
      </c>
      <c r="D1307" t="inlineStr">
        <is>
          <t>MG</t>
        </is>
      </c>
      <c r="E1307" t="inlineStr">
        <is>
          <t>SUDESTE MG</t>
        </is>
      </c>
      <c r="F1307" t="inlineStr">
        <is>
          <t>Cliente A - Refrigerador</t>
        </is>
      </c>
      <c r="G1307" t="inlineStr">
        <is>
          <t>Misturadores</t>
        </is>
      </c>
      <c r="H1307" s="10" t="n">
        <v>265</v>
      </c>
      <c r="I1307" s="10">
        <f>IFERROR(T1307*H1307,0)</f>
        <v/>
      </c>
      <c r="J1307" s="11" t="n">
        <v>46142</v>
      </c>
      <c r="K1307" s="11" t="n"/>
      <c r="L1307" t="inlineStr">
        <is>
          <t>Em andamento</t>
        </is>
      </c>
      <c r="M1307">
        <f>IF(L1307="","",IFERROR(VLOOKUP(L1307,mapGrupoStatus,2,0),"Outros"))</f>
        <v/>
      </c>
      <c r="N1307">
        <f>IF(O1307="","",IF(O1307&lt;=30,"0-30 dias",IF(O1307&lt;=60,"31-60 dias",IF(O1307&lt;=90,"61-90 dias","Mais de 90 dias"))))</f>
        <v/>
      </c>
      <c r="O1307">
        <f>IF(OR(M1307="Pendente",M1307="Em andamento"),IF(J1307="","",TODAY()-J1307),"")</f>
        <v/>
      </c>
      <c r="P1307" t="n">
        <v>12470</v>
      </c>
      <c r="Q1307" t="inlineStr">
        <is>
          <t>Cool Service Técnica (12470)</t>
        </is>
      </c>
      <c r="R1307" t="inlineStr">
        <is>
          <t>PC-0038</t>
        </is>
      </c>
      <c r="S1307" t="inlineStr">
        <is>
          <t>Bomba de recirculação modelo 02</t>
        </is>
      </c>
      <c r="T1307" t="n">
        <v>1</v>
      </c>
      <c r="U1307" t="n">
        <v>132</v>
      </c>
      <c r="V1307">
        <f>IF(J1307="","",MONTH(J1307))</f>
        <v/>
      </c>
      <c r="W1307">
        <f>IF(J1307="","",YEAR(J1307))</f>
        <v/>
      </c>
      <c r="X1307" t="inlineStr">
        <is>
          <t>TransNorte</t>
        </is>
      </c>
      <c r="Y1307">
        <f>IFERROR(INDEX(Rastreio!$H$2:$H$200,MATCH(X1307&amp;"|"&amp;U1307,Rastreio!$A$2:$A$200,0)),"")</f>
        <v/>
      </c>
    </row>
    <row r="1308">
      <c r="A1308">
        <f>IFERROR(INDEX(STAs!$G$2:$G$61,MATCH(P1308,STAs!$F$2:$F$61,0))&amp;"","")</f>
        <v/>
      </c>
      <c r="B1308" t="n">
        <v>20031009</v>
      </c>
      <c r="C1308" t="inlineStr">
        <is>
          <t>Não</t>
        </is>
      </c>
      <c r="D1308" t="inlineStr">
        <is>
          <t>PR</t>
        </is>
      </c>
      <c r="E1308" t="inlineStr">
        <is>
          <t>SUL</t>
        </is>
      </c>
      <c r="F1308" t="inlineStr">
        <is>
          <t>Cliente B - Chopeira</t>
        </is>
      </c>
      <c r="G1308" t="inlineStr">
        <is>
          <t>Refrigeradores</t>
        </is>
      </c>
      <c r="H1308" s="10" t="n">
        <v>35</v>
      </c>
      <c r="I1308" s="10">
        <f>IFERROR(T1308*H1308,0)</f>
        <v/>
      </c>
      <c r="J1308" s="11" t="n">
        <v>46142</v>
      </c>
      <c r="K1308" s="11" t="n">
        <v>46172</v>
      </c>
      <c r="L1308" t="inlineStr">
        <is>
          <t>Ok. Devolvida</t>
        </is>
      </c>
      <c r="M1308">
        <f>IF(L1308="","",IFERROR(VLOOKUP(L1308,mapGrupoStatus,2,0),"Outros"))</f>
        <v/>
      </c>
      <c r="N1308">
        <f>IF(O1308="","",IF(O1308&lt;=30,"0-30 dias",IF(O1308&lt;=60,"31-60 dias",IF(O1308&lt;=90,"61-90 dias","Mais de 90 dias"))))</f>
        <v/>
      </c>
      <c r="O1308">
        <f>IF(OR(M1308="Pendente",M1308="Em andamento"),IF(J1308="","",TODAY()-J1308),"")</f>
        <v/>
      </c>
      <c r="P1308" t="n">
        <v>10504</v>
      </c>
      <c r="Q1308" t="inlineStr">
        <is>
          <t>Zero Grau Ltda (10504)</t>
        </is>
      </c>
      <c r="R1308" t="inlineStr">
        <is>
          <t>PC-0023</t>
        </is>
      </c>
      <c r="S1308" t="inlineStr">
        <is>
          <t>Relé de partida modelo 01</t>
        </is>
      </c>
      <c r="T1308" t="n">
        <v>1</v>
      </c>
      <c r="U1308" t="n">
        <v>146</v>
      </c>
      <c r="V1308">
        <f>IF(J1308="","",MONTH(J1308))</f>
        <v/>
      </c>
      <c r="W1308">
        <f>IF(J1308="","",YEAR(J1308))</f>
        <v/>
      </c>
      <c r="X1308" t="inlineStr">
        <is>
          <t>EntregaJá</t>
        </is>
      </c>
      <c r="Y1308">
        <f>IFERROR(INDEX(Rastreio!$H$2:$H$200,MATCH(X1308&amp;"|"&amp;U1308,Rastreio!$A$2:$A$200,0)),"")</f>
        <v/>
      </c>
    </row>
    <row r="1309">
      <c r="A1309">
        <f>IFERROR(INDEX(STAs!$G$2:$G$61,MATCH(P1309,STAs!$F$2:$F$61,0))&amp;"","")</f>
        <v/>
      </c>
      <c r="B1309" t="n">
        <v>20031918</v>
      </c>
      <c r="C1309" t="inlineStr">
        <is>
          <t>Não</t>
        </is>
      </c>
      <c r="D1309" t="inlineStr">
        <is>
          <t>MG</t>
        </is>
      </c>
      <c r="E1309" t="inlineStr">
        <is>
          <t>SUDESTE MG</t>
        </is>
      </c>
      <c r="F1309" t="inlineStr">
        <is>
          <t>Cliente A - Refrigerador</t>
        </is>
      </c>
      <c r="G1309" t="inlineStr">
        <is>
          <t>Refrigeradores</t>
        </is>
      </c>
      <c r="H1309" s="10" t="n">
        <v>35</v>
      </c>
      <c r="I1309" s="10">
        <f>IFERROR(T1309*H1309,0)</f>
        <v/>
      </c>
      <c r="J1309" s="11" t="n">
        <v>46142</v>
      </c>
      <c r="K1309" s="11" t="n"/>
      <c r="L1309" t="inlineStr">
        <is>
          <t>Debitar do STA</t>
        </is>
      </c>
      <c r="M1309">
        <f>IF(L1309="","",IFERROR(VLOOKUP(L1309,mapGrupoStatus,2,0),"Outros"))</f>
        <v/>
      </c>
      <c r="N1309">
        <f>IF(O1309="","",IF(O1309&lt;=30,"0-30 dias",IF(O1309&lt;=60,"31-60 dias",IF(O1309&lt;=90,"61-90 dias","Mais de 90 dias"))))</f>
        <v/>
      </c>
      <c r="O1309">
        <f>IF(OR(M1309="Pendente",M1309="Em andamento"),IF(J1309="","",TODAY()-J1309),"")</f>
        <v/>
      </c>
      <c r="P1309" t="n">
        <v>12158</v>
      </c>
      <c r="Q1309" t="inlineStr">
        <is>
          <t>Gelo Serviços (12158)</t>
        </is>
      </c>
      <c r="R1309" t="inlineStr">
        <is>
          <t>PC-0016</t>
        </is>
      </c>
      <c r="S1309" t="inlineStr">
        <is>
          <t>Filtro secador modelo 02</t>
        </is>
      </c>
      <c r="T1309" t="n">
        <v>1</v>
      </c>
      <c r="U1309" t="inlineStr"/>
      <c r="V1309">
        <f>IF(J1309="","",MONTH(J1309))</f>
        <v/>
      </c>
      <c r="W1309">
        <f>IF(J1309="","",YEAR(J1309))</f>
        <v/>
      </c>
      <c r="X1309" t="inlineStr"/>
      <c r="Y1309">
        <f>IFERROR(INDEX(Rastreio!$H$2:$H$200,MATCH(X1309&amp;"|"&amp;U1309,Rastreio!$A$2:$A$200,0)),"")</f>
        <v/>
      </c>
    </row>
    <row r="1310">
      <c r="A1310">
        <f>IFERROR(INDEX(STAs!$G$2:$G$61,MATCH(P1310,STAs!$F$2:$F$61,0))&amp;"","")</f>
        <v/>
      </c>
      <c r="B1310" t="n">
        <v>20032832</v>
      </c>
      <c r="C1310" t="inlineStr">
        <is>
          <t>Não</t>
        </is>
      </c>
      <c r="D1310" t="inlineStr">
        <is>
          <t>PI</t>
        </is>
      </c>
      <c r="E1310" t="inlineStr">
        <is>
          <t>NORDESTE</t>
        </is>
      </c>
      <c r="F1310" t="inlineStr">
        <is>
          <t>Cliente C - Misturador</t>
        </is>
      </c>
      <c r="G1310" t="inlineStr">
        <is>
          <t>Refrigeradores</t>
        </is>
      </c>
      <c r="H1310" s="10" t="n">
        <v>45</v>
      </c>
      <c r="I1310" s="10">
        <f>IFERROR(T1310*H1310,0)</f>
        <v/>
      </c>
      <c r="J1310" s="11" t="n">
        <v>46142</v>
      </c>
      <c r="K1310" s="11" t="n">
        <v>46194</v>
      </c>
      <c r="L1310" t="inlineStr">
        <is>
          <t>Ok. Devolvida</t>
        </is>
      </c>
      <c r="M1310">
        <f>IF(L1310="","",IFERROR(VLOOKUP(L1310,mapGrupoStatus,2,0),"Outros"))</f>
        <v/>
      </c>
      <c r="N1310">
        <f>IF(O1310="","",IF(O1310&lt;=30,"0-30 dias",IF(O1310&lt;=60,"31-60 dias",IF(O1310&lt;=90,"61-90 dias","Mais de 90 dias"))))</f>
        <v/>
      </c>
      <c r="O1310">
        <f>IF(OR(M1310="Pendente",M1310="Em andamento"),IF(J1310="","",TODAY()-J1310),"")</f>
        <v/>
      </c>
      <c r="P1310" t="n">
        <v>12936</v>
      </c>
      <c r="Q1310" t="inlineStr">
        <is>
          <t>Frigo Técnica (12936)</t>
        </is>
      </c>
      <c r="R1310" t="inlineStr">
        <is>
          <t>PC-0019</t>
        </is>
      </c>
      <c r="S1310" t="inlineStr">
        <is>
          <t>Gaxeta da porta modelo 02</t>
        </is>
      </c>
      <c r="T1310" t="n">
        <v>1</v>
      </c>
      <c r="U1310" t="n">
        <v>158</v>
      </c>
      <c r="V1310">
        <f>IF(J1310="","",MONTH(J1310))</f>
        <v/>
      </c>
      <c r="W1310">
        <f>IF(J1310="","",YEAR(J1310))</f>
        <v/>
      </c>
      <c r="X1310" t="inlineStr">
        <is>
          <t>LogExpress</t>
        </is>
      </c>
      <c r="Y1310">
        <f>IFERROR(INDEX(Rastreio!$H$2:$H$200,MATCH(X1310&amp;"|"&amp;U1310,Rastreio!$A$2:$A$200,0)),"")</f>
        <v/>
      </c>
    </row>
    <row r="1311">
      <c r="A1311">
        <f>IFERROR(INDEX(STAs!$G$2:$G$61,MATCH(P1311,STAs!$F$2:$F$61,0))&amp;"","")</f>
        <v/>
      </c>
      <c r="B1311" t="n">
        <v>20033300</v>
      </c>
      <c r="C1311" t="inlineStr">
        <is>
          <t>Não</t>
        </is>
      </c>
      <c r="D1311" t="inlineStr">
        <is>
          <t>PR</t>
        </is>
      </c>
      <c r="E1311" t="inlineStr">
        <is>
          <t>SUL</t>
        </is>
      </c>
      <c r="F1311" t="inlineStr">
        <is>
          <t>Cliente B - Chopeira</t>
        </is>
      </c>
      <c r="G1311" t="inlineStr">
        <is>
          <t>Refrigeradores</t>
        </is>
      </c>
      <c r="H1311" s="10" t="n">
        <v>50</v>
      </c>
      <c r="I1311" s="10">
        <f>IFERROR(T1311*H1311,0)</f>
        <v/>
      </c>
      <c r="J1311" s="11" t="n">
        <v>46142</v>
      </c>
      <c r="K1311" s="11" t="n">
        <v>46164</v>
      </c>
      <c r="L1311" t="inlineStr">
        <is>
          <t>Ok. Devolvida</t>
        </is>
      </c>
      <c r="M1311">
        <f>IF(L1311="","",IFERROR(VLOOKUP(L1311,mapGrupoStatus,2,0),"Outros"))</f>
        <v/>
      </c>
      <c r="N1311">
        <f>IF(O1311="","",IF(O1311&lt;=30,"0-30 dias",IF(O1311&lt;=60,"31-60 dias",IF(O1311&lt;=90,"61-90 dias","Mais de 90 dias"))))</f>
        <v/>
      </c>
      <c r="O1311">
        <f>IF(OR(M1311="Pendente",M1311="Em andamento"),IF(J1311="","",TODAY()-J1311),"")</f>
        <v/>
      </c>
      <c r="P1311" t="n">
        <v>12089</v>
      </c>
      <c r="Q1311" t="inlineStr">
        <is>
          <t>Termotec Serviços (12089)</t>
        </is>
      </c>
      <c r="R1311" t="inlineStr">
        <is>
          <t>PC-0006</t>
        </is>
      </c>
      <c r="S1311" t="inlineStr">
        <is>
          <t>Termostato modelo 03</t>
        </is>
      </c>
      <c r="T1311" t="n">
        <v>1</v>
      </c>
      <c r="U1311" t="n">
        <v>146</v>
      </c>
      <c r="V1311">
        <f>IF(J1311="","",MONTH(J1311))</f>
        <v/>
      </c>
      <c r="W1311">
        <f>IF(J1311="","",YEAR(J1311))</f>
        <v/>
      </c>
      <c r="X1311" t="inlineStr">
        <is>
          <t>EntregaJá</t>
        </is>
      </c>
      <c r="Y1311">
        <f>IFERROR(INDEX(Rastreio!$H$2:$H$200,MATCH(X1311&amp;"|"&amp;U1311,Rastreio!$A$2:$A$200,0)),"")</f>
        <v/>
      </c>
    </row>
    <row r="1312">
      <c r="A1312">
        <f>IFERROR(INDEX(STAs!$G$2:$G$61,MATCH(P1312,STAs!$F$2:$F$61,0))&amp;"","")</f>
        <v/>
      </c>
      <c r="B1312" t="n">
        <v>20033952</v>
      </c>
      <c r="C1312" t="inlineStr">
        <is>
          <t>Sim</t>
        </is>
      </c>
      <c r="D1312" t="inlineStr">
        <is>
          <t>GO</t>
        </is>
      </c>
      <c r="E1312" t="inlineStr">
        <is>
          <t>CENTRO OESTE</t>
        </is>
      </c>
      <c r="F1312" t="inlineStr">
        <is>
          <t>Cliente C - Misturador</t>
        </is>
      </c>
      <c r="G1312" t="inlineStr">
        <is>
          <t>Refrigeradores</t>
        </is>
      </c>
      <c r="H1312" s="10" t="n">
        <v>55</v>
      </c>
      <c r="I1312" s="10">
        <f>IFERROR(T1312*H1312,0)</f>
        <v/>
      </c>
      <c r="J1312" s="11" t="n">
        <v>46142</v>
      </c>
      <c r="K1312" s="11" t="n">
        <v>46175</v>
      </c>
      <c r="L1312" t="inlineStr">
        <is>
          <t>Ok. Devolvida</t>
        </is>
      </c>
      <c r="M1312">
        <f>IF(L1312="","",IFERROR(VLOOKUP(L1312,mapGrupoStatus,2,0),"Outros"))</f>
        <v/>
      </c>
      <c r="N1312">
        <f>IF(O1312="","",IF(O1312&lt;=30,"0-30 dias",IF(O1312&lt;=60,"31-60 dias",IF(O1312&lt;=90,"61-90 dias","Mais de 90 dias"))))</f>
        <v/>
      </c>
      <c r="O1312">
        <f>IF(OR(M1312="Pendente",M1312="Em andamento"),IF(J1312="","",TODAY()-J1312),"")</f>
        <v/>
      </c>
      <c r="P1312" t="n">
        <v>11677</v>
      </c>
      <c r="Q1312" t="inlineStr">
        <is>
          <t>Cool Service Manutenção (11677)</t>
        </is>
      </c>
      <c r="R1312" t="inlineStr">
        <is>
          <t>PC-0007</t>
        </is>
      </c>
      <c r="S1312" t="inlineStr">
        <is>
          <t>Ventilador modelo 01</t>
        </is>
      </c>
      <c r="T1312" t="n">
        <v>1</v>
      </c>
      <c r="U1312" t="n">
        <v>153</v>
      </c>
      <c r="V1312">
        <f>IF(J1312="","",MONTH(J1312))</f>
        <v/>
      </c>
      <c r="W1312">
        <f>IF(J1312="","",YEAR(J1312))</f>
        <v/>
      </c>
      <c r="X1312" t="inlineStr">
        <is>
          <t>ViaCargo</t>
        </is>
      </c>
      <c r="Y1312">
        <f>IFERROR(INDEX(Rastreio!$H$2:$H$200,MATCH(X1312&amp;"|"&amp;U1312,Rastreio!$A$2:$A$200,0)),"")</f>
        <v/>
      </c>
    </row>
    <row r="1313">
      <c r="A1313">
        <f>IFERROR(INDEX(STAs!$G$2:$G$61,MATCH(P1313,STAs!$F$2:$F$61,0))&amp;"","")</f>
        <v/>
      </c>
      <c r="B1313" t="n">
        <v>20002926</v>
      </c>
      <c r="C1313" t="inlineStr">
        <is>
          <t>Não</t>
        </is>
      </c>
      <c r="D1313" t="inlineStr">
        <is>
          <t>MG</t>
        </is>
      </c>
      <c r="E1313" t="inlineStr">
        <is>
          <t>SUDESTE MG</t>
        </is>
      </c>
      <c r="F1313" t="inlineStr">
        <is>
          <t>Cliente B - Chopeira</t>
        </is>
      </c>
      <c r="G1313" t="inlineStr">
        <is>
          <t>Chopeiras</t>
        </is>
      </c>
      <c r="H1313" s="10" t="n">
        <v>85</v>
      </c>
      <c r="I1313" s="10">
        <f>IFERROR(T1313*H1313,0)</f>
        <v/>
      </c>
      <c r="J1313" s="11" t="n">
        <v>46143</v>
      </c>
      <c r="K1313" s="11" t="n">
        <v>46196</v>
      </c>
      <c r="L1313" t="inlineStr">
        <is>
          <t>Ok. Devolvida</t>
        </is>
      </c>
      <c r="M1313">
        <f>IF(L1313="","",IFERROR(VLOOKUP(L1313,mapGrupoStatus,2,0),"Outros"))</f>
        <v/>
      </c>
      <c r="N1313">
        <f>IF(O1313="","",IF(O1313&lt;=30,"0-30 dias",IF(O1313&lt;=60,"31-60 dias",IF(O1313&lt;=90,"61-90 dias","Mais de 90 dias"))))</f>
        <v/>
      </c>
      <c r="O1313">
        <f>IF(OR(M1313="Pendente",M1313="Em andamento"),IF(J1313="","",TODAY()-J1313),"")</f>
        <v/>
      </c>
      <c r="P1313" t="n">
        <v>11619</v>
      </c>
      <c r="Q1313" t="inlineStr">
        <is>
          <t>Refrigeração Ltda (11619)</t>
        </is>
      </c>
      <c r="R1313" t="inlineStr">
        <is>
          <t>PC-0026</t>
        </is>
      </c>
      <c r="S1313" t="inlineStr">
        <is>
          <t>Torneira de chopp modelo 01</t>
        </is>
      </c>
      <c r="T1313" t="n">
        <v>2</v>
      </c>
      <c r="U1313" t="n">
        <v>107</v>
      </c>
      <c r="V1313">
        <f>IF(J1313="","",MONTH(J1313))</f>
        <v/>
      </c>
      <c r="W1313">
        <f>IF(J1313="","",YEAR(J1313))</f>
        <v/>
      </c>
      <c r="X1313" t="inlineStr">
        <is>
          <t>EntregaJá</t>
        </is>
      </c>
      <c r="Y1313">
        <f>IFERROR(INDEX(Rastreio!$H$2:$H$200,MATCH(X1313&amp;"|"&amp;U1313,Rastreio!$A$2:$A$200,0)),"")</f>
        <v/>
      </c>
    </row>
    <row r="1314">
      <c r="A1314">
        <f>IFERROR(INDEX(STAs!$G$2:$G$61,MATCH(P1314,STAs!$F$2:$F$61,0))&amp;"","")</f>
        <v/>
      </c>
      <c r="B1314" t="n">
        <v>20003735</v>
      </c>
      <c r="C1314" t="inlineStr">
        <is>
          <t>Não</t>
        </is>
      </c>
      <c r="D1314" t="inlineStr">
        <is>
          <t>PA</t>
        </is>
      </c>
      <c r="E1314" t="inlineStr">
        <is>
          <t>NORTE</t>
        </is>
      </c>
      <c r="F1314" t="inlineStr">
        <is>
          <t>Cliente C - Misturador</t>
        </is>
      </c>
      <c r="G1314" t="inlineStr">
        <is>
          <t>Refrigeradores</t>
        </is>
      </c>
      <c r="H1314" s="10" t="n">
        <v>315</v>
      </c>
      <c r="I1314" s="10">
        <f>IFERROR(T1314*H1314,0)</f>
        <v/>
      </c>
      <c r="J1314" s="11" t="n">
        <v>46143</v>
      </c>
      <c r="K1314" s="11" t="n">
        <v>46197</v>
      </c>
      <c r="L1314" t="inlineStr">
        <is>
          <t>Ok. Devolvida</t>
        </is>
      </c>
      <c r="M1314">
        <f>IF(L1314="","",IFERROR(VLOOKUP(L1314,mapGrupoStatus,2,0),"Outros"))</f>
        <v/>
      </c>
      <c r="N1314">
        <f>IF(O1314="","",IF(O1314&lt;=30,"0-30 dias",IF(O1314&lt;=60,"31-60 dias",IF(O1314&lt;=90,"61-90 dias","Mais de 90 dias"))))</f>
        <v/>
      </c>
      <c r="O1314">
        <f>IF(OR(M1314="Pendente",M1314="Em andamento"),IF(J1314="","",TODAY()-J1314),"")</f>
        <v/>
      </c>
      <c r="P1314" t="n">
        <v>11986</v>
      </c>
      <c r="Q1314" t="inlineStr">
        <is>
          <t>Polar Serviços (11986)</t>
        </is>
      </c>
      <c r="R1314" t="inlineStr">
        <is>
          <t>PC-0002</t>
        </is>
      </c>
      <c r="S1314" t="inlineStr">
        <is>
          <t>Compressor modelo 02</t>
        </is>
      </c>
      <c r="T1314" t="n">
        <v>1</v>
      </c>
      <c r="U1314" t="n">
        <v>104</v>
      </c>
      <c r="V1314">
        <f>IF(J1314="","",MONTH(J1314))</f>
        <v/>
      </c>
      <c r="W1314">
        <f>IF(J1314="","",YEAR(J1314))</f>
        <v/>
      </c>
      <c r="X1314" t="inlineStr">
        <is>
          <t>CargoMax</t>
        </is>
      </c>
      <c r="Y1314">
        <f>IFERROR(INDEX(Rastreio!$H$2:$H$200,MATCH(X1314&amp;"|"&amp;U1314,Rastreio!$A$2:$A$200,0)),"")</f>
        <v/>
      </c>
    </row>
    <row r="1315">
      <c r="A1315">
        <f>IFERROR(INDEX(STAs!$G$2:$G$61,MATCH(P1315,STAs!$F$2:$F$61,0))&amp;"","")</f>
        <v/>
      </c>
      <c r="B1315" t="n">
        <v>20016175</v>
      </c>
      <c r="C1315" t="inlineStr">
        <is>
          <t>Não</t>
        </is>
      </c>
      <c r="D1315" t="inlineStr">
        <is>
          <t>SP</t>
        </is>
      </c>
      <c r="E1315" t="inlineStr">
        <is>
          <t>SUDESTE SP</t>
        </is>
      </c>
      <c r="F1315" t="inlineStr">
        <is>
          <t>Cliente B - Chopeira</t>
        </is>
      </c>
      <c r="G1315" t="inlineStr">
        <is>
          <t>Chopeiras</t>
        </is>
      </c>
      <c r="H1315" s="10" t="n">
        <v>85</v>
      </c>
      <c r="I1315" s="10">
        <f>IFERROR(T1315*H1315,0)</f>
        <v/>
      </c>
      <c r="J1315" s="11" t="n">
        <v>46143</v>
      </c>
      <c r="K1315" s="11" t="n">
        <v>46176</v>
      </c>
      <c r="L1315" t="inlineStr">
        <is>
          <t>Ok. Devolvida</t>
        </is>
      </c>
      <c r="M1315">
        <f>IF(L1315="","",IFERROR(VLOOKUP(L1315,mapGrupoStatus,2,0),"Outros"))</f>
        <v/>
      </c>
      <c r="N1315">
        <f>IF(O1315="","",IF(O1315&lt;=30,"0-30 dias",IF(O1315&lt;=60,"31-60 dias",IF(O1315&lt;=90,"61-90 dias","Mais de 90 dias"))))</f>
        <v/>
      </c>
      <c r="O1315">
        <f>IF(OR(M1315="Pendente",M1315="Em andamento"),IF(J1315="","",TODAY()-J1315),"")</f>
        <v/>
      </c>
      <c r="P1315" t="n">
        <v>12052</v>
      </c>
      <c r="Q1315" t="inlineStr">
        <is>
          <t>Brisa Refrigeração (12052)</t>
        </is>
      </c>
      <c r="R1315" t="inlineStr">
        <is>
          <t>PC-0035</t>
        </is>
      </c>
      <c r="S1315" t="inlineStr">
        <is>
          <t>Válvula extratora modelo 01</t>
        </is>
      </c>
      <c r="T1315" t="n">
        <v>1</v>
      </c>
      <c r="U1315" t="n">
        <v>127</v>
      </c>
      <c r="V1315">
        <f>IF(J1315="","",MONTH(J1315))</f>
        <v/>
      </c>
      <c r="W1315">
        <f>IF(J1315="","",YEAR(J1315))</f>
        <v/>
      </c>
      <c r="X1315" t="inlineStr">
        <is>
          <t>EntregaJá</t>
        </is>
      </c>
      <c r="Y1315">
        <f>IFERROR(INDEX(Rastreio!$H$2:$H$200,MATCH(X1315&amp;"|"&amp;U1315,Rastreio!$A$2:$A$200,0)),"")</f>
        <v/>
      </c>
    </row>
    <row r="1316">
      <c r="A1316">
        <f>IFERROR(INDEX(STAs!$G$2:$G$61,MATCH(P1316,STAs!$F$2:$F$61,0))&amp;"","")</f>
        <v/>
      </c>
      <c r="B1316" t="n">
        <v>20021340</v>
      </c>
      <c r="C1316" t="inlineStr">
        <is>
          <t>Não</t>
        </is>
      </c>
      <c r="D1316" t="inlineStr">
        <is>
          <t>MG</t>
        </is>
      </c>
      <c r="E1316" t="inlineStr">
        <is>
          <t>SUDESTE MG</t>
        </is>
      </c>
      <c r="F1316" t="inlineStr">
        <is>
          <t>Cliente C - Misturador</t>
        </is>
      </c>
      <c r="G1316" t="inlineStr">
        <is>
          <t>Misturadores</t>
        </is>
      </c>
      <c r="H1316" s="10" t="n">
        <v>60</v>
      </c>
      <c r="I1316" s="10">
        <f>IFERROR(T1316*H1316,0)</f>
        <v/>
      </c>
      <c r="J1316" s="11" t="n">
        <v>46143</v>
      </c>
      <c r="K1316" s="11" t="n">
        <v>46173</v>
      </c>
      <c r="L1316" t="inlineStr">
        <is>
          <t>Ok. Devolvida</t>
        </is>
      </c>
      <c r="M1316">
        <f>IF(L1316="","",IFERROR(VLOOKUP(L1316,mapGrupoStatus,2,0),"Outros"))</f>
        <v/>
      </c>
      <c r="N1316">
        <f>IF(O1316="","",IF(O1316&lt;=30,"0-30 dias",IF(O1316&lt;=60,"31-60 dias",IF(O1316&lt;=90,"61-90 dias","Mais de 90 dias"))))</f>
        <v/>
      </c>
      <c r="O1316">
        <f>IF(OR(M1316="Pendente",M1316="Em andamento"),IF(J1316="","",TODAY()-J1316),"")</f>
        <v/>
      </c>
      <c r="P1316" t="n">
        <v>11494</v>
      </c>
      <c r="Q1316" t="inlineStr">
        <is>
          <t>Clima Técnica (11494)</t>
        </is>
      </c>
      <c r="R1316" t="inlineStr">
        <is>
          <t>PC-0046</t>
        </is>
      </c>
      <c r="S1316" t="inlineStr">
        <is>
          <t>Sensor de nível modelo 02</t>
        </is>
      </c>
      <c r="T1316" t="n">
        <v>1</v>
      </c>
      <c r="U1316" t="n">
        <v>133</v>
      </c>
      <c r="V1316">
        <f>IF(J1316="","",MONTH(J1316))</f>
        <v/>
      </c>
      <c r="W1316">
        <f>IF(J1316="","",YEAR(J1316))</f>
        <v/>
      </c>
      <c r="X1316" t="inlineStr">
        <is>
          <t>EntregaJá</t>
        </is>
      </c>
      <c r="Y1316">
        <f>IFERROR(INDEX(Rastreio!$H$2:$H$200,MATCH(X1316&amp;"|"&amp;U1316,Rastreio!$A$2:$A$200,0)),"")</f>
        <v/>
      </c>
    </row>
    <row r="1317">
      <c r="A1317">
        <f>IFERROR(INDEX(STAs!$G$2:$G$61,MATCH(P1317,STAs!$F$2:$F$61,0))&amp;"","")</f>
        <v/>
      </c>
      <c r="B1317" t="n">
        <v>20022799</v>
      </c>
      <c r="C1317" t="inlineStr">
        <is>
          <t>Não</t>
        </is>
      </c>
      <c r="D1317" t="inlineStr">
        <is>
          <t>AM</t>
        </is>
      </c>
      <c r="E1317" t="inlineStr">
        <is>
          <t>NORTE</t>
        </is>
      </c>
      <c r="F1317" t="inlineStr">
        <is>
          <t>Cliente B - Chopeira</t>
        </is>
      </c>
      <c r="G1317" t="inlineStr">
        <is>
          <t>Refrigeradores</t>
        </is>
      </c>
      <c r="H1317" s="10" t="n">
        <v>45</v>
      </c>
      <c r="I1317" s="10">
        <f>IFERROR(T1317*H1317,0)</f>
        <v/>
      </c>
      <c r="J1317" s="11" t="n">
        <v>46143</v>
      </c>
      <c r="K1317" s="11" t="n"/>
      <c r="L1317" t="inlineStr">
        <is>
          <t>Aguardando devolução</t>
        </is>
      </c>
      <c r="M1317">
        <f>IF(L1317="","",IFERROR(VLOOKUP(L1317,mapGrupoStatus,2,0),"Outros"))</f>
        <v/>
      </c>
      <c r="N1317">
        <f>IF(O1317="","",IF(O1317&lt;=30,"0-30 dias",IF(O1317&lt;=60,"31-60 dias",IF(O1317&lt;=90,"61-90 dias","Mais de 90 dias"))))</f>
        <v/>
      </c>
      <c r="O1317">
        <f>IF(OR(M1317="Pendente",M1317="Em andamento"),IF(J1317="","",TODAY()-J1317),"")</f>
        <v/>
      </c>
      <c r="P1317" t="n">
        <v>12269</v>
      </c>
      <c r="Q1317" t="inlineStr">
        <is>
          <t>Polar Técnica (12269)</t>
        </is>
      </c>
      <c r="R1317" t="inlineStr">
        <is>
          <t>PC-0018</t>
        </is>
      </c>
      <c r="S1317" t="inlineStr">
        <is>
          <t>Gaxeta da porta modelo 01</t>
        </is>
      </c>
      <c r="T1317" t="n">
        <v>1</v>
      </c>
      <c r="U1317" t="inlineStr"/>
      <c r="V1317">
        <f>IF(J1317="","",MONTH(J1317))</f>
        <v/>
      </c>
      <c r="W1317">
        <f>IF(J1317="","",YEAR(J1317))</f>
        <v/>
      </c>
      <c r="X1317" t="inlineStr"/>
      <c r="Y1317">
        <f>IFERROR(INDEX(Rastreio!$H$2:$H$200,MATCH(X1317&amp;"|"&amp;U1317,Rastreio!$A$2:$A$200,0)),"")</f>
        <v/>
      </c>
    </row>
    <row r="1318">
      <c r="A1318">
        <f>IFERROR(INDEX(STAs!$G$2:$G$61,MATCH(P1318,STAs!$F$2:$F$61,0))&amp;"","")</f>
        <v/>
      </c>
      <c r="B1318" t="n">
        <v>20024223</v>
      </c>
      <c r="C1318" t="inlineStr">
        <is>
          <t>Não</t>
        </is>
      </c>
      <c r="D1318" t="inlineStr">
        <is>
          <t>MG</t>
        </is>
      </c>
      <c r="E1318" t="inlineStr">
        <is>
          <t>SUDESTE MG</t>
        </is>
      </c>
      <c r="F1318" t="inlineStr">
        <is>
          <t>Cliente C - Misturador</t>
        </is>
      </c>
      <c r="G1318" t="inlineStr">
        <is>
          <t>Chopeiras</t>
        </is>
      </c>
      <c r="H1318" s="10" t="n">
        <v>85</v>
      </c>
      <c r="I1318" s="10">
        <f>IFERROR(T1318*H1318,0)</f>
        <v/>
      </c>
      <c r="J1318" s="11" t="n">
        <v>46143</v>
      </c>
      <c r="K1318" s="11" t="n"/>
      <c r="L1318" t="inlineStr">
        <is>
          <t>Aguardando Transporte</t>
        </is>
      </c>
      <c r="M1318">
        <f>IF(L1318="","",IFERROR(VLOOKUP(L1318,mapGrupoStatus,2,0),"Outros"))</f>
        <v/>
      </c>
      <c r="N1318">
        <f>IF(O1318="","",IF(O1318&lt;=30,"0-30 dias",IF(O1318&lt;=60,"31-60 dias",IF(O1318&lt;=90,"61-90 dias","Mais de 90 dias"))))</f>
        <v/>
      </c>
      <c r="O1318">
        <f>IF(OR(M1318="Pendente",M1318="Em andamento"),IF(J1318="","",TODAY()-J1318),"")</f>
        <v/>
      </c>
      <c r="P1318" t="n">
        <v>12470</v>
      </c>
      <c r="Q1318" t="inlineStr">
        <is>
          <t>Cool Service Técnica (12470)</t>
        </is>
      </c>
      <c r="R1318" t="inlineStr">
        <is>
          <t>PC-0028</t>
        </is>
      </c>
      <c r="S1318" t="inlineStr">
        <is>
          <t>Torneira de chopp modelo 03</t>
        </is>
      </c>
      <c r="T1318" t="n">
        <v>1</v>
      </c>
      <c r="U1318" t="n">
        <v>142</v>
      </c>
      <c r="V1318">
        <f>IF(J1318="","",MONTH(J1318))</f>
        <v/>
      </c>
      <c r="W1318">
        <f>IF(J1318="","",YEAR(J1318))</f>
        <v/>
      </c>
      <c r="X1318" t="inlineStr">
        <is>
          <t>LogExpress</t>
        </is>
      </c>
      <c r="Y1318">
        <f>IFERROR(INDEX(Rastreio!$H$2:$H$200,MATCH(X1318&amp;"|"&amp;U1318,Rastreio!$A$2:$A$200,0)),"")</f>
        <v/>
      </c>
    </row>
    <row r="1319">
      <c r="A1319">
        <f>IFERROR(INDEX(STAs!$G$2:$G$61,MATCH(P1319,STAs!$F$2:$F$61,0))&amp;"","")</f>
        <v/>
      </c>
      <c r="B1319" t="n">
        <v>20025622</v>
      </c>
      <c r="C1319" t="inlineStr">
        <is>
          <t>Não</t>
        </is>
      </c>
      <c r="D1319" t="inlineStr">
        <is>
          <t>RO</t>
        </is>
      </c>
      <c r="E1319" t="inlineStr">
        <is>
          <t>NORTE</t>
        </is>
      </c>
      <c r="F1319" t="inlineStr">
        <is>
          <t>Cliente A - Refrigerador</t>
        </is>
      </c>
      <c r="G1319" t="inlineStr">
        <is>
          <t>Refrigeradores</t>
        </is>
      </c>
      <c r="H1319" s="10" t="n">
        <v>35</v>
      </c>
      <c r="I1319" s="10">
        <f>IFERROR(T1319*H1319,0)</f>
        <v/>
      </c>
      <c r="J1319" s="11" t="n">
        <v>46143</v>
      </c>
      <c r="K1319" s="11" t="n"/>
      <c r="L1319" t="inlineStr">
        <is>
          <t>Não Devolve-Norte</t>
        </is>
      </c>
      <c r="M1319">
        <f>IF(L1319="","",IFERROR(VLOOKUP(L1319,mapGrupoStatus,2,0),"Outros"))</f>
        <v/>
      </c>
      <c r="N1319">
        <f>IF(O1319="","",IF(O1319&lt;=30,"0-30 dias",IF(O1319&lt;=60,"31-60 dias",IF(O1319&lt;=90,"61-90 dias","Mais de 90 dias"))))</f>
        <v/>
      </c>
      <c r="O1319">
        <f>IF(OR(M1319="Pendente",M1319="Em andamento"),IF(J1319="","",TODAY()-J1319),"")</f>
        <v/>
      </c>
      <c r="P1319" t="n">
        <v>10172</v>
      </c>
      <c r="Q1319" t="inlineStr">
        <is>
          <t>Frigo Serviços (10172)</t>
        </is>
      </c>
      <c r="R1319" t="inlineStr">
        <is>
          <t>PC-0024</t>
        </is>
      </c>
      <c r="S1319" t="inlineStr">
        <is>
          <t>Relé de partida modelo 02</t>
        </is>
      </c>
      <c r="T1319" t="n">
        <v>3</v>
      </c>
      <c r="U1319" t="inlineStr"/>
      <c r="V1319">
        <f>IF(J1319="","",MONTH(J1319))</f>
        <v/>
      </c>
      <c r="W1319">
        <f>IF(J1319="","",YEAR(J1319))</f>
        <v/>
      </c>
      <c r="X1319" t="inlineStr"/>
      <c r="Y1319">
        <f>IFERROR(INDEX(Rastreio!$H$2:$H$200,MATCH(X1319&amp;"|"&amp;U1319,Rastreio!$A$2:$A$200,0)),"")</f>
        <v/>
      </c>
    </row>
    <row r="1320">
      <c r="A1320">
        <f>IFERROR(INDEX(STAs!$G$2:$G$61,MATCH(P1320,STAs!$F$2:$F$61,0))&amp;"","")</f>
        <v/>
      </c>
      <c r="B1320" t="n">
        <v>20040152</v>
      </c>
      <c r="C1320" t="inlineStr">
        <is>
          <t>Não</t>
        </is>
      </c>
      <c r="D1320" t="inlineStr">
        <is>
          <t>RR</t>
        </is>
      </c>
      <c r="E1320" t="inlineStr">
        <is>
          <t>NORTE</t>
        </is>
      </c>
      <c r="F1320" t="inlineStr">
        <is>
          <t>Cliente B - Chopeira</t>
        </is>
      </c>
      <c r="G1320" t="inlineStr">
        <is>
          <t>Misturadores</t>
        </is>
      </c>
      <c r="H1320" s="10" t="n">
        <v>185</v>
      </c>
      <c r="I1320" s="10">
        <f>IFERROR(T1320*H1320,0)</f>
        <v/>
      </c>
      <c r="J1320" s="11" t="n">
        <v>46143</v>
      </c>
      <c r="K1320" s="11" t="n"/>
      <c r="L1320" t="inlineStr">
        <is>
          <t>Não Devolve-Norte</t>
        </is>
      </c>
      <c r="M1320">
        <f>IF(L1320="","",IFERROR(VLOOKUP(L1320,mapGrupoStatus,2,0),"Outros"))</f>
        <v/>
      </c>
      <c r="N1320">
        <f>IF(O1320="","",IF(O1320&lt;=30,"0-30 dias",IF(O1320&lt;=60,"31-60 dias",IF(O1320&lt;=90,"61-90 dias","Mais de 90 dias"))))</f>
        <v/>
      </c>
      <c r="O1320">
        <f>IF(OR(M1320="Pendente",M1320="Em andamento"),IF(J1320="","",TODAY()-J1320),"")</f>
        <v/>
      </c>
      <c r="P1320" t="n">
        <v>11818</v>
      </c>
      <c r="Q1320" t="inlineStr">
        <is>
          <t>Termotec Ltda (11818)</t>
        </is>
      </c>
      <c r="R1320" t="inlineStr">
        <is>
          <t>PC-0041</t>
        </is>
      </c>
      <c r="S1320" t="inlineStr">
        <is>
          <t>Motor agitador modelo 02</t>
        </is>
      </c>
      <c r="T1320" t="n">
        <v>2</v>
      </c>
      <c r="U1320" t="inlineStr"/>
      <c r="V1320">
        <f>IF(J1320="","",MONTH(J1320))</f>
        <v/>
      </c>
      <c r="W1320">
        <f>IF(J1320="","",YEAR(J1320))</f>
        <v/>
      </c>
      <c r="X1320" t="inlineStr"/>
      <c r="Y1320">
        <f>IFERROR(INDEX(Rastreio!$H$2:$H$200,MATCH(X1320&amp;"|"&amp;U1320,Rastreio!$A$2:$A$200,0)),"")</f>
        <v/>
      </c>
    </row>
    <row r="1321">
      <c r="A1321">
        <f>IFERROR(INDEX(STAs!$G$2:$G$61,MATCH(P1321,STAs!$F$2:$F$61,0))&amp;"","")</f>
        <v/>
      </c>
      <c r="B1321" t="n">
        <v>20009701</v>
      </c>
      <c r="C1321" t="inlineStr">
        <is>
          <t>Não</t>
        </is>
      </c>
      <c r="D1321" t="inlineStr">
        <is>
          <t>AM</t>
        </is>
      </c>
      <c r="E1321" t="inlineStr">
        <is>
          <t>NORTE</t>
        </is>
      </c>
      <c r="F1321" t="inlineStr">
        <is>
          <t>Cliente C - Misturador</t>
        </is>
      </c>
      <c r="G1321" t="inlineStr">
        <is>
          <t>Misturadores</t>
        </is>
      </c>
      <c r="H1321" s="10" t="n">
        <v>200</v>
      </c>
      <c r="I1321" s="10">
        <f>IFERROR(T1321*H1321,0)</f>
        <v/>
      </c>
      <c r="J1321" s="11" t="n">
        <v>46144</v>
      </c>
      <c r="K1321" s="11" t="n"/>
      <c r="L1321" t="inlineStr">
        <is>
          <t>NPD</t>
        </is>
      </c>
      <c r="M1321">
        <f>IF(L1321="","",IFERROR(VLOOKUP(L1321,mapGrupoStatus,2,0),"Outros"))</f>
        <v/>
      </c>
      <c r="N1321">
        <f>IF(O1321="","",IF(O1321&lt;=30,"0-30 dias",IF(O1321&lt;=60,"31-60 dias",IF(O1321&lt;=90,"61-90 dias","Mais de 90 dias"))))</f>
        <v/>
      </c>
      <c r="O1321">
        <f>IF(OR(M1321="Pendente",M1321="Em andamento"),IF(J1321="","",TODAY()-J1321),"")</f>
        <v/>
      </c>
      <c r="P1321" t="n">
        <v>12269</v>
      </c>
      <c r="Q1321" t="inlineStr">
        <is>
          <t>Polar Técnica (12269)</t>
        </is>
      </c>
      <c r="R1321" t="inlineStr">
        <is>
          <t>PC-0040</t>
        </is>
      </c>
      <c r="S1321" t="inlineStr">
        <is>
          <t>Motor agitador modelo 01</t>
        </is>
      </c>
      <c r="T1321" t="n">
        <v>1</v>
      </c>
      <c r="U1321" t="inlineStr"/>
      <c r="V1321">
        <f>IF(J1321="","",MONTH(J1321))</f>
        <v/>
      </c>
      <c r="W1321">
        <f>IF(J1321="","",YEAR(J1321))</f>
        <v/>
      </c>
      <c r="X1321" t="inlineStr"/>
      <c r="Y1321">
        <f>IFERROR(INDEX(Rastreio!$H$2:$H$200,MATCH(X1321&amp;"|"&amp;U1321,Rastreio!$A$2:$A$200,0)),"")</f>
        <v/>
      </c>
    </row>
    <row r="1322">
      <c r="A1322">
        <f>IFERROR(INDEX(STAs!$G$2:$G$61,MATCH(P1322,STAs!$F$2:$F$61,0))&amp;"","")</f>
        <v/>
      </c>
      <c r="B1322" t="n">
        <v>20011622</v>
      </c>
      <c r="C1322" t="inlineStr">
        <is>
          <t>Não</t>
        </is>
      </c>
      <c r="D1322" t="inlineStr">
        <is>
          <t>RO</t>
        </is>
      </c>
      <c r="E1322" t="inlineStr">
        <is>
          <t>NORTE</t>
        </is>
      </c>
      <c r="F1322" t="inlineStr">
        <is>
          <t>Cliente C - Misturador</t>
        </is>
      </c>
      <c r="G1322" t="inlineStr">
        <is>
          <t>Refrigeradores</t>
        </is>
      </c>
      <c r="H1322" s="10" t="n">
        <v>35</v>
      </c>
      <c r="I1322" s="10">
        <f>IFERROR(T1322*H1322,0)</f>
        <v/>
      </c>
      <c r="J1322" s="11" t="n">
        <v>46144</v>
      </c>
      <c r="K1322" s="11" t="n">
        <v>46166</v>
      </c>
      <c r="L1322" t="inlineStr">
        <is>
          <t>Ok. Devolvida</t>
        </is>
      </c>
      <c r="M1322">
        <f>IF(L1322="","",IFERROR(VLOOKUP(L1322,mapGrupoStatus,2,0),"Outros"))</f>
        <v/>
      </c>
      <c r="N1322">
        <f>IF(O1322="","",IF(O1322&lt;=30,"0-30 dias",IF(O1322&lt;=60,"31-60 dias",IF(O1322&lt;=90,"61-90 dias","Mais de 90 dias"))))</f>
        <v/>
      </c>
      <c r="O1322">
        <f>IF(OR(M1322="Pendente",M1322="Em andamento"),IF(J1322="","",TODAY()-J1322),"")</f>
        <v/>
      </c>
      <c r="P1322" t="n">
        <v>12019</v>
      </c>
      <c r="Q1322" t="inlineStr">
        <is>
          <t>Ártico Serviços (12019)</t>
        </is>
      </c>
      <c r="R1322" t="inlineStr">
        <is>
          <t>PC-0023</t>
        </is>
      </c>
      <c r="S1322" t="inlineStr">
        <is>
          <t>Relé de partida modelo 01</t>
        </is>
      </c>
      <c r="T1322" t="n">
        <v>1</v>
      </c>
      <c r="U1322" t="n">
        <v>123</v>
      </c>
      <c r="V1322">
        <f>IF(J1322="","",MONTH(J1322))</f>
        <v/>
      </c>
      <c r="W1322">
        <f>IF(J1322="","",YEAR(J1322))</f>
        <v/>
      </c>
      <c r="X1322" t="inlineStr">
        <is>
          <t>CargoMax</t>
        </is>
      </c>
      <c r="Y1322">
        <f>IFERROR(INDEX(Rastreio!$H$2:$H$200,MATCH(X1322&amp;"|"&amp;U1322,Rastreio!$A$2:$A$200,0)),"")</f>
        <v/>
      </c>
    </row>
    <row r="1323">
      <c r="A1323">
        <f>IFERROR(INDEX(STAs!$G$2:$G$61,MATCH(P1323,STAs!$F$2:$F$61,0))&amp;"","")</f>
        <v/>
      </c>
      <c r="B1323" t="n">
        <v>20014393</v>
      </c>
      <c r="C1323" t="inlineStr">
        <is>
          <t>Sim</t>
        </is>
      </c>
      <c r="D1323" t="inlineStr">
        <is>
          <t>CE</t>
        </is>
      </c>
      <c r="E1323" t="inlineStr">
        <is>
          <t>NORDESTE</t>
        </is>
      </c>
      <c r="F1323" t="inlineStr">
        <is>
          <t>Cliente B - Chopeira</t>
        </is>
      </c>
      <c r="G1323" t="inlineStr">
        <is>
          <t>Misturadores</t>
        </is>
      </c>
      <c r="H1323" s="10" t="n">
        <v>35</v>
      </c>
      <c r="I1323" s="10">
        <f>IFERROR(T1323*H1323,0)</f>
        <v/>
      </c>
      <c r="J1323" s="11" t="n">
        <v>46144</v>
      </c>
      <c r="K1323" s="11" t="n">
        <v>46184</v>
      </c>
      <c r="L1323" t="inlineStr">
        <is>
          <t>Ok. Devolvida</t>
        </is>
      </c>
      <c r="M1323">
        <f>IF(L1323="","",IFERROR(VLOOKUP(L1323,mapGrupoStatus,2,0),"Outros"))</f>
        <v/>
      </c>
      <c r="N1323">
        <f>IF(O1323="","",IF(O1323&lt;=30,"0-30 dias",IF(O1323&lt;=60,"31-60 dias",IF(O1323&lt;=90,"61-90 dias","Mais de 90 dias"))))</f>
        <v/>
      </c>
      <c r="O1323">
        <f>IF(OR(M1323="Pendente",M1323="Em andamento"),IF(J1323="","",TODAY()-J1323),"")</f>
        <v/>
      </c>
      <c r="P1323" t="n">
        <v>10615</v>
      </c>
      <c r="Q1323" t="inlineStr">
        <is>
          <t>Brisa Técnica (10615)</t>
        </is>
      </c>
      <c r="R1323" t="inlineStr">
        <is>
          <t>PC-0043</t>
        </is>
      </c>
      <c r="S1323" t="inlineStr">
        <is>
          <t>Bico dosador modelo 02</t>
        </is>
      </c>
      <c r="T1323" t="n">
        <v>2</v>
      </c>
      <c r="U1323" t="n">
        <v>121</v>
      </c>
      <c r="V1323">
        <f>IF(J1323="","",MONTH(J1323))</f>
        <v/>
      </c>
      <c r="W1323">
        <f>IF(J1323="","",YEAR(J1323))</f>
        <v/>
      </c>
      <c r="X1323" t="inlineStr">
        <is>
          <t>RotaSul</t>
        </is>
      </c>
      <c r="Y1323">
        <f>IFERROR(INDEX(Rastreio!$H$2:$H$200,MATCH(X1323&amp;"|"&amp;U1323,Rastreio!$A$2:$A$200,0)),"")</f>
        <v/>
      </c>
    </row>
    <row r="1324">
      <c r="A1324">
        <f>IFERROR(INDEX(STAs!$G$2:$G$61,MATCH(P1324,STAs!$F$2:$F$61,0))&amp;"","")</f>
        <v/>
      </c>
      <c r="B1324" t="n">
        <v>20030843</v>
      </c>
      <c r="C1324" t="inlineStr">
        <is>
          <t>Não</t>
        </is>
      </c>
      <c r="D1324" t="inlineStr">
        <is>
          <t>AC</t>
        </is>
      </c>
      <c r="E1324" t="inlineStr">
        <is>
          <t>NORTE</t>
        </is>
      </c>
      <c r="F1324" t="inlineStr">
        <is>
          <t>Cliente C - Misturador</t>
        </is>
      </c>
      <c r="G1324" t="inlineStr">
        <is>
          <t>Chopeiras</t>
        </is>
      </c>
      <c r="H1324" s="10" t="n">
        <v>115</v>
      </c>
      <c r="I1324" s="10">
        <f>IFERROR(T1324*H1324,0)</f>
        <v/>
      </c>
      <c r="J1324" s="11" t="n">
        <v>46144</v>
      </c>
      <c r="K1324" s="11" t="n">
        <v>46172</v>
      </c>
      <c r="L1324" t="inlineStr">
        <is>
          <t>Ok. Devolvida</t>
        </is>
      </c>
      <c r="M1324">
        <f>IF(L1324="","",IFERROR(VLOOKUP(L1324,mapGrupoStatus,2,0),"Outros"))</f>
        <v/>
      </c>
      <c r="N1324">
        <f>IF(O1324="","",IF(O1324&lt;=30,"0-30 dias",IF(O1324&lt;=60,"31-60 dias",IF(O1324&lt;=90,"61-90 dias","Mais de 90 dias"))))</f>
        <v/>
      </c>
      <c r="O1324">
        <f>IF(OR(M1324="Pendente",M1324="Em andamento"),IF(J1324="","",TODAY()-J1324),"")</f>
        <v/>
      </c>
      <c r="P1324" t="n">
        <v>10372</v>
      </c>
      <c r="Q1324" t="inlineStr">
        <is>
          <t>Zero Grau ME (10372)</t>
        </is>
      </c>
      <c r="R1324" t="inlineStr">
        <is>
          <t>PC-0034</t>
        </is>
      </c>
      <c r="S1324" t="inlineStr">
        <is>
          <t>Regulador de pressão modelo 03</t>
        </is>
      </c>
      <c r="T1324" t="n">
        <v>2</v>
      </c>
      <c r="U1324" t="n">
        <v>153</v>
      </c>
      <c r="V1324">
        <f>IF(J1324="","",MONTH(J1324))</f>
        <v/>
      </c>
      <c r="W1324">
        <f>IF(J1324="","",YEAR(J1324))</f>
        <v/>
      </c>
      <c r="X1324" t="inlineStr">
        <is>
          <t>CargoMax</t>
        </is>
      </c>
      <c r="Y1324">
        <f>IFERROR(INDEX(Rastreio!$H$2:$H$200,MATCH(X1324&amp;"|"&amp;U1324,Rastreio!$A$2:$A$200,0)),"")</f>
        <v/>
      </c>
    </row>
    <row r="1325">
      <c r="A1325">
        <f>IFERROR(INDEX(STAs!$G$2:$G$61,MATCH(P1325,STAs!$F$2:$F$61,0))&amp;"","")</f>
        <v/>
      </c>
      <c r="B1325" t="n">
        <v>20038042</v>
      </c>
      <c r="C1325" t="inlineStr">
        <is>
          <t>Sim</t>
        </is>
      </c>
      <c r="D1325" t="inlineStr">
        <is>
          <t>PR</t>
        </is>
      </c>
      <c r="E1325" t="inlineStr">
        <is>
          <t>SUL</t>
        </is>
      </c>
      <c r="F1325" t="inlineStr">
        <is>
          <t>Cliente A - Refrigerador</t>
        </is>
      </c>
      <c r="G1325" t="inlineStr">
        <is>
          <t>Misturadores</t>
        </is>
      </c>
      <c r="H1325" s="10" t="n">
        <v>35</v>
      </c>
      <c r="I1325" s="10">
        <f>IFERROR(T1325*H1325,0)</f>
        <v/>
      </c>
      <c r="J1325" s="11" t="n">
        <v>46144</v>
      </c>
      <c r="K1325" s="11" t="n">
        <v>46164</v>
      </c>
      <c r="L1325" t="inlineStr">
        <is>
          <t>Ok. Devolvida</t>
        </is>
      </c>
      <c r="M1325">
        <f>IF(L1325="","",IFERROR(VLOOKUP(L1325,mapGrupoStatus,2,0),"Outros"))</f>
        <v/>
      </c>
      <c r="N1325">
        <f>IF(O1325="","",IF(O1325&lt;=30,"0-30 dias",IF(O1325&lt;=60,"31-60 dias",IF(O1325&lt;=90,"61-90 dias","Mais de 90 dias"))))</f>
        <v/>
      </c>
      <c r="O1325">
        <f>IF(OR(M1325="Pendente",M1325="Em andamento"),IF(J1325="","",TODAY()-J1325),"")</f>
        <v/>
      </c>
      <c r="P1325" t="n">
        <v>12724</v>
      </c>
      <c r="Q1325" t="inlineStr">
        <is>
          <t>Cool Service &amp; Cia (12724)</t>
        </is>
      </c>
      <c r="R1325" t="inlineStr">
        <is>
          <t>PC-0043</t>
        </is>
      </c>
      <c r="S1325" t="inlineStr">
        <is>
          <t>Bico dosador modelo 02</t>
        </is>
      </c>
      <c r="T1325" t="n">
        <v>1</v>
      </c>
      <c r="U1325" t="n">
        <v>166</v>
      </c>
      <c r="V1325">
        <f>IF(J1325="","",MONTH(J1325))</f>
        <v/>
      </c>
      <c r="W1325">
        <f>IF(J1325="","",YEAR(J1325))</f>
        <v/>
      </c>
      <c r="X1325" t="inlineStr">
        <is>
          <t>TransNorte</t>
        </is>
      </c>
      <c r="Y1325">
        <f>IFERROR(INDEX(Rastreio!$H$2:$H$200,MATCH(X1325&amp;"|"&amp;U1325,Rastreio!$A$2:$A$200,0)),"")</f>
        <v/>
      </c>
    </row>
    <row r="1326">
      <c r="A1326">
        <f>IFERROR(INDEX(STAs!$G$2:$G$61,MATCH(P1326,STAs!$F$2:$F$61,0))&amp;"","")</f>
        <v/>
      </c>
      <c r="B1326" t="n">
        <v>20038536</v>
      </c>
      <c r="C1326" t="inlineStr">
        <is>
          <t>Não</t>
        </is>
      </c>
      <c r="D1326" t="inlineStr">
        <is>
          <t>BA</t>
        </is>
      </c>
      <c r="E1326" t="inlineStr">
        <is>
          <t>NORDESTE</t>
        </is>
      </c>
      <c r="F1326" t="inlineStr">
        <is>
          <t>Cliente A - Refrigerador</t>
        </is>
      </c>
      <c r="G1326" t="inlineStr">
        <is>
          <t>Misturadores</t>
        </is>
      </c>
      <c r="H1326" s="10" t="n">
        <v>255</v>
      </c>
      <c r="I1326" s="10">
        <f>IFERROR(T1326*H1326,0)</f>
        <v/>
      </c>
      <c r="J1326" s="11" t="n">
        <v>46144</v>
      </c>
      <c r="K1326" s="11" t="n">
        <v>46169</v>
      </c>
      <c r="L1326" t="inlineStr">
        <is>
          <t>Ok. Devolvida</t>
        </is>
      </c>
      <c r="M1326">
        <f>IF(L1326="","",IFERROR(VLOOKUP(L1326,mapGrupoStatus,2,0),"Outros"))</f>
        <v/>
      </c>
      <c r="N1326">
        <f>IF(O1326="","",IF(O1326&lt;=30,"0-30 dias",IF(O1326&lt;=60,"31-60 dias",IF(O1326&lt;=90,"61-90 dias","Mais de 90 dias"))))</f>
        <v/>
      </c>
      <c r="O1326">
        <f>IF(OR(M1326="Pendente",M1326="Em andamento"),IF(J1326="","",TODAY()-J1326),"")</f>
        <v/>
      </c>
      <c r="P1326" t="n">
        <v>11538</v>
      </c>
      <c r="Q1326" t="inlineStr">
        <is>
          <t>Clima Manutenção (11538)</t>
        </is>
      </c>
      <c r="R1326" t="inlineStr">
        <is>
          <t>PC-0039</t>
        </is>
      </c>
      <c r="S1326" t="inlineStr">
        <is>
          <t>Bomba de recirculação modelo 03</t>
        </is>
      </c>
      <c r="T1326" t="n">
        <v>1</v>
      </c>
      <c r="U1326" t="n">
        <v>170</v>
      </c>
      <c r="V1326">
        <f>IF(J1326="","",MONTH(J1326))</f>
        <v/>
      </c>
      <c r="W1326">
        <f>IF(J1326="","",YEAR(J1326))</f>
        <v/>
      </c>
      <c r="X1326" t="inlineStr">
        <is>
          <t>LogExpress</t>
        </is>
      </c>
      <c r="Y1326">
        <f>IFERROR(INDEX(Rastreio!$H$2:$H$200,MATCH(X1326&amp;"|"&amp;U1326,Rastreio!$A$2:$A$200,0)),"")</f>
        <v/>
      </c>
    </row>
    <row r="1327">
      <c r="A1327">
        <f>IFERROR(INDEX(STAs!$G$2:$G$61,MATCH(P1327,STAs!$F$2:$F$61,0))&amp;"","")</f>
        <v/>
      </c>
      <c r="B1327" t="n">
        <v>20007491</v>
      </c>
      <c r="C1327" t="inlineStr">
        <is>
          <t>Não</t>
        </is>
      </c>
      <c r="D1327" t="inlineStr">
        <is>
          <t>RJ</t>
        </is>
      </c>
      <c r="E1327" t="inlineStr">
        <is>
          <t>SUDESTE RJ e ES</t>
        </is>
      </c>
      <c r="F1327" t="inlineStr">
        <is>
          <t>Cliente B - Chopeira</t>
        </is>
      </c>
      <c r="G1327" t="inlineStr">
        <is>
          <t>Refrigeradores</t>
        </is>
      </c>
      <c r="H1327" s="10" t="n">
        <v>315</v>
      </c>
      <c r="I1327" s="10">
        <f>IFERROR(T1327*H1327,0)</f>
        <v/>
      </c>
      <c r="J1327" s="11" t="n">
        <v>46145</v>
      </c>
      <c r="K1327" s="11" t="n">
        <v>46189</v>
      </c>
      <c r="L1327" t="inlineStr">
        <is>
          <t>Ok. Devolvida</t>
        </is>
      </c>
      <c r="M1327">
        <f>IF(L1327="","",IFERROR(VLOOKUP(L1327,mapGrupoStatus,2,0),"Outros"))</f>
        <v/>
      </c>
      <c r="N1327">
        <f>IF(O1327="","",IF(O1327&lt;=30,"0-30 dias",IF(O1327&lt;=60,"31-60 dias",IF(O1327&lt;=90,"61-90 dias","Mais de 90 dias"))))</f>
        <v/>
      </c>
      <c r="O1327">
        <f>IF(OR(M1327="Pendente",M1327="Em andamento"),IF(J1327="","",TODAY()-J1327),"")</f>
        <v/>
      </c>
      <c r="P1327" t="n">
        <v>10676</v>
      </c>
      <c r="Q1327" t="inlineStr">
        <is>
          <t>Clima Serviços (10676)</t>
        </is>
      </c>
      <c r="R1327" t="inlineStr">
        <is>
          <t>PC-0002</t>
        </is>
      </c>
      <c r="S1327" t="inlineStr">
        <is>
          <t>Compressor modelo 02</t>
        </is>
      </c>
      <c r="T1327" t="n">
        <v>1</v>
      </c>
      <c r="U1327" t="n">
        <v>111</v>
      </c>
      <c r="V1327">
        <f>IF(J1327="","",MONTH(J1327))</f>
        <v/>
      </c>
      <c r="W1327">
        <f>IF(J1327="","",YEAR(J1327))</f>
        <v/>
      </c>
      <c r="X1327" t="inlineStr">
        <is>
          <t>TransNorte</t>
        </is>
      </c>
      <c r="Y1327">
        <f>IFERROR(INDEX(Rastreio!$H$2:$H$200,MATCH(X1327&amp;"|"&amp;U1327,Rastreio!$A$2:$A$200,0)),"")</f>
        <v/>
      </c>
    </row>
    <row r="1328">
      <c r="A1328">
        <f>IFERROR(INDEX(STAs!$G$2:$G$61,MATCH(P1328,STAs!$F$2:$F$61,0))&amp;"","")</f>
        <v/>
      </c>
      <c r="B1328" t="n">
        <v>20011716</v>
      </c>
      <c r="C1328" t="inlineStr">
        <is>
          <t>Não</t>
        </is>
      </c>
      <c r="D1328" t="inlineStr">
        <is>
          <t>SP</t>
        </is>
      </c>
      <c r="E1328" t="inlineStr">
        <is>
          <t>SUDESTE SP</t>
        </is>
      </c>
      <c r="F1328" t="inlineStr">
        <is>
          <t>Cliente C - Misturador</t>
        </is>
      </c>
      <c r="G1328" t="inlineStr">
        <is>
          <t>Refrigeradores</t>
        </is>
      </c>
      <c r="H1328" s="10" t="n">
        <v>325</v>
      </c>
      <c r="I1328" s="10">
        <f>IFERROR(T1328*H1328,0)</f>
        <v/>
      </c>
      <c r="J1328" s="11" t="n">
        <v>46145</v>
      </c>
      <c r="K1328" s="11" t="n">
        <v>46199</v>
      </c>
      <c r="L1328" t="inlineStr">
        <is>
          <t>Ok. Devolvida</t>
        </is>
      </c>
      <c r="M1328">
        <f>IF(L1328="","",IFERROR(VLOOKUP(L1328,mapGrupoStatus,2,0),"Outros"))</f>
        <v/>
      </c>
      <c r="N1328">
        <f>IF(O1328="","",IF(O1328&lt;=30,"0-30 dias",IF(O1328&lt;=60,"31-60 dias",IF(O1328&lt;=90,"61-90 dias","Mais de 90 dias"))))</f>
        <v/>
      </c>
      <c r="O1328">
        <f>IF(OR(M1328="Pendente",M1328="Em andamento"),IF(J1328="","",TODAY()-J1328),"")</f>
        <v/>
      </c>
      <c r="P1328" t="n">
        <v>11710</v>
      </c>
      <c r="Q1328" t="inlineStr">
        <is>
          <t>Brisa &amp; Cia (11710)</t>
        </is>
      </c>
      <c r="R1328" t="inlineStr">
        <is>
          <t>PC-0001</t>
        </is>
      </c>
      <c r="S1328" t="inlineStr">
        <is>
          <t>Compressor modelo 01</t>
        </is>
      </c>
      <c r="T1328" t="n">
        <v>1</v>
      </c>
      <c r="U1328" t="n">
        <v>119</v>
      </c>
      <c r="V1328">
        <f>IF(J1328="","",MONTH(J1328))</f>
        <v/>
      </c>
      <c r="W1328">
        <f>IF(J1328="","",YEAR(J1328))</f>
        <v/>
      </c>
      <c r="X1328" t="inlineStr">
        <is>
          <t>RotaSul</t>
        </is>
      </c>
      <c r="Y1328">
        <f>IFERROR(INDEX(Rastreio!$H$2:$H$200,MATCH(X1328&amp;"|"&amp;U1328,Rastreio!$A$2:$A$200,0)),"")</f>
        <v/>
      </c>
    </row>
    <row r="1329">
      <c r="A1329">
        <f>IFERROR(INDEX(STAs!$G$2:$G$61,MATCH(P1329,STAs!$F$2:$F$61,0))&amp;"","")</f>
        <v/>
      </c>
      <c r="B1329" t="n">
        <v>20022729</v>
      </c>
      <c r="C1329" t="inlineStr">
        <is>
          <t>Não</t>
        </is>
      </c>
      <c r="D1329" t="inlineStr">
        <is>
          <t>DF</t>
        </is>
      </c>
      <c r="E1329" t="inlineStr">
        <is>
          <t>CENTRO OESTE</t>
        </is>
      </c>
      <c r="F1329" t="inlineStr">
        <is>
          <t>Cliente B - Chopeira</t>
        </is>
      </c>
      <c r="G1329" t="inlineStr">
        <is>
          <t>Misturadores</t>
        </is>
      </c>
      <c r="H1329" s="10" t="n">
        <v>265</v>
      </c>
      <c r="I1329" s="10">
        <f>IFERROR(T1329*H1329,0)</f>
        <v/>
      </c>
      <c r="J1329" s="11" t="n">
        <v>46145</v>
      </c>
      <c r="K1329" s="11" t="n">
        <v>46198</v>
      </c>
      <c r="L1329" t="inlineStr">
        <is>
          <t>Ok. Devolvida</t>
        </is>
      </c>
      <c r="M1329">
        <f>IF(L1329="","",IFERROR(VLOOKUP(L1329,mapGrupoStatus,2,0),"Outros"))</f>
        <v/>
      </c>
      <c r="N1329">
        <f>IF(O1329="","",IF(O1329&lt;=30,"0-30 dias",IF(O1329&lt;=60,"31-60 dias",IF(O1329&lt;=90,"61-90 dias","Mais de 90 dias"))))</f>
        <v/>
      </c>
      <c r="O1329">
        <f>IF(OR(M1329="Pendente",M1329="Em andamento"),IF(J1329="","",TODAY()-J1329),"")</f>
        <v/>
      </c>
      <c r="P1329" t="n">
        <v>10021</v>
      </c>
      <c r="Q1329" t="inlineStr">
        <is>
          <t>Termotec Técnica (10021)</t>
        </is>
      </c>
      <c r="R1329" t="inlineStr">
        <is>
          <t>PC-0038</t>
        </is>
      </c>
      <c r="S1329" t="inlineStr">
        <is>
          <t>Bomba de recirculação modelo 02</t>
        </is>
      </c>
      <c r="T1329" t="n">
        <v>1</v>
      </c>
      <c r="U1329" t="n">
        <v>140</v>
      </c>
      <c r="V1329">
        <f>IF(J1329="","",MONTH(J1329))</f>
        <v/>
      </c>
      <c r="W1329">
        <f>IF(J1329="","",YEAR(J1329))</f>
        <v/>
      </c>
      <c r="X1329" t="inlineStr">
        <is>
          <t>LogExpress</t>
        </is>
      </c>
      <c r="Y1329">
        <f>IFERROR(INDEX(Rastreio!$H$2:$H$200,MATCH(X1329&amp;"|"&amp;U1329,Rastreio!$A$2:$A$200,0)),"")</f>
        <v/>
      </c>
    </row>
    <row r="1330">
      <c r="A1330">
        <f>IFERROR(INDEX(STAs!$G$2:$G$61,MATCH(P1330,STAs!$F$2:$F$61,0))&amp;"","")</f>
        <v/>
      </c>
      <c r="B1330" t="n">
        <v>20025145</v>
      </c>
      <c r="C1330" t="inlineStr">
        <is>
          <t>Não</t>
        </is>
      </c>
      <c r="D1330" t="inlineStr">
        <is>
          <t>AP</t>
        </is>
      </c>
      <c r="E1330" t="inlineStr">
        <is>
          <t>NORTE</t>
        </is>
      </c>
      <c r="F1330" t="inlineStr">
        <is>
          <t>Cliente B - Chopeira</t>
        </is>
      </c>
      <c r="G1330" t="inlineStr">
        <is>
          <t>Refrigeradores</t>
        </is>
      </c>
      <c r="H1330" s="10" t="n">
        <v>40</v>
      </c>
      <c r="I1330" s="10">
        <f>IFERROR(T1330*H1330,0)</f>
        <v/>
      </c>
      <c r="J1330" s="11" t="n">
        <v>46145</v>
      </c>
      <c r="K1330" s="11" t="n">
        <v>46202</v>
      </c>
      <c r="L1330" t="inlineStr">
        <is>
          <t>Ok. Devolvida</t>
        </is>
      </c>
      <c r="M1330">
        <f>IF(L1330="","",IFERROR(VLOOKUP(L1330,mapGrupoStatus,2,0),"Outros"))</f>
        <v/>
      </c>
      <c r="N1330">
        <f>IF(O1330="","",IF(O1330&lt;=30,"0-30 dias",IF(O1330&lt;=60,"31-60 dias",IF(O1330&lt;=90,"61-90 dias","Mais de 90 dias"))))</f>
        <v/>
      </c>
      <c r="O1330">
        <f>IF(OR(M1330="Pendente",M1330="Em andamento"),IF(J1330="","",TODAY()-J1330),"")</f>
        <v/>
      </c>
      <c r="P1330" t="n">
        <v>11859</v>
      </c>
      <c r="Q1330" t="inlineStr">
        <is>
          <t>Ice Tech Serviços (11859)</t>
        </is>
      </c>
      <c r="R1330" t="inlineStr">
        <is>
          <t>PC-0005</t>
        </is>
      </c>
      <c r="S1330" t="inlineStr">
        <is>
          <t>Termostato modelo 02</t>
        </is>
      </c>
      <c r="T1330" t="n">
        <v>1</v>
      </c>
      <c r="U1330" t="n">
        <v>145</v>
      </c>
      <c r="V1330">
        <f>IF(J1330="","",MONTH(J1330))</f>
        <v/>
      </c>
      <c r="W1330">
        <f>IF(J1330="","",YEAR(J1330))</f>
        <v/>
      </c>
      <c r="X1330" t="inlineStr">
        <is>
          <t>RotaSul</t>
        </is>
      </c>
      <c r="Y1330">
        <f>IFERROR(INDEX(Rastreio!$H$2:$H$200,MATCH(X1330&amp;"|"&amp;U1330,Rastreio!$A$2:$A$200,0)),"")</f>
        <v/>
      </c>
    </row>
    <row r="1331">
      <c r="A1331">
        <f>IFERROR(INDEX(STAs!$G$2:$G$61,MATCH(P1331,STAs!$F$2:$F$61,0))&amp;"","")</f>
        <v/>
      </c>
      <c r="B1331" t="n">
        <v>20032384</v>
      </c>
      <c r="C1331" t="inlineStr">
        <is>
          <t>Não</t>
        </is>
      </c>
      <c r="D1331" t="inlineStr">
        <is>
          <t>PA</t>
        </is>
      </c>
      <c r="E1331" t="inlineStr">
        <is>
          <t>NORTE</t>
        </is>
      </c>
      <c r="F1331" t="inlineStr">
        <is>
          <t>Cliente A - Refrigerador</t>
        </is>
      </c>
      <c r="G1331" t="inlineStr">
        <is>
          <t>Refrigeradores</t>
        </is>
      </c>
      <c r="H1331" s="10" t="n">
        <v>40</v>
      </c>
      <c r="I1331" s="10">
        <f>IFERROR(T1331*H1331,0)</f>
        <v/>
      </c>
      <c r="J1331" s="11" t="n">
        <v>46145</v>
      </c>
      <c r="K1331" s="11" t="n"/>
      <c r="L1331" t="inlineStr">
        <is>
          <t>Não Devolve-Norte</t>
        </is>
      </c>
      <c r="M1331">
        <f>IF(L1331="","",IFERROR(VLOOKUP(L1331,mapGrupoStatus,2,0),"Outros"))</f>
        <v/>
      </c>
      <c r="N1331">
        <f>IF(O1331="","",IF(O1331&lt;=30,"0-30 dias",IF(O1331&lt;=60,"31-60 dias",IF(O1331&lt;=90,"61-90 dias","Mais de 90 dias"))))</f>
        <v/>
      </c>
      <c r="O1331">
        <f>IF(OR(M1331="Pendente",M1331="Em andamento"),IF(J1331="","",TODAY()-J1331),"")</f>
        <v/>
      </c>
      <c r="P1331" t="n">
        <v>11986</v>
      </c>
      <c r="Q1331" t="inlineStr">
        <is>
          <t>Polar Serviços (11986)</t>
        </is>
      </c>
      <c r="R1331" t="inlineStr">
        <is>
          <t>PC-0005</t>
        </is>
      </c>
      <c r="S1331" t="inlineStr">
        <is>
          <t>Termostato modelo 02</t>
        </is>
      </c>
      <c r="T1331" t="n">
        <v>1</v>
      </c>
      <c r="U1331" t="inlineStr"/>
      <c r="V1331">
        <f>IF(J1331="","",MONTH(J1331))</f>
        <v/>
      </c>
      <c r="W1331">
        <f>IF(J1331="","",YEAR(J1331))</f>
        <v/>
      </c>
      <c r="X1331" t="inlineStr"/>
      <c r="Y1331">
        <f>IFERROR(INDEX(Rastreio!$H$2:$H$200,MATCH(X1331&amp;"|"&amp;U1331,Rastreio!$A$2:$A$200,0)),"")</f>
        <v/>
      </c>
    </row>
    <row r="1332">
      <c r="A1332">
        <f>IFERROR(INDEX(STAs!$G$2:$G$61,MATCH(P1332,STAs!$F$2:$F$61,0))&amp;"","")</f>
        <v/>
      </c>
      <c r="B1332" t="n">
        <v>20033249</v>
      </c>
      <c r="C1332" t="inlineStr">
        <is>
          <t>Não</t>
        </is>
      </c>
      <c r="D1332" t="inlineStr">
        <is>
          <t>RR</t>
        </is>
      </c>
      <c r="E1332" t="inlineStr">
        <is>
          <t>NORTE</t>
        </is>
      </c>
      <c r="F1332" t="inlineStr">
        <is>
          <t>Cliente B - Chopeira</t>
        </is>
      </c>
      <c r="G1332" t="inlineStr">
        <is>
          <t>Chopeiras</t>
        </is>
      </c>
      <c r="H1332" s="10" t="n">
        <v>115</v>
      </c>
      <c r="I1332" s="10">
        <f>IFERROR(T1332*H1332,0)</f>
        <v/>
      </c>
      <c r="J1332" s="11" t="n">
        <v>46145</v>
      </c>
      <c r="K1332" s="11" t="n"/>
      <c r="L1332" t="inlineStr">
        <is>
          <t>Não Devolve-Norte</t>
        </is>
      </c>
      <c r="M1332">
        <f>IF(L1332="","",IFERROR(VLOOKUP(L1332,mapGrupoStatus,2,0),"Outros"))</f>
        <v/>
      </c>
      <c r="N1332">
        <f>IF(O1332="","",IF(O1332&lt;=30,"0-30 dias",IF(O1332&lt;=60,"31-60 dias",IF(O1332&lt;=90,"61-90 dias","Mais de 90 dias"))))</f>
        <v/>
      </c>
      <c r="O1332">
        <f>IF(OR(M1332="Pendente",M1332="Em andamento"),IF(J1332="","",TODAY()-J1332),"")</f>
        <v/>
      </c>
      <c r="P1332" t="n">
        <v>12422</v>
      </c>
      <c r="Q1332" t="inlineStr">
        <is>
          <t>Assistência Técnica Refrigeração (12422)</t>
        </is>
      </c>
      <c r="R1332" t="inlineStr">
        <is>
          <t>PC-0033</t>
        </is>
      </c>
      <c r="S1332" t="inlineStr">
        <is>
          <t>Regulador de pressão modelo 02</t>
        </is>
      </c>
      <c r="T1332" t="n">
        <v>1</v>
      </c>
      <c r="U1332" t="inlineStr"/>
      <c r="V1332">
        <f>IF(J1332="","",MONTH(J1332))</f>
        <v/>
      </c>
      <c r="W1332">
        <f>IF(J1332="","",YEAR(J1332))</f>
        <v/>
      </c>
      <c r="X1332" t="inlineStr"/>
      <c r="Y1332">
        <f>IFERROR(INDEX(Rastreio!$H$2:$H$200,MATCH(X1332&amp;"|"&amp;U1332,Rastreio!$A$2:$A$200,0)),"")</f>
        <v/>
      </c>
    </row>
    <row r="1333">
      <c r="A1333">
        <f>IFERROR(INDEX(STAs!$G$2:$G$61,MATCH(P1333,STAs!$F$2:$F$61,0))&amp;"","")</f>
        <v/>
      </c>
      <c r="B1333" t="n">
        <v>20033468</v>
      </c>
      <c r="C1333" t="inlineStr">
        <is>
          <t>Não</t>
        </is>
      </c>
      <c r="D1333" t="inlineStr">
        <is>
          <t>PR</t>
        </is>
      </c>
      <c r="E1333" t="inlineStr">
        <is>
          <t>SUL</t>
        </is>
      </c>
      <c r="F1333" t="inlineStr">
        <is>
          <t>Cliente A - Refrigerador</t>
        </is>
      </c>
      <c r="G1333" t="inlineStr">
        <is>
          <t>Misturadores</t>
        </is>
      </c>
      <c r="H1333" s="10" t="n">
        <v>35</v>
      </c>
      <c r="I1333" s="10">
        <f>IFERROR(T1333*H1333,0)</f>
        <v/>
      </c>
      <c r="J1333" s="11" t="n">
        <v>46145</v>
      </c>
      <c r="K1333" s="11" t="n">
        <v>46203</v>
      </c>
      <c r="L1333" t="inlineStr">
        <is>
          <t>Ok. Devolvida</t>
        </is>
      </c>
      <c r="M1333">
        <f>IF(L1333="","",IFERROR(VLOOKUP(L1333,mapGrupoStatus,2,0),"Outros"))</f>
        <v/>
      </c>
      <c r="N1333">
        <f>IF(O1333="","",IF(O1333&lt;=30,"0-30 dias",IF(O1333&lt;=60,"31-60 dias",IF(O1333&lt;=90,"61-90 dias","Mais de 90 dias"))))</f>
        <v/>
      </c>
      <c r="O1333">
        <f>IF(OR(M1333="Pendente",M1333="Em andamento"),IF(J1333="","",TODAY()-J1333),"")</f>
        <v/>
      </c>
      <c r="P1333" t="n">
        <v>11898</v>
      </c>
      <c r="Q1333" t="inlineStr">
        <is>
          <t>Refrigel Express (11898)</t>
        </is>
      </c>
      <c r="R1333" t="inlineStr">
        <is>
          <t>PC-0043</t>
        </is>
      </c>
      <c r="S1333" t="inlineStr">
        <is>
          <t>Bico dosador modelo 02</t>
        </is>
      </c>
      <c r="T1333" t="n">
        <v>1</v>
      </c>
      <c r="U1333" t="n">
        <v>157</v>
      </c>
      <c r="V1333">
        <f>IF(J1333="","",MONTH(J1333))</f>
        <v/>
      </c>
      <c r="W1333">
        <f>IF(J1333="","",YEAR(J1333))</f>
        <v/>
      </c>
      <c r="X1333" t="inlineStr">
        <is>
          <t>CargoMax</t>
        </is>
      </c>
      <c r="Y1333">
        <f>IFERROR(INDEX(Rastreio!$H$2:$H$200,MATCH(X1333&amp;"|"&amp;U1333,Rastreio!$A$2:$A$200,0)),"")</f>
        <v/>
      </c>
    </row>
    <row r="1334">
      <c r="A1334">
        <f>IFERROR(INDEX(STAs!$G$2:$G$61,MATCH(P1334,STAs!$F$2:$F$61,0))&amp;"","")</f>
        <v/>
      </c>
      <c r="B1334" t="n">
        <v>20039354</v>
      </c>
      <c r="C1334" t="inlineStr">
        <is>
          <t>Não</t>
        </is>
      </c>
      <c r="D1334" t="inlineStr">
        <is>
          <t>ES</t>
        </is>
      </c>
      <c r="E1334" t="inlineStr">
        <is>
          <t>SUDESTE RJ e ES</t>
        </is>
      </c>
      <c r="F1334" t="inlineStr">
        <is>
          <t>Cliente B - Chopeira</t>
        </is>
      </c>
      <c r="G1334" t="inlineStr">
        <is>
          <t>Chopeiras</t>
        </is>
      </c>
      <c r="H1334" s="10" t="n">
        <v>115</v>
      </c>
      <c r="I1334" s="10">
        <f>IFERROR(T1334*H1334,0)</f>
        <v/>
      </c>
      <c r="J1334" s="11" t="n">
        <v>46145</v>
      </c>
      <c r="K1334" s="11" t="n">
        <v>46205</v>
      </c>
      <c r="L1334" t="inlineStr">
        <is>
          <t>Ok. Devolvida</t>
        </is>
      </c>
      <c r="M1334">
        <f>IF(L1334="","",IFERROR(VLOOKUP(L1334,mapGrupoStatus,2,0),"Outros"))</f>
        <v/>
      </c>
      <c r="N1334">
        <f>IF(O1334="","",IF(O1334&lt;=30,"0-30 dias",IF(O1334&lt;=60,"31-60 dias",IF(O1334&lt;=90,"61-90 dias","Mais de 90 dias"))))</f>
        <v/>
      </c>
      <c r="O1334">
        <f>IF(OR(M1334="Pendente",M1334="Em andamento"),IF(J1334="","",TODAY()-J1334),"")</f>
        <v/>
      </c>
      <c r="P1334" t="n">
        <v>11162</v>
      </c>
      <c r="Q1334" t="inlineStr">
        <is>
          <t>Ártico Refrigeração (11162)</t>
        </is>
      </c>
      <c r="R1334" t="inlineStr">
        <is>
          <t>PC-0033</t>
        </is>
      </c>
      <c r="S1334" t="inlineStr">
        <is>
          <t>Regulador de pressão modelo 02</t>
        </is>
      </c>
      <c r="T1334" t="n">
        <v>1</v>
      </c>
      <c r="U1334" t="n">
        <v>173</v>
      </c>
      <c r="V1334">
        <f>IF(J1334="","",MONTH(J1334))</f>
        <v/>
      </c>
      <c r="W1334">
        <f>IF(J1334="","",YEAR(J1334))</f>
        <v/>
      </c>
      <c r="X1334" t="inlineStr">
        <is>
          <t>RotaSul</t>
        </is>
      </c>
      <c r="Y1334">
        <f>IFERROR(INDEX(Rastreio!$H$2:$H$200,MATCH(X1334&amp;"|"&amp;U1334,Rastreio!$A$2:$A$200,0)),"")</f>
        <v/>
      </c>
    </row>
    <row r="1335">
      <c r="A1335">
        <f>IFERROR(INDEX(STAs!$G$2:$G$61,MATCH(P1335,STAs!$F$2:$F$61,0))&amp;"","")</f>
        <v/>
      </c>
      <c r="B1335" t="n">
        <v>20004829</v>
      </c>
      <c r="C1335" t="inlineStr">
        <is>
          <t>Não</t>
        </is>
      </c>
      <c r="D1335" t="inlineStr">
        <is>
          <t>PI</t>
        </is>
      </c>
      <c r="E1335" t="inlineStr">
        <is>
          <t>NORDESTE</t>
        </is>
      </c>
      <c r="F1335" t="inlineStr">
        <is>
          <t>Cliente C - Misturador</t>
        </is>
      </c>
      <c r="G1335" t="inlineStr">
        <is>
          <t>Misturadores</t>
        </is>
      </c>
      <c r="H1335" s="10" t="n">
        <v>60</v>
      </c>
      <c r="I1335" s="10">
        <f>IFERROR(T1335*H1335,0)</f>
        <v/>
      </c>
      <c r="J1335" s="11" t="n">
        <v>46146</v>
      </c>
      <c r="K1335" s="11" t="n"/>
      <c r="L1335" t="inlineStr">
        <is>
          <t>Debitar do STA</t>
        </is>
      </c>
      <c r="M1335">
        <f>IF(L1335="","",IFERROR(VLOOKUP(L1335,mapGrupoStatus,2,0),"Outros"))</f>
        <v/>
      </c>
      <c r="N1335">
        <f>IF(O1335="","",IF(O1335&lt;=30,"0-30 dias",IF(O1335&lt;=60,"31-60 dias",IF(O1335&lt;=90,"61-90 dias","Mais de 90 dias"))))</f>
        <v/>
      </c>
      <c r="O1335">
        <f>IF(OR(M1335="Pendente",M1335="Em andamento"),IF(J1335="","",TODAY()-J1335),"")</f>
        <v/>
      </c>
      <c r="P1335" t="n">
        <v>10562</v>
      </c>
      <c r="Q1335" t="inlineStr">
        <is>
          <t>Clima &amp; Cia (10562)</t>
        </is>
      </c>
      <c r="R1335" t="inlineStr">
        <is>
          <t>PC-0048</t>
        </is>
      </c>
      <c r="S1335" t="inlineStr">
        <is>
          <t>Sensor de nível modelo 04</t>
        </is>
      </c>
      <c r="T1335" t="n">
        <v>1</v>
      </c>
      <c r="U1335" t="inlineStr"/>
      <c r="V1335">
        <f>IF(J1335="","",MONTH(J1335))</f>
        <v/>
      </c>
      <c r="W1335">
        <f>IF(J1335="","",YEAR(J1335))</f>
        <v/>
      </c>
      <c r="X1335" t="inlineStr"/>
      <c r="Y1335">
        <f>IFERROR(INDEX(Rastreio!$H$2:$H$200,MATCH(X1335&amp;"|"&amp;U1335,Rastreio!$A$2:$A$200,0)),"")</f>
        <v/>
      </c>
    </row>
    <row r="1336">
      <c r="A1336">
        <f>IFERROR(INDEX(STAs!$G$2:$G$61,MATCH(P1336,STAs!$F$2:$F$61,0))&amp;"","")</f>
        <v/>
      </c>
      <c r="B1336" t="n">
        <v>20010160</v>
      </c>
      <c r="C1336" t="inlineStr">
        <is>
          <t>Não</t>
        </is>
      </c>
      <c r="D1336" t="inlineStr">
        <is>
          <t>BA</t>
        </is>
      </c>
      <c r="E1336" t="inlineStr">
        <is>
          <t>NORDESTE</t>
        </is>
      </c>
      <c r="F1336" t="inlineStr">
        <is>
          <t>Cliente A - Refrigerador</t>
        </is>
      </c>
      <c r="G1336" t="inlineStr">
        <is>
          <t>Refrigeradores</t>
        </is>
      </c>
      <c r="H1336" s="10" t="n">
        <v>70</v>
      </c>
      <c r="I1336" s="10">
        <f>IFERROR(T1336*H1336,0)</f>
        <v/>
      </c>
      <c r="J1336" s="11" t="n">
        <v>46146</v>
      </c>
      <c r="K1336" s="11" t="n">
        <v>46173</v>
      </c>
      <c r="L1336" t="inlineStr">
        <is>
          <t>Ok. Devolvida</t>
        </is>
      </c>
      <c r="M1336">
        <f>IF(L1336="","",IFERROR(VLOOKUP(L1336,mapGrupoStatus,2,0),"Outros"))</f>
        <v/>
      </c>
      <c r="N1336">
        <f>IF(O1336="","",IF(O1336&lt;=30,"0-30 dias",IF(O1336&lt;=60,"31-60 dias",IF(O1336&lt;=90,"61-90 dias","Mais de 90 dias"))))</f>
        <v/>
      </c>
      <c r="O1336">
        <f>IF(OR(M1336="Pendente",M1336="Em andamento"),IF(J1336="","",TODAY()-J1336),"")</f>
        <v/>
      </c>
      <c r="P1336" t="n">
        <v>11244</v>
      </c>
      <c r="Q1336" t="inlineStr">
        <is>
          <t>Refrigeração Manutenção (11244)</t>
        </is>
      </c>
      <c r="R1336" t="inlineStr">
        <is>
          <t>PC-0009</t>
        </is>
      </c>
      <c r="S1336" t="inlineStr">
        <is>
          <t>Ventilador modelo 03</t>
        </is>
      </c>
      <c r="T1336" t="n">
        <v>1</v>
      </c>
      <c r="U1336" t="n">
        <v>123</v>
      </c>
      <c r="V1336">
        <f>IF(J1336="","",MONTH(J1336))</f>
        <v/>
      </c>
      <c r="W1336">
        <f>IF(J1336="","",YEAR(J1336))</f>
        <v/>
      </c>
      <c r="X1336" t="inlineStr">
        <is>
          <t>ViaCargo</t>
        </is>
      </c>
      <c r="Y1336">
        <f>IFERROR(INDEX(Rastreio!$H$2:$H$200,MATCH(X1336&amp;"|"&amp;U1336,Rastreio!$A$2:$A$200,0)),"")</f>
        <v/>
      </c>
    </row>
    <row r="1337">
      <c r="A1337">
        <f>IFERROR(INDEX(STAs!$G$2:$G$61,MATCH(P1337,STAs!$F$2:$F$61,0))&amp;"","")</f>
        <v/>
      </c>
      <c r="B1337" t="n">
        <v>20024100</v>
      </c>
      <c r="C1337" t="inlineStr">
        <is>
          <t>Não</t>
        </is>
      </c>
      <c r="D1337" t="inlineStr">
        <is>
          <t>PR</t>
        </is>
      </c>
      <c r="E1337" t="inlineStr">
        <is>
          <t>SUL</t>
        </is>
      </c>
      <c r="F1337" t="inlineStr">
        <is>
          <t>Cliente B - Chopeira</t>
        </is>
      </c>
      <c r="G1337" t="inlineStr">
        <is>
          <t>Misturadores</t>
        </is>
      </c>
      <c r="H1337" s="10" t="n">
        <v>35</v>
      </c>
      <c r="I1337" s="10">
        <f>IFERROR(T1337*H1337,0)</f>
        <v/>
      </c>
      <c r="J1337" s="11" t="n">
        <v>46146</v>
      </c>
      <c r="K1337" s="11" t="n"/>
      <c r="L1337" t="inlineStr">
        <is>
          <t>Debitar do STA</t>
        </is>
      </c>
      <c r="M1337">
        <f>IF(L1337="","",IFERROR(VLOOKUP(L1337,mapGrupoStatus,2,0),"Outros"))</f>
        <v/>
      </c>
      <c r="N1337">
        <f>IF(O1337="","",IF(O1337&lt;=30,"0-30 dias",IF(O1337&lt;=60,"31-60 dias",IF(O1337&lt;=90,"61-90 dias","Mais de 90 dias"))))</f>
        <v/>
      </c>
      <c r="O1337">
        <f>IF(OR(M1337="Pendente",M1337="Em andamento"),IF(J1337="","",TODAY()-J1337),"")</f>
        <v/>
      </c>
      <c r="P1337" t="n">
        <v>10504</v>
      </c>
      <c r="Q1337" t="inlineStr">
        <is>
          <t>Zero Grau Ltda (10504)</t>
        </is>
      </c>
      <c r="R1337" t="inlineStr">
        <is>
          <t>PC-0043</t>
        </is>
      </c>
      <c r="S1337" t="inlineStr">
        <is>
          <t>Bico dosador modelo 02</t>
        </is>
      </c>
      <c r="T1337" t="n">
        <v>1</v>
      </c>
      <c r="U1337" t="inlineStr"/>
      <c r="V1337">
        <f>IF(J1337="","",MONTH(J1337))</f>
        <v/>
      </c>
      <c r="W1337">
        <f>IF(J1337="","",YEAR(J1337))</f>
        <v/>
      </c>
      <c r="X1337" t="inlineStr"/>
      <c r="Y1337">
        <f>IFERROR(INDEX(Rastreio!$H$2:$H$200,MATCH(X1337&amp;"|"&amp;U1337,Rastreio!$A$2:$A$200,0)),"")</f>
        <v/>
      </c>
    </row>
    <row r="1338">
      <c r="A1338">
        <f>IFERROR(INDEX(STAs!$G$2:$G$61,MATCH(P1338,STAs!$F$2:$F$61,0))&amp;"","")</f>
        <v/>
      </c>
      <c r="B1338" t="n">
        <v>20024675</v>
      </c>
      <c r="C1338" t="inlineStr">
        <is>
          <t>Não</t>
        </is>
      </c>
      <c r="D1338" t="inlineStr">
        <is>
          <t>ES</t>
        </is>
      </c>
      <c r="E1338" t="inlineStr">
        <is>
          <t>SUDESTE RJ e ES</t>
        </is>
      </c>
      <c r="F1338" t="inlineStr">
        <is>
          <t>Cliente A - Refrigerador</t>
        </is>
      </c>
      <c r="G1338" t="inlineStr">
        <is>
          <t>Refrigeradores</t>
        </is>
      </c>
      <c r="H1338" s="10" t="n">
        <v>35</v>
      </c>
      <c r="I1338" s="10">
        <f>IFERROR(T1338*H1338,0)</f>
        <v/>
      </c>
      <c r="J1338" s="11" t="n">
        <v>46146</v>
      </c>
      <c r="K1338" s="11" t="n">
        <v>46162</v>
      </c>
      <c r="L1338" t="inlineStr">
        <is>
          <t>Ok. Devolvida</t>
        </is>
      </c>
      <c r="M1338">
        <f>IF(L1338="","",IFERROR(VLOOKUP(L1338,mapGrupoStatus,2,0),"Outros"))</f>
        <v/>
      </c>
      <c r="N1338">
        <f>IF(O1338="","",IF(O1338&lt;=30,"0-30 dias",IF(O1338&lt;=60,"31-60 dias",IF(O1338&lt;=90,"61-90 dias","Mais de 90 dias"))))</f>
        <v/>
      </c>
      <c r="O1338">
        <f>IF(OR(M1338="Pendente",M1338="Em andamento"),IF(J1338="","",TODAY()-J1338),"")</f>
        <v/>
      </c>
      <c r="P1338" t="n">
        <v>11396</v>
      </c>
      <c r="Q1338" t="inlineStr">
        <is>
          <t>Frio Manutenção (11396)</t>
        </is>
      </c>
      <c r="R1338" t="inlineStr">
        <is>
          <t>PC-0024</t>
        </is>
      </c>
      <c r="S1338" t="inlineStr">
        <is>
          <t>Relé de partida modelo 02</t>
        </is>
      </c>
      <c r="T1338" t="n">
        <v>1</v>
      </c>
      <c r="U1338" t="n">
        <v>142</v>
      </c>
      <c r="V1338">
        <f>IF(J1338="","",MONTH(J1338))</f>
        <v/>
      </c>
      <c r="W1338">
        <f>IF(J1338="","",YEAR(J1338))</f>
        <v/>
      </c>
      <c r="X1338" t="inlineStr">
        <is>
          <t>RotaSul</t>
        </is>
      </c>
      <c r="Y1338">
        <f>IFERROR(INDEX(Rastreio!$H$2:$H$200,MATCH(X1338&amp;"|"&amp;U1338,Rastreio!$A$2:$A$200,0)),"")</f>
        <v/>
      </c>
    </row>
    <row r="1339">
      <c r="A1339">
        <f>IFERROR(INDEX(STAs!$G$2:$G$61,MATCH(P1339,STAs!$F$2:$F$61,0))&amp;"","")</f>
        <v/>
      </c>
      <c r="B1339" t="n">
        <v>20038191</v>
      </c>
      <c r="C1339" t="inlineStr">
        <is>
          <t>Não</t>
        </is>
      </c>
      <c r="D1339" t="inlineStr">
        <is>
          <t>ES</t>
        </is>
      </c>
      <c r="E1339" t="inlineStr">
        <is>
          <t>SUDESTE RJ e ES</t>
        </is>
      </c>
      <c r="F1339" t="inlineStr">
        <is>
          <t>Cliente C - Misturador</t>
        </is>
      </c>
      <c r="G1339" t="inlineStr">
        <is>
          <t>Refrigeradores</t>
        </is>
      </c>
      <c r="H1339" s="10" t="n">
        <v>25</v>
      </c>
      <c r="I1339" s="10">
        <f>IFERROR(T1339*H1339,0)</f>
        <v/>
      </c>
      <c r="J1339" s="11" t="n">
        <v>46146</v>
      </c>
      <c r="K1339" s="11" t="n"/>
      <c r="L1339" t="inlineStr">
        <is>
          <t>Em transporte</t>
        </is>
      </c>
      <c r="M1339">
        <f>IF(L1339="","",IFERROR(VLOOKUP(L1339,mapGrupoStatus,2,0),"Outros"))</f>
        <v/>
      </c>
      <c r="N1339">
        <f>IF(O1339="","",IF(O1339&lt;=30,"0-30 dias",IF(O1339&lt;=60,"31-60 dias",IF(O1339&lt;=90,"61-90 dias","Mais de 90 dias"))))</f>
        <v/>
      </c>
      <c r="O1339">
        <f>IF(OR(M1339="Pendente",M1339="Em andamento"),IF(J1339="","",TODAY()-J1339),"")</f>
        <v/>
      </c>
      <c r="P1339" t="n">
        <v>12555</v>
      </c>
      <c r="Q1339" t="inlineStr">
        <is>
          <t>Cool Service Serviços (12555)</t>
        </is>
      </c>
      <c r="R1339" t="inlineStr">
        <is>
          <t>PC-0015</t>
        </is>
      </c>
      <c r="S1339" t="inlineStr">
        <is>
          <t>Filtro secador modelo 01</t>
        </is>
      </c>
      <c r="T1339" t="n">
        <v>2</v>
      </c>
      <c r="U1339" t="n">
        <v>166</v>
      </c>
      <c r="V1339">
        <f>IF(J1339="","",MONTH(J1339))</f>
        <v/>
      </c>
      <c r="W1339">
        <f>IF(J1339="","",YEAR(J1339))</f>
        <v/>
      </c>
      <c r="X1339" t="inlineStr">
        <is>
          <t>CargoMax</t>
        </is>
      </c>
      <c r="Y1339">
        <f>IFERROR(INDEX(Rastreio!$H$2:$H$200,MATCH(X1339&amp;"|"&amp;U1339,Rastreio!$A$2:$A$200,0)),"")</f>
        <v/>
      </c>
    </row>
    <row r="1340">
      <c r="A1340">
        <f>IFERROR(INDEX(STAs!$G$2:$G$61,MATCH(P1340,STAs!$F$2:$F$61,0))&amp;"","")</f>
        <v/>
      </c>
      <c r="B1340" t="n">
        <v>20011094</v>
      </c>
      <c r="C1340" t="inlineStr">
        <is>
          <t>Não</t>
        </is>
      </c>
      <c r="D1340" t="inlineStr">
        <is>
          <t>RJ</t>
        </is>
      </c>
      <c r="E1340" t="inlineStr">
        <is>
          <t>SUDESTE RJ e ES</t>
        </is>
      </c>
      <c r="F1340" t="inlineStr">
        <is>
          <t>Cliente A - Refrigerador</t>
        </is>
      </c>
      <c r="G1340" t="inlineStr">
        <is>
          <t>Misturadores</t>
        </is>
      </c>
      <c r="H1340" s="10" t="n">
        <v>265</v>
      </c>
      <c r="I1340" s="10">
        <f>IFERROR(T1340*H1340,0)</f>
        <v/>
      </c>
      <c r="J1340" s="11" t="n">
        <v>46147</v>
      </c>
      <c r="K1340" s="11" t="n">
        <v>46156</v>
      </c>
      <c r="L1340" t="inlineStr">
        <is>
          <t>Ok. Devolvida</t>
        </is>
      </c>
      <c r="M1340">
        <f>IF(L1340="","",IFERROR(VLOOKUP(L1340,mapGrupoStatus,2,0),"Outros"))</f>
        <v/>
      </c>
      <c r="N1340">
        <f>IF(O1340="","",IF(O1340&lt;=30,"0-30 dias",IF(O1340&lt;=60,"31-60 dias",IF(O1340&lt;=90,"61-90 dias","Mais de 90 dias"))))</f>
        <v/>
      </c>
      <c r="O1340">
        <f>IF(OR(M1340="Pendente",M1340="Em andamento"),IF(J1340="","",TODAY()-J1340),"")</f>
        <v/>
      </c>
      <c r="P1340" t="n">
        <v>12811</v>
      </c>
      <c r="Q1340" t="inlineStr">
        <is>
          <t>Norte Frio Técnica (12811)</t>
        </is>
      </c>
      <c r="R1340" t="inlineStr">
        <is>
          <t>PC-0038</t>
        </is>
      </c>
      <c r="S1340" t="inlineStr">
        <is>
          <t>Bomba de recirculação modelo 02</t>
        </is>
      </c>
      <c r="T1340" t="n">
        <v>1</v>
      </c>
      <c r="U1340" t="n">
        <v>119</v>
      </c>
      <c r="V1340">
        <f>IF(J1340="","",MONTH(J1340))</f>
        <v/>
      </c>
      <c r="W1340">
        <f>IF(J1340="","",YEAR(J1340))</f>
        <v/>
      </c>
      <c r="X1340" t="inlineStr">
        <is>
          <t>RotaSul</t>
        </is>
      </c>
      <c r="Y1340">
        <f>IFERROR(INDEX(Rastreio!$H$2:$H$200,MATCH(X1340&amp;"|"&amp;U1340,Rastreio!$A$2:$A$200,0)),"")</f>
        <v/>
      </c>
    </row>
    <row r="1341">
      <c r="A1341">
        <f>IFERROR(INDEX(STAs!$G$2:$G$61,MATCH(P1341,STAs!$F$2:$F$61,0))&amp;"","")</f>
        <v/>
      </c>
      <c r="B1341" t="n">
        <v>20011180</v>
      </c>
      <c r="C1341" t="inlineStr">
        <is>
          <t>Não</t>
        </is>
      </c>
      <c r="D1341" t="inlineStr">
        <is>
          <t>AM</t>
        </is>
      </c>
      <c r="E1341" t="inlineStr">
        <is>
          <t>NORTE</t>
        </is>
      </c>
      <c r="F1341" t="inlineStr">
        <is>
          <t>Cliente C - Misturador</t>
        </is>
      </c>
      <c r="G1341" t="inlineStr">
        <is>
          <t>Chopeiras</t>
        </is>
      </c>
      <c r="H1341" s="10" t="n">
        <v>85</v>
      </c>
      <c r="I1341" s="10">
        <f>IFERROR(T1341*H1341,0)</f>
        <v/>
      </c>
      <c r="J1341" s="11" t="n">
        <v>46147</v>
      </c>
      <c r="K1341" s="11" t="n"/>
      <c r="L1341" t="inlineStr">
        <is>
          <t>Não Devolve-Norte</t>
        </is>
      </c>
      <c r="M1341">
        <f>IF(L1341="","",IFERROR(VLOOKUP(L1341,mapGrupoStatus,2,0),"Outros"))</f>
        <v/>
      </c>
      <c r="N1341">
        <f>IF(O1341="","",IF(O1341&lt;=30,"0-30 dias",IF(O1341&lt;=60,"31-60 dias",IF(O1341&lt;=90,"61-90 dias","Mais de 90 dias"))))</f>
        <v/>
      </c>
      <c r="O1341">
        <f>IF(OR(M1341="Pendente",M1341="Em andamento"),IF(J1341="","",TODAY()-J1341),"")</f>
        <v/>
      </c>
      <c r="P1341" t="n">
        <v>12269</v>
      </c>
      <c r="Q1341" t="inlineStr">
        <is>
          <t>Polar Técnica (12269)</t>
        </is>
      </c>
      <c r="R1341" t="inlineStr">
        <is>
          <t>PC-0035</t>
        </is>
      </c>
      <c r="S1341" t="inlineStr">
        <is>
          <t>Válvula extratora modelo 01</t>
        </is>
      </c>
      <c r="T1341" t="n">
        <v>2</v>
      </c>
      <c r="U1341" t="inlineStr"/>
      <c r="V1341">
        <f>IF(J1341="","",MONTH(J1341))</f>
        <v/>
      </c>
      <c r="W1341">
        <f>IF(J1341="","",YEAR(J1341))</f>
        <v/>
      </c>
      <c r="X1341" t="inlineStr"/>
      <c r="Y1341">
        <f>IFERROR(INDEX(Rastreio!$H$2:$H$200,MATCH(X1341&amp;"|"&amp;U1341,Rastreio!$A$2:$A$200,0)),"")</f>
        <v/>
      </c>
    </row>
    <row r="1342">
      <c r="A1342">
        <f>IFERROR(INDEX(STAs!$G$2:$G$61,MATCH(P1342,STAs!$F$2:$F$61,0))&amp;"","")</f>
        <v/>
      </c>
      <c r="B1342" t="n">
        <v>20013813</v>
      </c>
      <c r="C1342" t="inlineStr">
        <is>
          <t>Não</t>
        </is>
      </c>
      <c r="D1342" t="inlineStr">
        <is>
          <t>MG</t>
        </is>
      </c>
      <c r="E1342" t="inlineStr">
        <is>
          <t>SUDESTE MG</t>
        </is>
      </c>
      <c r="F1342" t="inlineStr">
        <is>
          <t>Cliente B - Chopeira</t>
        </is>
      </c>
      <c r="G1342" t="inlineStr">
        <is>
          <t>Refrigeradores</t>
        </is>
      </c>
      <c r="H1342" s="10" t="n">
        <v>330</v>
      </c>
      <c r="I1342" s="10">
        <f>IFERROR(T1342*H1342,0)</f>
        <v/>
      </c>
      <c r="J1342" s="11" t="n">
        <v>46147</v>
      </c>
      <c r="K1342" s="11" t="n">
        <v>46181</v>
      </c>
      <c r="L1342" t="inlineStr">
        <is>
          <t>Ok. Devolvida</t>
        </is>
      </c>
      <c r="M1342">
        <f>IF(L1342="","",IFERROR(VLOOKUP(L1342,mapGrupoStatus,2,0),"Outros"))</f>
        <v/>
      </c>
      <c r="N1342">
        <f>IF(O1342="","",IF(O1342&lt;=30,"0-30 dias",IF(O1342&lt;=60,"31-60 dias",IF(O1342&lt;=90,"61-90 dias","Mais de 90 dias"))))</f>
        <v/>
      </c>
      <c r="O1342">
        <f>IF(OR(M1342="Pendente",M1342="Em andamento"),IF(J1342="","",TODAY()-J1342),"")</f>
        <v/>
      </c>
      <c r="P1342" t="n">
        <v>11494</v>
      </c>
      <c r="Q1342" t="inlineStr">
        <is>
          <t>Clima Técnica (11494)</t>
        </is>
      </c>
      <c r="R1342" t="inlineStr">
        <is>
          <t>PC-0003</t>
        </is>
      </c>
      <c r="S1342" t="inlineStr">
        <is>
          <t>Compressor modelo 03</t>
        </is>
      </c>
      <c r="T1342" t="n">
        <v>1</v>
      </c>
      <c r="U1342" t="n">
        <v>125</v>
      </c>
      <c r="V1342">
        <f>IF(J1342="","",MONTH(J1342))</f>
        <v/>
      </c>
      <c r="W1342">
        <f>IF(J1342="","",YEAR(J1342))</f>
        <v/>
      </c>
      <c r="X1342" t="inlineStr">
        <is>
          <t>CargoMax</t>
        </is>
      </c>
      <c r="Y1342">
        <f>IFERROR(INDEX(Rastreio!$H$2:$H$200,MATCH(X1342&amp;"|"&amp;U1342,Rastreio!$A$2:$A$200,0)),"")</f>
        <v/>
      </c>
    </row>
    <row r="1343">
      <c r="A1343">
        <f>IFERROR(INDEX(STAs!$G$2:$G$61,MATCH(P1343,STAs!$F$2:$F$61,0))&amp;"","")</f>
        <v/>
      </c>
      <c r="B1343" t="n">
        <v>20019045</v>
      </c>
      <c r="C1343" t="inlineStr">
        <is>
          <t>Não</t>
        </is>
      </c>
      <c r="D1343" t="inlineStr">
        <is>
          <t>PI</t>
        </is>
      </c>
      <c r="E1343" t="inlineStr">
        <is>
          <t>NORDESTE</t>
        </is>
      </c>
      <c r="F1343" t="inlineStr">
        <is>
          <t>Cliente C - Misturador</t>
        </is>
      </c>
      <c r="G1343" t="inlineStr">
        <is>
          <t>Refrigeradores</t>
        </is>
      </c>
      <c r="H1343" s="10" t="n">
        <v>315</v>
      </c>
      <c r="I1343" s="10">
        <f>IFERROR(T1343*H1343,0)</f>
        <v/>
      </c>
      <c r="J1343" s="11" t="n">
        <v>46147</v>
      </c>
      <c r="K1343" s="11" t="n"/>
      <c r="L1343" t="inlineStr">
        <is>
          <t>Em andamento</t>
        </is>
      </c>
      <c r="M1343">
        <f>IF(L1343="","",IFERROR(VLOOKUP(L1343,mapGrupoStatus,2,0),"Outros"))</f>
        <v/>
      </c>
      <c r="N1343">
        <f>IF(O1343="","",IF(O1343&lt;=30,"0-30 dias",IF(O1343&lt;=60,"31-60 dias",IF(O1343&lt;=90,"61-90 dias","Mais de 90 dias"))))</f>
        <v/>
      </c>
      <c r="O1343">
        <f>IF(OR(M1343="Pendente",M1343="Em andamento"),IF(J1343="","",TODAY()-J1343),"")</f>
        <v/>
      </c>
      <c r="P1343" t="n">
        <v>10562</v>
      </c>
      <c r="Q1343" t="inlineStr">
        <is>
          <t>Clima &amp; Cia (10562)</t>
        </is>
      </c>
      <c r="R1343" t="inlineStr">
        <is>
          <t>PC-0002</t>
        </is>
      </c>
      <c r="S1343" t="inlineStr">
        <is>
          <t>Compressor modelo 02</t>
        </is>
      </c>
      <c r="T1343" t="n">
        <v>2</v>
      </c>
      <c r="U1343" t="n">
        <v>128</v>
      </c>
      <c r="V1343">
        <f>IF(J1343="","",MONTH(J1343))</f>
        <v/>
      </c>
      <c r="W1343">
        <f>IF(J1343="","",YEAR(J1343))</f>
        <v/>
      </c>
      <c r="X1343" t="inlineStr">
        <is>
          <t>EntregaJá</t>
        </is>
      </c>
      <c r="Y1343">
        <f>IFERROR(INDEX(Rastreio!$H$2:$H$200,MATCH(X1343&amp;"|"&amp;U1343,Rastreio!$A$2:$A$200,0)),"")</f>
        <v/>
      </c>
    </row>
    <row r="1344">
      <c r="A1344">
        <f>IFERROR(INDEX(STAs!$G$2:$G$61,MATCH(P1344,STAs!$F$2:$F$61,0))&amp;"","")</f>
        <v/>
      </c>
      <c r="B1344" t="n">
        <v>20020017</v>
      </c>
      <c r="C1344" t="inlineStr">
        <is>
          <t>Não</t>
        </is>
      </c>
      <c r="D1344" t="inlineStr">
        <is>
          <t>MG</t>
        </is>
      </c>
      <c r="E1344" t="inlineStr">
        <is>
          <t>SUDESTE MG</t>
        </is>
      </c>
      <c r="F1344" t="inlineStr">
        <is>
          <t>Cliente B - Chopeira</t>
        </is>
      </c>
      <c r="G1344" t="inlineStr">
        <is>
          <t>Refrigeradores</t>
        </is>
      </c>
      <c r="H1344" s="10" t="n">
        <v>330</v>
      </c>
      <c r="I1344" s="10">
        <f>IFERROR(T1344*H1344,0)</f>
        <v/>
      </c>
      <c r="J1344" s="11" t="n">
        <v>46147</v>
      </c>
      <c r="K1344" s="11" t="n"/>
      <c r="L1344" t="inlineStr">
        <is>
          <t>Em transporte</t>
        </is>
      </c>
      <c r="M1344">
        <f>IF(L1344="","",IFERROR(VLOOKUP(L1344,mapGrupoStatus,2,0),"Outros"))</f>
        <v/>
      </c>
      <c r="N1344">
        <f>IF(O1344="","",IF(O1344&lt;=30,"0-30 dias",IF(O1344&lt;=60,"31-60 dias",IF(O1344&lt;=90,"61-90 dias","Mais de 90 dias"))))</f>
        <v/>
      </c>
      <c r="O1344">
        <f>IF(OR(M1344="Pendente",M1344="Em andamento"),IF(J1344="","",TODAY()-J1344),"")</f>
        <v/>
      </c>
      <c r="P1344" t="n">
        <v>12689</v>
      </c>
      <c r="Q1344" t="inlineStr">
        <is>
          <t>Norte Frio Manutenção (12689)</t>
        </is>
      </c>
      <c r="R1344" t="inlineStr">
        <is>
          <t>PC-0003</t>
        </is>
      </c>
      <c r="S1344" t="inlineStr">
        <is>
          <t>Compressor modelo 03</t>
        </is>
      </c>
      <c r="T1344" t="n">
        <v>1</v>
      </c>
      <c r="U1344" t="n">
        <v>137</v>
      </c>
      <c r="V1344">
        <f>IF(J1344="","",MONTH(J1344))</f>
        <v/>
      </c>
      <c r="W1344">
        <f>IF(J1344="","",YEAR(J1344))</f>
        <v/>
      </c>
      <c r="X1344" t="inlineStr">
        <is>
          <t>CargoMax</t>
        </is>
      </c>
      <c r="Y1344">
        <f>IFERROR(INDEX(Rastreio!$H$2:$H$200,MATCH(X1344&amp;"|"&amp;U1344,Rastreio!$A$2:$A$200,0)),"")</f>
        <v/>
      </c>
    </row>
    <row r="1345">
      <c r="A1345">
        <f>IFERROR(INDEX(STAs!$G$2:$G$61,MATCH(P1345,STAs!$F$2:$F$61,0))&amp;"","")</f>
        <v/>
      </c>
      <c r="B1345" t="n">
        <v>20020343</v>
      </c>
      <c r="C1345" t="inlineStr">
        <is>
          <t>Não</t>
        </is>
      </c>
      <c r="D1345" t="inlineStr">
        <is>
          <t>PR</t>
        </is>
      </c>
      <c r="E1345" t="inlineStr">
        <is>
          <t>SUL</t>
        </is>
      </c>
      <c r="F1345" t="inlineStr">
        <is>
          <t>Cliente B - Chopeira</t>
        </is>
      </c>
      <c r="G1345" t="inlineStr">
        <is>
          <t>Refrigeradores</t>
        </is>
      </c>
      <c r="H1345" s="10" t="n">
        <v>325</v>
      </c>
      <c r="I1345" s="10">
        <f>IFERROR(T1345*H1345,0)</f>
        <v/>
      </c>
      <c r="J1345" s="11" t="n">
        <v>46147</v>
      </c>
      <c r="K1345" s="11" t="n">
        <v>46168</v>
      </c>
      <c r="L1345" t="inlineStr">
        <is>
          <t>Ok. Devolvida</t>
        </is>
      </c>
      <c r="M1345">
        <f>IF(L1345="","",IFERROR(VLOOKUP(L1345,mapGrupoStatus,2,0),"Outros"))</f>
        <v/>
      </c>
      <c r="N1345">
        <f>IF(O1345="","",IF(O1345&lt;=30,"0-30 dias",IF(O1345&lt;=60,"31-60 dias",IF(O1345&lt;=90,"61-90 dias","Mais de 90 dias"))))</f>
        <v/>
      </c>
      <c r="O1345">
        <f>IF(OR(M1345="Pendente",M1345="Em andamento"),IF(J1345="","",TODAY()-J1345),"")</f>
        <v/>
      </c>
      <c r="P1345" t="n">
        <v>10504</v>
      </c>
      <c r="Q1345" t="inlineStr">
        <is>
          <t>Zero Grau Ltda (10504)</t>
        </is>
      </c>
      <c r="R1345" t="inlineStr">
        <is>
          <t>PC-0001</t>
        </is>
      </c>
      <c r="S1345" t="inlineStr">
        <is>
          <t>Compressor modelo 01</t>
        </is>
      </c>
      <c r="T1345" t="n">
        <v>2</v>
      </c>
      <c r="U1345" t="n">
        <v>130</v>
      </c>
      <c r="V1345">
        <f>IF(J1345="","",MONTH(J1345))</f>
        <v/>
      </c>
      <c r="W1345">
        <f>IF(J1345="","",YEAR(J1345))</f>
        <v/>
      </c>
      <c r="X1345" t="inlineStr">
        <is>
          <t>EntregaJá</t>
        </is>
      </c>
      <c r="Y1345">
        <f>IFERROR(INDEX(Rastreio!$H$2:$H$200,MATCH(X1345&amp;"|"&amp;U1345,Rastreio!$A$2:$A$200,0)),"")</f>
        <v/>
      </c>
    </row>
    <row r="1346">
      <c r="A1346">
        <f>IFERROR(INDEX(STAs!$G$2:$G$61,MATCH(P1346,STAs!$F$2:$F$61,0))&amp;"","")</f>
        <v/>
      </c>
      <c r="B1346" t="n">
        <v>20022365</v>
      </c>
      <c r="C1346" t="inlineStr">
        <is>
          <t>Não</t>
        </is>
      </c>
      <c r="D1346" t="inlineStr">
        <is>
          <t>PA</t>
        </is>
      </c>
      <c r="E1346" t="inlineStr">
        <is>
          <t>NORTE</t>
        </is>
      </c>
      <c r="F1346" t="inlineStr">
        <is>
          <t>Cliente B - Chopeira</t>
        </is>
      </c>
      <c r="G1346" t="inlineStr">
        <is>
          <t>Refrigeradores</t>
        </is>
      </c>
      <c r="H1346" s="10" t="n">
        <v>185</v>
      </c>
      <c r="I1346" s="10">
        <f>IFERROR(T1346*H1346,0)</f>
        <v/>
      </c>
      <c r="J1346" s="11" t="n">
        <v>46147</v>
      </c>
      <c r="K1346" s="11" t="n">
        <v>46177</v>
      </c>
      <c r="L1346" t="inlineStr">
        <is>
          <t>Ok. Devolvida</t>
        </is>
      </c>
      <c r="M1346">
        <f>IF(L1346="","",IFERROR(VLOOKUP(L1346,mapGrupoStatus,2,0),"Outros"))</f>
        <v/>
      </c>
      <c r="N1346">
        <f>IF(O1346="","",IF(O1346&lt;=30,"0-30 dias",IF(O1346&lt;=60,"31-60 dias",IF(O1346&lt;=90,"61-90 dias","Mais de 90 dias"))))</f>
        <v/>
      </c>
      <c r="O1346">
        <f>IF(OR(M1346="Pendente",M1346="Em andamento"),IF(J1346="","",TODAY()-J1346),"")</f>
        <v/>
      </c>
      <c r="P1346" t="n">
        <v>11986</v>
      </c>
      <c r="Q1346" t="inlineStr">
        <is>
          <t>Polar Serviços (11986)</t>
        </is>
      </c>
      <c r="R1346" t="inlineStr">
        <is>
          <t>PC-0013</t>
        </is>
      </c>
      <c r="S1346" t="inlineStr">
        <is>
          <t>Placa eletrônica modelo 03</t>
        </is>
      </c>
      <c r="T1346" t="n">
        <v>1</v>
      </c>
      <c r="U1346" t="n">
        <v>136</v>
      </c>
      <c r="V1346">
        <f>IF(J1346="","",MONTH(J1346))</f>
        <v/>
      </c>
      <c r="W1346">
        <f>IF(J1346="","",YEAR(J1346))</f>
        <v/>
      </c>
      <c r="X1346" t="inlineStr">
        <is>
          <t>RotaSul</t>
        </is>
      </c>
      <c r="Y1346">
        <f>IFERROR(INDEX(Rastreio!$H$2:$H$200,MATCH(X1346&amp;"|"&amp;U1346,Rastreio!$A$2:$A$200,0)),"")</f>
        <v/>
      </c>
    </row>
    <row r="1347">
      <c r="A1347">
        <f>IFERROR(INDEX(STAs!$G$2:$G$61,MATCH(P1347,STAs!$F$2:$F$61,0))&amp;"","")</f>
        <v/>
      </c>
      <c r="B1347" t="n">
        <v>20027637</v>
      </c>
      <c r="C1347" t="inlineStr">
        <is>
          <t>Não</t>
        </is>
      </c>
      <c r="D1347" t="inlineStr">
        <is>
          <t>MG</t>
        </is>
      </c>
      <c r="E1347" t="inlineStr">
        <is>
          <t>SUDESTE MG</t>
        </is>
      </c>
      <c r="F1347" t="inlineStr">
        <is>
          <t>Cliente C - Misturador</t>
        </is>
      </c>
      <c r="G1347" t="inlineStr">
        <is>
          <t>Refrigeradores</t>
        </is>
      </c>
      <c r="H1347" s="10" t="n">
        <v>45</v>
      </c>
      <c r="I1347" s="10">
        <f>IFERROR(T1347*H1347,0)</f>
        <v/>
      </c>
      <c r="J1347" s="11" t="n">
        <v>46147</v>
      </c>
      <c r="K1347" s="11" t="n"/>
      <c r="L1347" t="inlineStr">
        <is>
          <t>Em andamento</t>
        </is>
      </c>
      <c r="M1347">
        <f>IF(L1347="","",IFERROR(VLOOKUP(L1347,mapGrupoStatus,2,0),"Outros"))</f>
        <v/>
      </c>
      <c r="N1347">
        <f>IF(O1347="","",IF(O1347&lt;=30,"0-30 dias",IF(O1347&lt;=60,"31-60 dias",IF(O1347&lt;=90,"61-90 dias","Mais de 90 dias"))))</f>
        <v/>
      </c>
      <c r="O1347">
        <f>IF(OR(M1347="Pendente",M1347="Em andamento"),IF(J1347="","",TODAY()-J1347),"")</f>
        <v/>
      </c>
      <c r="P1347" t="n">
        <v>12470</v>
      </c>
      <c r="Q1347" t="inlineStr">
        <is>
          <t>Cool Service Técnica (12470)</t>
        </is>
      </c>
      <c r="R1347" t="inlineStr">
        <is>
          <t>PC-0019</t>
        </is>
      </c>
      <c r="S1347" t="inlineStr">
        <is>
          <t>Gaxeta da porta modelo 02</t>
        </is>
      </c>
      <c r="T1347" t="n">
        <v>1</v>
      </c>
      <c r="U1347" t="n">
        <v>150</v>
      </c>
      <c r="V1347">
        <f>IF(J1347="","",MONTH(J1347))</f>
        <v/>
      </c>
      <c r="W1347">
        <f>IF(J1347="","",YEAR(J1347))</f>
        <v/>
      </c>
      <c r="X1347" t="inlineStr">
        <is>
          <t>LogExpress</t>
        </is>
      </c>
      <c r="Y1347">
        <f>IFERROR(INDEX(Rastreio!$H$2:$H$200,MATCH(X1347&amp;"|"&amp;U1347,Rastreio!$A$2:$A$200,0)),"")</f>
        <v/>
      </c>
    </row>
    <row r="1348">
      <c r="A1348">
        <f>IFERROR(INDEX(STAs!$G$2:$G$61,MATCH(P1348,STAs!$F$2:$F$61,0))&amp;"","")</f>
        <v/>
      </c>
      <c r="B1348" t="n">
        <v>20037953</v>
      </c>
      <c r="C1348" t="inlineStr">
        <is>
          <t>Não</t>
        </is>
      </c>
      <c r="D1348" t="inlineStr">
        <is>
          <t>ES</t>
        </is>
      </c>
      <c r="E1348" t="inlineStr">
        <is>
          <t>SUDESTE RJ e ES</t>
        </is>
      </c>
      <c r="F1348" t="inlineStr">
        <is>
          <t>Cliente C - Misturador</t>
        </is>
      </c>
      <c r="G1348" t="inlineStr">
        <is>
          <t>Refrigeradores</t>
        </is>
      </c>
      <c r="H1348" s="10" t="n">
        <v>40</v>
      </c>
      <c r="I1348" s="10">
        <f>IFERROR(T1348*H1348,0)</f>
        <v/>
      </c>
      <c r="J1348" s="11" t="n">
        <v>46147</v>
      </c>
      <c r="K1348" s="11" t="n">
        <v>46152</v>
      </c>
      <c r="L1348" t="inlineStr">
        <is>
          <t>Ok. Devolvida</t>
        </is>
      </c>
      <c r="M1348">
        <f>IF(L1348="","",IFERROR(VLOOKUP(L1348,mapGrupoStatus,2,0),"Outros"))</f>
        <v/>
      </c>
      <c r="N1348">
        <f>IF(O1348="","",IF(O1348&lt;=30,"0-30 dias",IF(O1348&lt;=60,"31-60 dias",IF(O1348&lt;=90,"61-90 dias","Mais de 90 dias"))))</f>
        <v/>
      </c>
      <c r="O1348">
        <f>IF(OR(M1348="Pendente",M1348="Em andamento"),IF(J1348="","",TODAY()-J1348),"")</f>
        <v/>
      </c>
      <c r="P1348" t="n">
        <v>12555</v>
      </c>
      <c r="Q1348" t="inlineStr">
        <is>
          <t>Cool Service Serviços (12555)</t>
        </is>
      </c>
      <c r="R1348" t="inlineStr">
        <is>
          <t>PC-0005</t>
        </is>
      </c>
      <c r="S1348" t="inlineStr">
        <is>
          <t>Termostato modelo 02</t>
        </is>
      </c>
      <c r="T1348" t="n">
        <v>2</v>
      </c>
      <c r="U1348" t="n">
        <v>172</v>
      </c>
      <c r="V1348">
        <f>IF(J1348="","",MONTH(J1348))</f>
        <v/>
      </c>
      <c r="W1348">
        <f>IF(J1348="","",YEAR(J1348))</f>
        <v/>
      </c>
      <c r="X1348" t="inlineStr">
        <is>
          <t>RotaSul</t>
        </is>
      </c>
      <c r="Y1348">
        <f>IFERROR(INDEX(Rastreio!$H$2:$H$200,MATCH(X1348&amp;"|"&amp;U1348,Rastreio!$A$2:$A$200,0)),"")</f>
        <v/>
      </c>
    </row>
    <row r="1349">
      <c r="A1349">
        <f>IFERROR(INDEX(STAs!$G$2:$G$61,MATCH(P1349,STAs!$F$2:$F$61,0))&amp;"","")</f>
        <v/>
      </c>
      <c r="B1349" t="n">
        <v>20000951</v>
      </c>
      <c r="C1349" t="inlineStr">
        <is>
          <t>Não</t>
        </is>
      </c>
      <c r="D1349" t="inlineStr">
        <is>
          <t>RR</t>
        </is>
      </c>
      <c r="E1349" t="inlineStr">
        <is>
          <t>NORTE</t>
        </is>
      </c>
      <c r="F1349" t="inlineStr">
        <is>
          <t>Cliente B - Chopeira</t>
        </is>
      </c>
      <c r="G1349" t="inlineStr">
        <is>
          <t>Chopeiras</t>
        </is>
      </c>
      <c r="H1349" s="10" t="n">
        <v>210</v>
      </c>
      <c r="I1349" s="10">
        <f>IFERROR(T1349*H1349,0)</f>
        <v/>
      </c>
      <c r="J1349" s="11" t="n">
        <v>46148</v>
      </c>
      <c r="K1349" s="11" t="n">
        <v>46187</v>
      </c>
      <c r="L1349" t="inlineStr">
        <is>
          <t>Ok. Devolvida</t>
        </is>
      </c>
      <c r="M1349">
        <f>IF(L1349="","",IFERROR(VLOOKUP(L1349,mapGrupoStatus,2,0),"Outros"))</f>
        <v/>
      </c>
      <c r="N1349">
        <f>IF(O1349="","",IF(O1349&lt;=30,"0-30 dias",IF(O1349&lt;=60,"31-60 dias",IF(O1349&lt;=90,"61-90 dias","Mais de 90 dias"))))</f>
        <v/>
      </c>
      <c r="O1349">
        <f>IF(OR(M1349="Pendente",M1349="Em andamento"),IF(J1349="","",TODAY()-J1349),"")</f>
        <v/>
      </c>
      <c r="P1349" t="n">
        <v>10468</v>
      </c>
      <c r="Q1349" t="inlineStr">
        <is>
          <t>Clima Express (10468)</t>
        </is>
      </c>
      <c r="R1349" t="inlineStr">
        <is>
          <t>PC-0029</t>
        </is>
      </c>
      <c r="S1349" t="inlineStr">
        <is>
          <t>Serpentina modelo 01</t>
        </is>
      </c>
      <c r="T1349" t="n">
        <v>2</v>
      </c>
      <c r="U1349" t="n">
        <v>104</v>
      </c>
      <c r="V1349">
        <f>IF(J1349="","",MONTH(J1349))</f>
        <v/>
      </c>
      <c r="W1349">
        <f>IF(J1349="","",YEAR(J1349))</f>
        <v/>
      </c>
      <c r="X1349" t="inlineStr">
        <is>
          <t>RotaSul</t>
        </is>
      </c>
      <c r="Y1349">
        <f>IFERROR(INDEX(Rastreio!$H$2:$H$200,MATCH(X1349&amp;"|"&amp;U1349,Rastreio!$A$2:$A$200,0)),"")</f>
        <v/>
      </c>
    </row>
    <row r="1350">
      <c r="A1350">
        <f>IFERROR(INDEX(STAs!$G$2:$G$61,MATCH(P1350,STAs!$F$2:$F$61,0))&amp;"","")</f>
        <v/>
      </c>
      <c r="B1350" t="n">
        <v>20005050</v>
      </c>
      <c r="C1350" t="inlineStr">
        <is>
          <t>Não</t>
        </is>
      </c>
      <c r="D1350" t="inlineStr">
        <is>
          <t>RO</t>
        </is>
      </c>
      <c r="E1350" t="inlineStr">
        <is>
          <t>NORTE</t>
        </is>
      </c>
      <c r="F1350" t="inlineStr">
        <is>
          <t>Cliente C - Misturador</t>
        </is>
      </c>
      <c r="G1350" t="inlineStr">
        <is>
          <t>Misturadores</t>
        </is>
      </c>
      <c r="H1350" s="10" t="n">
        <v>200</v>
      </c>
      <c r="I1350" s="10">
        <f>IFERROR(T1350*H1350,0)</f>
        <v/>
      </c>
      <c r="J1350" s="11" t="n">
        <v>46148</v>
      </c>
      <c r="K1350" s="11" t="n"/>
      <c r="L1350" t="inlineStr">
        <is>
          <t>Não Devolve-Norte</t>
        </is>
      </c>
      <c r="M1350">
        <f>IF(L1350="","",IFERROR(VLOOKUP(L1350,mapGrupoStatus,2,0),"Outros"))</f>
        <v/>
      </c>
      <c r="N1350">
        <f>IF(O1350="","",IF(O1350&lt;=30,"0-30 dias",IF(O1350&lt;=60,"31-60 dias",IF(O1350&lt;=90,"61-90 dias","Mais de 90 dias"))))</f>
        <v/>
      </c>
      <c r="O1350">
        <f>IF(OR(M1350="Pendente",M1350="Em andamento"),IF(J1350="","",TODAY()-J1350),"")</f>
        <v/>
      </c>
      <c r="P1350" t="n">
        <v>10172</v>
      </c>
      <c r="Q1350" t="inlineStr">
        <is>
          <t>Frigo Serviços (10172)</t>
        </is>
      </c>
      <c r="R1350" t="inlineStr">
        <is>
          <t>PC-0040</t>
        </is>
      </c>
      <c r="S1350" t="inlineStr">
        <is>
          <t>Motor agitador modelo 01</t>
        </is>
      </c>
      <c r="T1350" t="n">
        <v>1</v>
      </c>
      <c r="U1350" t="inlineStr"/>
      <c r="V1350">
        <f>IF(J1350="","",MONTH(J1350))</f>
        <v/>
      </c>
      <c r="W1350">
        <f>IF(J1350="","",YEAR(J1350))</f>
        <v/>
      </c>
      <c r="X1350" t="inlineStr"/>
      <c r="Y1350">
        <f>IFERROR(INDEX(Rastreio!$H$2:$H$200,MATCH(X1350&amp;"|"&amp;U1350,Rastreio!$A$2:$A$200,0)),"")</f>
        <v/>
      </c>
    </row>
    <row r="1351">
      <c r="A1351">
        <f>IFERROR(INDEX(STAs!$G$2:$G$61,MATCH(P1351,STAs!$F$2:$F$61,0))&amp;"","")</f>
        <v/>
      </c>
      <c r="B1351" t="n">
        <v>20010786</v>
      </c>
      <c r="C1351" t="inlineStr">
        <is>
          <t>Não</t>
        </is>
      </c>
      <c r="D1351" t="inlineStr">
        <is>
          <t>BA</t>
        </is>
      </c>
      <c r="E1351" t="inlineStr">
        <is>
          <t>NORDESTE</t>
        </is>
      </c>
      <c r="F1351" t="inlineStr">
        <is>
          <t>Cliente C - Misturador</t>
        </is>
      </c>
      <c r="G1351" t="inlineStr">
        <is>
          <t>Chopeiras</t>
        </is>
      </c>
      <c r="H1351" s="10" t="n">
        <v>85</v>
      </c>
      <c r="I1351" s="10">
        <f>IFERROR(T1351*H1351,0)</f>
        <v/>
      </c>
      <c r="J1351" s="11" t="n">
        <v>46148</v>
      </c>
      <c r="K1351" s="11" t="n">
        <v>46172</v>
      </c>
      <c r="L1351" t="inlineStr">
        <is>
          <t>Ok. Devolvida</t>
        </is>
      </c>
      <c r="M1351">
        <f>IF(L1351="","",IFERROR(VLOOKUP(L1351,mapGrupoStatus,2,0),"Outros"))</f>
        <v/>
      </c>
      <c r="N1351">
        <f>IF(O1351="","",IF(O1351&lt;=30,"0-30 dias",IF(O1351&lt;=60,"31-60 dias",IF(O1351&lt;=90,"61-90 dias","Mais de 90 dias"))))</f>
        <v/>
      </c>
      <c r="O1351">
        <f>IF(OR(M1351="Pendente",M1351="Em andamento"),IF(J1351="","",TODAY()-J1351),"")</f>
        <v/>
      </c>
      <c r="P1351" t="n">
        <v>11244</v>
      </c>
      <c r="Q1351" t="inlineStr">
        <is>
          <t>Refrigeração Manutenção (11244)</t>
        </is>
      </c>
      <c r="R1351" t="inlineStr">
        <is>
          <t>PC-0036</t>
        </is>
      </c>
      <c r="S1351" t="inlineStr">
        <is>
          <t>Válvula extratora modelo 02</t>
        </is>
      </c>
      <c r="T1351" t="n">
        <v>1</v>
      </c>
      <c r="U1351" t="n">
        <v>121</v>
      </c>
      <c r="V1351">
        <f>IF(J1351="","",MONTH(J1351))</f>
        <v/>
      </c>
      <c r="W1351">
        <f>IF(J1351="","",YEAR(J1351))</f>
        <v/>
      </c>
      <c r="X1351" t="inlineStr">
        <is>
          <t>CargoMax</t>
        </is>
      </c>
      <c r="Y1351">
        <f>IFERROR(INDEX(Rastreio!$H$2:$H$200,MATCH(X1351&amp;"|"&amp;U1351,Rastreio!$A$2:$A$200,0)),"")</f>
        <v/>
      </c>
    </row>
    <row r="1352">
      <c r="A1352">
        <f>IFERROR(INDEX(STAs!$G$2:$G$61,MATCH(P1352,STAs!$F$2:$F$61,0))&amp;"","")</f>
        <v/>
      </c>
      <c r="B1352" t="n">
        <v>20023422</v>
      </c>
      <c r="C1352" t="inlineStr">
        <is>
          <t>Não</t>
        </is>
      </c>
      <c r="D1352" t="inlineStr">
        <is>
          <t>RR</t>
        </is>
      </c>
      <c r="E1352" t="inlineStr">
        <is>
          <t>NORTE</t>
        </is>
      </c>
      <c r="F1352" t="inlineStr">
        <is>
          <t>Cliente B - Chopeira</t>
        </is>
      </c>
      <c r="G1352" t="inlineStr">
        <is>
          <t>Refrigeradores</t>
        </is>
      </c>
      <c r="H1352" s="10" t="n">
        <v>175</v>
      </c>
      <c r="I1352" s="10">
        <f>IFERROR(T1352*H1352,0)</f>
        <v/>
      </c>
      <c r="J1352" s="11" t="n">
        <v>46148</v>
      </c>
      <c r="K1352" s="11" t="n"/>
      <c r="L1352" t="inlineStr">
        <is>
          <t>NPD</t>
        </is>
      </c>
      <c r="M1352">
        <f>IF(L1352="","",IFERROR(VLOOKUP(L1352,mapGrupoStatus,2,0),"Outros"))</f>
        <v/>
      </c>
      <c r="N1352">
        <f>IF(O1352="","",IF(O1352&lt;=30,"0-30 dias",IF(O1352&lt;=60,"31-60 dias",IF(O1352&lt;=90,"61-90 dias","Mais de 90 dias"))))</f>
        <v/>
      </c>
      <c r="O1352">
        <f>IF(OR(M1352="Pendente",M1352="Em andamento"),IF(J1352="","",TODAY()-J1352),"")</f>
        <v/>
      </c>
      <c r="P1352" t="n">
        <v>11818</v>
      </c>
      <c r="Q1352" t="inlineStr">
        <is>
          <t>Termotec Ltda (11818)</t>
        </is>
      </c>
      <c r="R1352" t="inlineStr">
        <is>
          <t>PC-0012</t>
        </is>
      </c>
      <c r="S1352" t="inlineStr">
        <is>
          <t>Placa eletrônica modelo 02</t>
        </is>
      </c>
      <c r="T1352" t="n">
        <v>1</v>
      </c>
      <c r="U1352" t="inlineStr"/>
      <c r="V1352">
        <f>IF(J1352="","",MONTH(J1352))</f>
        <v/>
      </c>
      <c r="W1352">
        <f>IF(J1352="","",YEAR(J1352))</f>
        <v/>
      </c>
      <c r="X1352" t="inlineStr"/>
      <c r="Y1352">
        <f>IFERROR(INDEX(Rastreio!$H$2:$H$200,MATCH(X1352&amp;"|"&amp;U1352,Rastreio!$A$2:$A$200,0)),"")</f>
        <v/>
      </c>
    </row>
    <row r="1353">
      <c r="A1353">
        <f>IFERROR(INDEX(STAs!$G$2:$G$61,MATCH(P1353,STAs!$F$2:$F$61,0))&amp;"","")</f>
        <v/>
      </c>
      <c r="B1353" t="n">
        <v>20029629</v>
      </c>
      <c r="C1353" t="inlineStr">
        <is>
          <t>Não</t>
        </is>
      </c>
      <c r="D1353" t="inlineStr">
        <is>
          <t>PE</t>
        </is>
      </c>
      <c r="E1353" t="inlineStr">
        <is>
          <t>NORDESTE</t>
        </is>
      </c>
      <c r="F1353" t="inlineStr">
        <is>
          <t>Cliente B - Chopeira</t>
        </is>
      </c>
      <c r="G1353" t="inlineStr">
        <is>
          <t>Misturadores</t>
        </is>
      </c>
      <c r="H1353" s="10" t="n">
        <v>60</v>
      </c>
      <c r="I1353" s="10">
        <f>IFERROR(T1353*H1353,0)</f>
        <v/>
      </c>
      <c r="J1353" s="11" t="n">
        <v>46148</v>
      </c>
      <c r="K1353" s="11" t="n"/>
      <c r="L1353" t="inlineStr">
        <is>
          <t>Aguardando devolução</t>
        </is>
      </c>
      <c r="M1353">
        <f>IF(L1353="","",IFERROR(VLOOKUP(L1353,mapGrupoStatus,2,0),"Outros"))</f>
        <v/>
      </c>
      <c r="N1353">
        <f>IF(O1353="","",IF(O1353&lt;=30,"0-30 dias",IF(O1353&lt;=60,"31-60 dias",IF(O1353&lt;=90,"61-90 dias","Mais de 90 dias"))))</f>
        <v/>
      </c>
      <c r="O1353">
        <f>IF(OR(M1353="Pendente",M1353="Em andamento"),IF(J1353="","",TODAY()-J1353),"")</f>
        <v/>
      </c>
      <c r="P1353" t="n">
        <v>11352</v>
      </c>
      <c r="Q1353" t="inlineStr">
        <is>
          <t>Frio Express (11352)</t>
        </is>
      </c>
      <c r="R1353" t="inlineStr">
        <is>
          <t>PC-0046</t>
        </is>
      </c>
      <c r="S1353" t="inlineStr">
        <is>
          <t>Sensor de nível modelo 02</t>
        </is>
      </c>
      <c r="T1353" t="n">
        <v>1</v>
      </c>
      <c r="U1353" t="inlineStr"/>
      <c r="V1353">
        <f>IF(J1353="","",MONTH(J1353))</f>
        <v/>
      </c>
      <c r="W1353">
        <f>IF(J1353="","",YEAR(J1353))</f>
        <v/>
      </c>
      <c r="X1353" t="inlineStr"/>
      <c r="Y1353">
        <f>IFERROR(INDEX(Rastreio!$H$2:$H$200,MATCH(X1353&amp;"|"&amp;U1353,Rastreio!$A$2:$A$200,0)),"")</f>
        <v/>
      </c>
    </row>
    <row r="1354">
      <c r="A1354">
        <f>IFERROR(INDEX(STAs!$G$2:$G$61,MATCH(P1354,STAs!$F$2:$F$61,0))&amp;"","")</f>
        <v/>
      </c>
      <c r="B1354" t="n">
        <v>20030922</v>
      </c>
      <c r="C1354" t="inlineStr">
        <is>
          <t>Não</t>
        </is>
      </c>
      <c r="D1354" t="inlineStr">
        <is>
          <t>BA</t>
        </is>
      </c>
      <c r="E1354" t="inlineStr">
        <is>
          <t>NORDESTE</t>
        </is>
      </c>
      <c r="F1354" t="inlineStr">
        <is>
          <t>Cliente A - Refrigerador</t>
        </is>
      </c>
      <c r="G1354" t="inlineStr">
        <is>
          <t>Misturadores</t>
        </is>
      </c>
      <c r="H1354" s="10" t="n">
        <v>255</v>
      </c>
      <c r="I1354" s="10">
        <f>IFERROR(T1354*H1354,0)</f>
        <v/>
      </c>
      <c r="J1354" s="11" t="n">
        <v>46148</v>
      </c>
      <c r="K1354" s="11" t="n"/>
      <c r="L1354" t="inlineStr">
        <is>
          <t>Em andamento</t>
        </is>
      </c>
      <c r="M1354">
        <f>IF(L1354="","",IFERROR(VLOOKUP(L1354,mapGrupoStatus,2,0),"Outros"))</f>
        <v/>
      </c>
      <c r="N1354">
        <f>IF(O1354="","",IF(O1354&lt;=30,"0-30 dias",IF(O1354&lt;=60,"31-60 dias",IF(O1354&lt;=90,"61-90 dias","Mais de 90 dias"))))</f>
        <v/>
      </c>
      <c r="O1354">
        <f>IF(OR(M1354="Pendente",M1354="Em andamento"),IF(J1354="","",TODAY()-J1354),"")</f>
        <v/>
      </c>
      <c r="P1354" t="n">
        <v>11244</v>
      </c>
      <c r="Q1354" t="inlineStr">
        <is>
          <t>Refrigeração Manutenção (11244)</t>
        </is>
      </c>
      <c r="R1354" t="inlineStr">
        <is>
          <t>PC-0039</t>
        </is>
      </c>
      <c r="S1354" t="inlineStr">
        <is>
          <t>Bomba de recirculação modelo 03</t>
        </is>
      </c>
      <c r="T1354" t="n">
        <v>1</v>
      </c>
      <c r="U1354" t="n">
        <v>150</v>
      </c>
      <c r="V1354">
        <f>IF(J1354="","",MONTH(J1354))</f>
        <v/>
      </c>
      <c r="W1354">
        <f>IF(J1354="","",YEAR(J1354))</f>
        <v/>
      </c>
      <c r="X1354" t="inlineStr">
        <is>
          <t>ViaCargo</t>
        </is>
      </c>
      <c r="Y1354">
        <f>IFERROR(INDEX(Rastreio!$H$2:$H$200,MATCH(X1354&amp;"|"&amp;U1354,Rastreio!$A$2:$A$200,0)),"")</f>
        <v/>
      </c>
    </row>
    <row r="1355">
      <c r="A1355">
        <f>IFERROR(INDEX(STAs!$G$2:$G$61,MATCH(P1355,STAs!$F$2:$F$61,0))&amp;"","")</f>
        <v/>
      </c>
      <c r="B1355" t="n">
        <v>20002447</v>
      </c>
      <c r="C1355" t="inlineStr">
        <is>
          <t>Não</t>
        </is>
      </c>
      <c r="D1355" t="inlineStr">
        <is>
          <t>SP</t>
        </is>
      </c>
      <c r="E1355" t="inlineStr">
        <is>
          <t>SUDESTE SP</t>
        </is>
      </c>
      <c r="F1355" t="inlineStr">
        <is>
          <t>Cliente A - Refrigerador</t>
        </is>
      </c>
      <c r="G1355" t="inlineStr">
        <is>
          <t>Refrigeradores</t>
        </is>
      </c>
      <c r="H1355" s="10" t="n">
        <v>190</v>
      </c>
      <c r="I1355" s="10">
        <f>IFERROR(T1355*H1355,0)</f>
        <v/>
      </c>
      <c r="J1355" s="11" t="n">
        <v>46149</v>
      </c>
      <c r="K1355" s="11" t="n">
        <v>46162</v>
      </c>
      <c r="L1355" t="inlineStr">
        <is>
          <t>Ok. Devolvida</t>
        </is>
      </c>
      <c r="M1355">
        <f>IF(L1355="","",IFERROR(VLOOKUP(L1355,mapGrupoStatus,2,0),"Outros"))</f>
        <v/>
      </c>
      <c r="N1355">
        <f>IF(O1355="","",IF(O1355&lt;=30,"0-30 dias",IF(O1355&lt;=60,"31-60 dias",IF(O1355&lt;=90,"61-90 dias","Mais de 90 dias"))))</f>
        <v/>
      </c>
      <c r="O1355">
        <f>IF(OR(M1355="Pendente",M1355="Em andamento"),IF(J1355="","",TODAY()-J1355),"")</f>
        <v/>
      </c>
      <c r="P1355" t="n">
        <v>10538</v>
      </c>
      <c r="Q1355" t="inlineStr">
        <is>
          <t>Frio Refrigeração (10538)</t>
        </is>
      </c>
      <c r="R1355" t="inlineStr">
        <is>
          <t>PC-0014</t>
        </is>
      </c>
      <c r="S1355" t="inlineStr">
        <is>
          <t>Placa eletrônica modelo 04</t>
        </is>
      </c>
      <c r="T1355" t="n">
        <v>1</v>
      </c>
      <c r="U1355" t="n">
        <v>103</v>
      </c>
      <c r="V1355">
        <f>IF(J1355="","",MONTH(J1355))</f>
        <v/>
      </c>
      <c r="W1355">
        <f>IF(J1355="","",YEAR(J1355))</f>
        <v/>
      </c>
      <c r="X1355" t="inlineStr">
        <is>
          <t>TransNorte</t>
        </is>
      </c>
      <c r="Y1355">
        <f>IFERROR(INDEX(Rastreio!$H$2:$H$200,MATCH(X1355&amp;"|"&amp;U1355,Rastreio!$A$2:$A$200,0)),"")</f>
        <v/>
      </c>
    </row>
    <row r="1356">
      <c r="A1356">
        <f>IFERROR(INDEX(STAs!$G$2:$G$61,MATCH(P1356,STAs!$F$2:$F$61,0))&amp;"","")</f>
        <v/>
      </c>
      <c r="B1356" t="n">
        <v>20007318</v>
      </c>
      <c r="C1356" t="inlineStr">
        <is>
          <t>Não</t>
        </is>
      </c>
      <c r="D1356" t="inlineStr">
        <is>
          <t>ES</t>
        </is>
      </c>
      <c r="E1356" t="inlineStr">
        <is>
          <t>SUDESTE RJ e ES</t>
        </is>
      </c>
      <c r="F1356" t="inlineStr">
        <is>
          <t>Cliente B - Chopeira</t>
        </is>
      </c>
      <c r="G1356" t="inlineStr">
        <is>
          <t>Chopeiras</t>
        </is>
      </c>
      <c r="H1356" s="10" t="n">
        <v>205</v>
      </c>
      <c r="I1356" s="10">
        <f>IFERROR(T1356*H1356,0)</f>
        <v/>
      </c>
      <c r="J1356" s="11" t="n">
        <v>46149</v>
      </c>
      <c r="K1356" s="11" t="n">
        <v>46190</v>
      </c>
      <c r="L1356" t="inlineStr">
        <is>
          <t>Ok. Devolvida</t>
        </is>
      </c>
      <c r="M1356">
        <f>IF(L1356="","",IFERROR(VLOOKUP(L1356,mapGrupoStatus,2,0),"Outros"))</f>
        <v/>
      </c>
      <c r="N1356">
        <f>IF(O1356="","",IF(O1356&lt;=30,"0-30 dias",IF(O1356&lt;=60,"31-60 dias",IF(O1356&lt;=90,"61-90 dias","Mais de 90 dias"))))</f>
        <v/>
      </c>
      <c r="O1356">
        <f>IF(OR(M1356="Pendente",M1356="Em andamento"),IF(J1356="","",TODAY()-J1356),"")</f>
        <v/>
      </c>
      <c r="P1356" t="n">
        <v>11162</v>
      </c>
      <c r="Q1356" t="inlineStr">
        <is>
          <t>Ártico Refrigeração (11162)</t>
        </is>
      </c>
      <c r="R1356" t="inlineStr">
        <is>
          <t>PC-0031</t>
        </is>
      </c>
      <c r="S1356" t="inlineStr">
        <is>
          <t>Serpentina modelo 03</t>
        </is>
      </c>
      <c r="T1356" t="n">
        <v>1</v>
      </c>
      <c r="U1356" t="n">
        <v>112</v>
      </c>
      <c r="V1356">
        <f>IF(J1356="","",MONTH(J1356))</f>
        <v/>
      </c>
      <c r="W1356">
        <f>IF(J1356="","",YEAR(J1356))</f>
        <v/>
      </c>
      <c r="X1356" t="inlineStr">
        <is>
          <t>CargoMax</t>
        </is>
      </c>
      <c r="Y1356">
        <f>IFERROR(INDEX(Rastreio!$H$2:$H$200,MATCH(X1356&amp;"|"&amp;U1356,Rastreio!$A$2:$A$200,0)),"")</f>
        <v/>
      </c>
    </row>
    <row r="1357">
      <c r="A1357">
        <f>IFERROR(INDEX(STAs!$G$2:$G$61,MATCH(P1357,STAs!$F$2:$F$61,0))&amp;"","")</f>
        <v/>
      </c>
      <c r="B1357" t="n">
        <v>20012199</v>
      </c>
      <c r="C1357" t="inlineStr">
        <is>
          <t>Não</t>
        </is>
      </c>
      <c r="D1357" t="inlineStr">
        <is>
          <t>SP</t>
        </is>
      </c>
      <c r="E1357" t="inlineStr">
        <is>
          <t>SUDESTE SP</t>
        </is>
      </c>
      <c r="F1357" t="inlineStr">
        <is>
          <t>Cliente B - Chopeira</t>
        </is>
      </c>
      <c r="G1357" t="inlineStr">
        <is>
          <t>Refrigeradores</t>
        </is>
      </c>
      <c r="H1357" s="10" t="n">
        <v>185</v>
      </c>
      <c r="I1357" s="10">
        <f>IFERROR(T1357*H1357,0)</f>
        <v/>
      </c>
      <c r="J1357" s="11" t="n">
        <v>46149</v>
      </c>
      <c r="K1357" s="11" t="n">
        <v>46156</v>
      </c>
      <c r="L1357" t="inlineStr">
        <is>
          <t>Ok. Devolvida</t>
        </is>
      </c>
      <c r="M1357">
        <f>IF(L1357="","",IFERROR(VLOOKUP(L1357,mapGrupoStatus,2,0),"Outros"))</f>
        <v/>
      </c>
      <c r="N1357">
        <f>IF(O1357="","",IF(O1357&lt;=30,"0-30 dias",IF(O1357&lt;=60,"31-60 dias",IF(O1357&lt;=90,"61-90 dias","Mais de 90 dias"))))</f>
        <v/>
      </c>
      <c r="O1357">
        <f>IF(OR(M1357="Pendente",M1357="Em andamento"),IF(J1357="","",TODAY()-J1357),"")</f>
        <v/>
      </c>
      <c r="P1357" t="n">
        <v>10111</v>
      </c>
      <c r="Q1357" t="inlineStr">
        <is>
          <t>Refrigel Manutenção (10111)</t>
        </is>
      </c>
      <c r="R1357" t="inlineStr">
        <is>
          <t>PC-0013</t>
        </is>
      </c>
      <c r="S1357" t="inlineStr">
        <is>
          <t>Placa eletrônica modelo 03</t>
        </is>
      </c>
      <c r="T1357" t="n">
        <v>1</v>
      </c>
      <c r="U1357" t="n">
        <v>123</v>
      </c>
      <c r="V1357">
        <f>IF(J1357="","",MONTH(J1357))</f>
        <v/>
      </c>
      <c r="W1357">
        <f>IF(J1357="","",YEAR(J1357))</f>
        <v/>
      </c>
      <c r="X1357" t="inlineStr">
        <is>
          <t>CargoMax</t>
        </is>
      </c>
      <c r="Y1357">
        <f>IFERROR(INDEX(Rastreio!$H$2:$H$200,MATCH(X1357&amp;"|"&amp;U1357,Rastreio!$A$2:$A$200,0)),"")</f>
        <v/>
      </c>
    </row>
    <row r="1358">
      <c r="A1358">
        <f>IFERROR(INDEX(STAs!$G$2:$G$61,MATCH(P1358,STAs!$F$2:$F$61,0))&amp;"","")</f>
        <v/>
      </c>
      <c r="B1358" t="n">
        <v>20012945</v>
      </c>
      <c r="C1358" t="inlineStr">
        <is>
          <t>Não</t>
        </is>
      </c>
      <c r="D1358" t="inlineStr">
        <is>
          <t>SC</t>
        </is>
      </c>
      <c r="E1358" t="inlineStr">
        <is>
          <t>SUL</t>
        </is>
      </c>
      <c r="F1358" t="inlineStr">
        <is>
          <t>Cliente C - Misturador</t>
        </is>
      </c>
      <c r="G1358" t="inlineStr">
        <is>
          <t>Refrigeradores</t>
        </is>
      </c>
      <c r="H1358" s="10" t="n">
        <v>55</v>
      </c>
      <c r="I1358" s="10">
        <f>IFERROR(T1358*H1358,0)</f>
        <v/>
      </c>
      <c r="J1358" s="11" t="n">
        <v>46149</v>
      </c>
      <c r="K1358" s="11" t="n"/>
      <c r="L1358" t="inlineStr">
        <is>
          <t>Aguardando devolução</t>
        </is>
      </c>
      <c r="M1358">
        <f>IF(L1358="","",IFERROR(VLOOKUP(L1358,mapGrupoStatus,2,0),"Outros"))</f>
        <v/>
      </c>
      <c r="N1358">
        <f>IF(O1358="","",IF(O1358&lt;=30,"0-30 dias",IF(O1358&lt;=60,"31-60 dias",IF(O1358&lt;=90,"61-90 dias","Mais de 90 dias"))))</f>
        <v/>
      </c>
      <c r="O1358">
        <f>IF(OR(M1358="Pendente",M1358="Em andamento"),IF(J1358="","",TODAY()-J1358),"")</f>
        <v/>
      </c>
      <c r="P1358" t="n">
        <v>12138</v>
      </c>
      <c r="Q1358" t="inlineStr">
        <is>
          <t>Refrigeração Serviços (12138)</t>
        </is>
      </c>
      <c r="R1358" t="inlineStr">
        <is>
          <t>PC-0007</t>
        </is>
      </c>
      <c r="S1358" t="inlineStr">
        <is>
          <t>Ventilador modelo 01</t>
        </is>
      </c>
      <c r="T1358" t="n">
        <v>1</v>
      </c>
      <c r="U1358" t="inlineStr"/>
      <c r="V1358">
        <f>IF(J1358="","",MONTH(J1358))</f>
        <v/>
      </c>
      <c r="W1358">
        <f>IF(J1358="","",YEAR(J1358))</f>
        <v/>
      </c>
      <c r="X1358" t="inlineStr"/>
      <c r="Y1358">
        <f>IFERROR(INDEX(Rastreio!$H$2:$H$200,MATCH(X1358&amp;"|"&amp;U1358,Rastreio!$A$2:$A$200,0)),"")</f>
        <v/>
      </c>
    </row>
    <row r="1359">
      <c r="A1359">
        <f>IFERROR(INDEX(STAs!$G$2:$G$61,MATCH(P1359,STAs!$F$2:$F$61,0))&amp;"","")</f>
        <v/>
      </c>
      <c r="B1359" t="n">
        <v>20016121</v>
      </c>
      <c r="C1359" t="inlineStr">
        <is>
          <t>Não</t>
        </is>
      </c>
      <c r="D1359" t="inlineStr">
        <is>
          <t>BA</t>
        </is>
      </c>
      <c r="E1359" t="inlineStr">
        <is>
          <t>NORDESTE</t>
        </is>
      </c>
      <c r="F1359" t="inlineStr">
        <is>
          <t>Cliente C - Misturador</t>
        </is>
      </c>
      <c r="G1359" t="inlineStr">
        <is>
          <t>Refrigeradores</t>
        </is>
      </c>
      <c r="H1359" s="10" t="n">
        <v>35</v>
      </c>
      <c r="I1359" s="10">
        <f>IFERROR(T1359*H1359,0)</f>
        <v/>
      </c>
      <c r="J1359" s="11" t="n">
        <v>46149</v>
      </c>
      <c r="K1359" s="11" t="n">
        <v>46207</v>
      </c>
      <c r="L1359" t="inlineStr">
        <is>
          <t>Ok. Devolvida</t>
        </is>
      </c>
      <c r="M1359">
        <f>IF(L1359="","",IFERROR(VLOOKUP(L1359,mapGrupoStatus,2,0),"Outros"))</f>
        <v/>
      </c>
      <c r="N1359">
        <f>IF(O1359="","",IF(O1359&lt;=30,"0-30 dias",IF(O1359&lt;=60,"31-60 dias",IF(O1359&lt;=90,"61-90 dias","Mais de 90 dias"))))</f>
        <v/>
      </c>
      <c r="O1359">
        <f>IF(OR(M1359="Pendente",M1359="Em andamento"),IF(J1359="","",TODAY()-J1359),"")</f>
        <v/>
      </c>
      <c r="P1359" t="n">
        <v>11244</v>
      </c>
      <c r="Q1359" t="inlineStr">
        <is>
          <t>Refrigeração Manutenção (11244)</t>
        </is>
      </c>
      <c r="R1359" t="inlineStr">
        <is>
          <t>PC-0023</t>
        </is>
      </c>
      <c r="S1359" t="inlineStr">
        <is>
          <t>Relé de partida modelo 01</t>
        </is>
      </c>
      <c r="T1359" t="n">
        <v>1</v>
      </c>
      <c r="U1359" t="n">
        <v>128</v>
      </c>
      <c r="V1359">
        <f>IF(J1359="","",MONTH(J1359))</f>
        <v/>
      </c>
      <c r="W1359">
        <f>IF(J1359="","",YEAR(J1359))</f>
        <v/>
      </c>
      <c r="X1359" t="inlineStr">
        <is>
          <t>LogExpress</t>
        </is>
      </c>
      <c r="Y1359">
        <f>IFERROR(INDEX(Rastreio!$H$2:$H$200,MATCH(X1359&amp;"|"&amp;U1359,Rastreio!$A$2:$A$200,0)),"")</f>
        <v/>
      </c>
    </row>
    <row r="1360">
      <c r="A1360">
        <f>IFERROR(INDEX(STAs!$G$2:$G$61,MATCH(P1360,STAs!$F$2:$F$61,0))&amp;"","")</f>
        <v/>
      </c>
      <c r="B1360" t="n">
        <v>20017717</v>
      </c>
      <c r="C1360" t="inlineStr">
        <is>
          <t>Não</t>
        </is>
      </c>
      <c r="D1360" t="inlineStr">
        <is>
          <t>SP</t>
        </is>
      </c>
      <c r="E1360" t="inlineStr">
        <is>
          <t>SUDESTE SP</t>
        </is>
      </c>
      <c r="F1360" t="inlineStr">
        <is>
          <t>Cliente A - Refrigerador</t>
        </is>
      </c>
      <c r="G1360" t="inlineStr">
        <is>
          <t>Misturadores</t>
        </is>
      </c>
      <c r="H1360" s="10" t="n">
        <v>40</v>
      </c>
      <c r="I1360" s="10">
        <f>IFERROR(T1360*H1360,0)</f>
        <v/>
      </c>
      <c r="J1360" s="11" t="n">
        <v>46149</v>
      </c>
      <c r="K1360" s="11" t="n"/>
      <c r="L1360" t="inlineStr">
        <is>
          <t>Aguardando devolução</t>
        </is>
      </c>
      <c r="M1360">
        <f>IF(L1360="","",IFERROR(VLOOKUP(L1360,mapGrupoStatus,2,0),"Outros"))</f>
        <v/>
      </c>
      <c r="N1360">
        <f>IF(O1360="","",IF(O1360&lt;=30,"0-30 dias",IF(O1360&lt;=60,"31-60 dias",IF(O1360&lt;=90,"61-90 dias","Mais de 90 dias"))))</f>
        <v/>
      </c>
      <c r="O1360">
        <f>IF(OR(M1360="Pendente",M1360="Em andamento"),IF(J1360="","",TODAY()-J1360),"")</f>
        <v/>
      </c>
      <c r="P1360" t="n">
        <v>10538</v>
      </c>
      <c r="Q1360" t="inlineStr">
        <is>
          <t>Frio Refrigeração (10538)</t>
        </is>
      </c>
      <c r="R1360" t="inlineStr">
        <is>
          <t>PC-0042</t>
        </is>
      </c>
      <c r="S1360" t="inlineStr">
        <is>
          <t>Bico dosador modelo 01</t>
        </is>
      </c>
      <c r="T1360" t="n">
        <v>2</v>
      </c>
      <c r="U1360" t="inlineStr"/>
      <c r="V1360">
        <f>IF(J1360="","",MONTH(J1360))</f>
        <v/>
      </c>
      <c r="W1360">
        <f>IF(J1360="","",YEAR(J1360))</f>
        <v/>
      </c>
      <c r="X1360" t="inlineStr"/>
      <c r="Y1360">
        <f>IFERROR(INDEX(Rastreio!$H$2:$H$200,MATCH(X1360&amp;"|"&amp;U1360,Rastreio!$A$2:$A$200,0)),"")</f>
        <v/>
      </c>
    </row>
    <row r="1361">
      <c r="A1361">
        <f>IFERROR(INDEX(STAs!$G$2:$G$61,MATCH(P1361,STAs!$F$2:$F$61,0))&amp;"","")</f>
        <v/>
      </c>
      <c r="B1361" t="n">
        <v>20018551</v>
      </c>
      <c r="C1361" t="inlineStr">
        <is>
          <t>Não</t>
        </is>
      </c>
      <c r="D1361" t="inlineStr">
        <is>
          <t>ES</t>
        </is>
      </c>
      <c r="E1361" t="inlineStr">
        <is>
          <t>SUDESTE RJ e ES</t>
        </is>
      </c>
      <c r="F1361" t="inlineStr">
        <is>
          <t>Cliente A - Refrigerador</t>
        </is>
      </c>
      <c r="G1361" t="inlineStr">
        <is>
          <t>Misturadores</t>
        </is>
      </c>
      <c r="H1361" s="10" t="n">
        <v>60</v>
      </c>
      <c r="I1361" s="10">
        <f>IFERROR(T1361*H1361,0)</f>
        <v/>
      </c>
      <c r="J1361" s="11" t="n">
        <v>46149</v>
      </c>
      <c r="K1361" s="11" t="n">
        <v>46161</v>
      </c>
      <c r="L1361" t="inlineStr">
        <is>
          <t>Ok. Devolvida</t>
        </is>
      </c>
      <c r="M1361">
        <f>IF(L1361="","",IFERROR(VLOOKUP(L1361,mapGrupoStatus,2,0),"Outros"))</f>
        <v/>
      </c>
      <c r="N1361">
        <f>IF(O1361="","",IF(O1361&lt;=30,"0-30 dias",IF(O1361&lt;=60,"31-60 dias",IF(O1361&lt;=90,"61-90 dias","Mais de 90 dias"))))</f>
        <v/>
      </c>
      <c r="O1361">
        <f>IF(OR(M1361="Pendente",M1361="Em andamento"),IF(J1361="","",TODAY()-J1361),"")</f>
        <v/>
      </c>
      <c r="P1361" t="n">
        <v>11162</v>
      </c>
      <c r="Q1361" t="inlineStr">
        <is>
          <t>Ártico Refrigeração (11162)</t>
        </is>
      </c>
      <c r="R1361" t="inlineStr">
        <is>
          <t>PC-0046</t>
        </is>
      </c>
      <c r="S1361" t="inlineStr">
        <is>
          <t>Sensor de nível modelo 02</t>
        </is>
      </c>
      <c r="T1361" t="n">
        <v>1</v>
      </c>
      <c r="U1361" t="n">
        <v>127</v>
      </c>
      <c r="V1361">
        <f>IF(J1361="","",MONTH(J1361))</f>
        <v/>
      </c>
      <c r="W1361">
        <f>IF(J1361="","",YEAR(J1361))</f>
        <v/>
      </c>
      <c r="X1361" t="inlineStr">
        <is>
          <t>EntregaJá</t>
        </is>
      </c>
      <c r="Y1361">
        <f>IFERROR(INDEX(Rastreio!$H$2:$H$200,MATCH(X1361&amp;"|"&amp;U1361,Rastreio!$A$2:$A$200,0)),"")</f>
        <v/>
      </c>
    </row>
    <row r="1362">
      <c r="A1362">
        <f>IFERROR(INDEX(STAs!$G$2:$G$61,MATCH(P1362,STAs!$F$2:$F$61,0))&amp;"","")</f>
        <v/>
      </c>
      <c r="B1362" t="n">
        <v>20019971</v>
      </c>
      <c r="C1362" t="inlineStr">
        <is>
          <t>Não</t>
        </is>
      </c>
      <c r="D1362" t="inlineStr">
        <is>
          <t>BA</t>
        </is>
      </c>
      <c r="E1362" t="inlineStr">
        <is>
          <t>NORDESTE</t>
        </is>
      </c>
      <c r="F1362" t="inlineStr">
        <is>
          <t>Cliente B - Chopeira</t>
        </is>
      </c>
      <c r="G1362" t="inlineStr">
        <is>
          <t>Refrigeradores</t>
        </is>
      </c>
      <c r="H1362" s="10" t="n">
        <v>35</v>
      </c>
      <c r="I1362" s="10">
        <f>IFERROR(T1362*H1362,0)</f>
        <v/>
      </c>
      <c r="J1362" s="11" t="n">
        <v>46149</v>
      </c>
      <c r="K1362" s="11" t="n">
        <v>46163</v>
      </c>
      <c r="L1362" t="inlineStr">
        <is>
          <t>Ok. Devolvida</t>
        </is>
      </c>
      <c r="M1362">
        <f>IF(L1362="","",IFERROR(VLOOKUP(L1362,mapGrupoStatus,2,0),"Outros"))</f>
        <v/>
      </c>
      <c r="N1362">
        <f>IF(O1362="","",IF(O1362&lt;=30,"0-30 dias",IF(O1362&lt;=60,"31-60 dias",IF(O1362&lt;=90,"61-90 dias","Mais de 90 dias"))))</f>
        <v/>
      </c>
      <c r="O1362">
        <f>IF(OR(M1362="Pendente",M1362="Em andamento"),IF(J1362="","",TODAY()-J1362),"")</f>
        <v/>
      </c>
      <c r="P1362" t="n">
        <v>11244</v>
      </c>
      <c r="Q1362" t="inlineStr">
        <is>
          <t>Refrigeração Manutenção (11244)</t>
        </is>
      </c>
      <c r="R1362" t="inlineStr">
        <is>
          <t>PC-0020</t>
        </is>
      </c>
      <c r="S1362" t="inlineStr">
        <is>
          <t>Gaxeta da porta modelo 03</t>
        </is>
      </c>
      <c r="T1362" t="n">
        <v>1</v>
      </c>
      <c r="U1362" t="n">
        <v>131</v>
      </c>
      <c r="V1362">
        <f>IF(J1362="","",MONTH(J1362))</f>
        <v/>
      </c>
      <c r="W1362">
        <f>IF(J1362="","",YEAR(J1362))</f>
        <v/>
      </c>
      <c r="X1362" t="inlineStr">
        <is>
          <t>TransNorte</t>
        </is>
      </c>
      <c r="Y1362">
        <f>IFERROR(INDEX(Rastreio!$H$2:$H$200,MATCH(X1362&amp;"|"&amp;U1362,Rastreio!$A$2:$A$200,0)),"")</f>
        <v/>
      </c>
    </row>
    <row r="1363">
      <c r="A1363">
        <f>IFERROR(INDEX(STAs!$G$2:$G$61,MATCH(P1363,STAs!$F$2:$F$61,0))&amp;"","")</f>
        <v/>
      </c>
      <c r="B1363" t="n">
        <v>20022922</v>
      </c>
      <c r="C1363" t="inlineStr">
        <is>
          <t>Não</t>
        </is>
      </c>
      <c r="D1363" t="inlineStr">
        <is>
          <t>RS</t>
        </is>
      </c>
      <c r="E1363" t="inlineStr">
        <is>
          <t>SUL</t>
        </is>
      </c>
      <c r="F1363" t="inlineStr">
        <is>
          <t>Cliente B - Chopeira</t>
        </is>
      </c>
      <c r="G1363" t="inlineStr">
        <is>
          <t>Refrigeradores</t>
        </is>
      </c>
      <c r="H1363" s="10" t="n">
        <v>25</v>
      </c>
      <c r="I1363" s="10">
        <f>IFERROR(T1363*H1363,0)</f>
        <v/>
      </c>
      <c r="J1363" s="11" t="n">
        <v>46149</v>
      </c>
      <c r="K1363" s="11" t="n">
        <v>46193</v>
      </c>
      <c r="L1363" t="inlineStr">
        <is>
          <t>Ok. Devolvida</t>
        </is>
      </c>
      <c r="M1363">
        <f>IF(L1363="","",IFERROR(VLOOKUP(L1363,mapGrupoStatus,2,0),"Outros"))</f>
        <v/>
      </c>
      <c r="N1363">
        <f>IF(O1363="","",IF(O1363&lt;=30,"0-30 dias",IF(O1363&lt;=60,"31-60 dias",IF(O1363&lt;=90,"61-90 dias","Mais de 90 dias"))))</f>
        <v/>
      </c>
      <c r="O1363">
        <f>IF(OR(M1363="Pendente",M1363="Em andamento"),IF(J1363="","",TODAY()-J1363),"")</f>
        <v/>
      </c>
      <c r="P1363" t="n">
        <v>11459</v>
      </c>
      <c r="Q1363" t="inlineStr">
        <is>
          <t>Frio ME (11459)</t>
        </is>
      </c>
      <c r="R1363" t="inlineStr">
        <is>
          <t>PC-0015</t>
        </is>
      </c>
      <c r="S1363" t="inlineStr">
        <is>
          <t>Filtro secador modelo 01</t>
        </is>
      </c>
      <c r="T1363" t="n">
        <v>3</v>
      </c>
      <c r="U1363" t="n">
        <v>140</v>
      </c>
      <c r="V1363">
        <f>IF(J1363="","",MONTH(J1363))</f>
        <v/>
      </c>
      <c r="W1363">
        <f>IF(J1363="","",YEAR(J1363))</f>
        <v/>
      </c>
      <c r="X1363" t="inlineStr">
        <is>
          <t>LogExpress</t>
        </is>
      </c>
      <c r="Y1363">
        <f>IFERROR(INDEX(Rastreio!$H$2:$H$200,MATCH(X1363&amp;"|"&amp;U1363,Rastreio!$A$2:$A$200,0)),"")</f>
        <v/>
      </c>
    </row>
    <row r="1364">
      <c r="A1364">
        <f>IFERROR(INDEX(STAs!$G$2:$G$61,MATCH(P1364,STAs!$F$2:$F$61,0))&amp;"","")</f>
        <v/>
      </c>
      <c r="B1364" t="n">
        <v>20028570</v>
      </c>
      <c r="C1364" t="inlineStr">
        <is>
          <t>Não</t>
        </is>
      </c>
      <c r="D1364" t="inlineStr">
        <is>
          <t>ES</t>
        </is>
      </c>
      <c r="E1364" t="inlineStr">
        <is>
          <t>SUDESTE RJ e ES</t>
        </is>
      </c>
      <c r="F1364" t="inlineStr">
        <is>
          <t>Cliente C - Misturador</t>
        </is>
      </c>
      <c r="G1364" t="inlineStr">
        <is>
          <t>Chopeiras</t>
        </is>
      </c>
      <c r="H1364" s="10" t="n">
        <v>100</v>
      </c>
      <c r="I1364" s="10">
        <f>IFERROR(T1364*H1364,0)</f>
        <v/>
      </c>
      <c r="J1364" s="11" t="n">
        <v>46149</v>
      </c>
      <c r="K1364" s="11" t="n">
        <v>46167</v>
      </c>
      <c r="L1364" t="inlineStr">
        <is>
          <t>Ok. Devolvida</t>
        </is>
      </c>
      <c r="M1364">
        <f>IF(L1364="","",IFERROR(VLOOKUP(L1364,mapGrupoStatus,2,0),"Outros"))</f>
        <v/>
      </c>
      <c r="N1364">
        <f>IF(O1364="","",IF(O1364&lt;=30,"0-30 dias",IF(O1364&lt;=60,"31-60 dias",IF(O1364&lt;=90,"61-90 dias","Mais de 90 dias"))))</f>
        <v/>
      </c>
      <c r="O1364">
        <f>IF(OR(M1364="Pendente",M1364="Em andamento"),IF(J1364="","",TODAY()-J1364),"")</f>
        <v/>
      </c>
      <c r="P1364" t="n">
        <v>11162</v>
      </c>
      <c r="Q1364" t="inlineStr">
        <is>
          <t>Ártico Refrigeração (11162)</t>
        </is>
      </c>
      <c r="R1364" t="inlineStr">
        <is>
          <t>PC-0027</t>
        </is>
      </c>
      <c r="S1364" t="inlineStr">
        <is>
          <t>Torneira de chopp modelo 02</t>
        </is>
      </c>
      <c r="T1364" t="n">
        <v>1</v>
      </c>
      <c r="U1364" t="n">
        <v>149</v>
      </c>
      <c r="V1364">
        <f>IF(J1364="","",MONTH(J1364))</f>
        <v/>
      </c>
      <c r="W1364">
        <f>IF(J1364="","",YEAR(J1364))</f>
        <v/>
      </c>
      <c r="X1364" t="inlineStr">
        <is>
          <t>TransNorte</t>
        </is>
      </c>
      <c r="Y1364">
        <f>IFERROR(INDEX(Rastreio!$H$2:$H$200,MATCH(X1364&amp;"|"&amp;U1364,Rastreio!$A$2:$A$200,0)),"")</f>
        <v/>
      </c>
    </row>
    <row r="1365">
      <c r="A1365">
        <f>IFERROR(INDEX(STAs!$G$2:$G$61,MATCH(P1365,STAs!$F$2:$F$61,0))&amp;"","")</f>
        <v/>
      </c>
      <c r="B1365" t="n">
        <v>20034037</v>
      </c>
      <c r="C1365" t="inlineStr">
        <is>
          <t>Não</t>
        </is>
      </c>
      <c r="D1365" t="inlineStr">
        <is>
          <t>MS</t>
        </is>
      </c>
      <c r="E1365" t="inlineStr">
        <is>
          <t>CENTRO OESTE</t>
        </is>
      </c>
      <c r="F1365" t="inlineStr">
        <is>
          <t>Cliente C - Misturador</t>
        </is>
      </c>
      <c r="G1365" t="inlineStr">
        <is>
          <t>Refrigeradores</t>
        </is>
      </c>
      <c r="H1365" s="10" t="n">
        <v>325</v>
      </c>
      <c r="I1365" s="10">
        <f>IFERROR(T1365*H1365,0)</f>
        <v/>
      </c>
      <c r="J1365" s="11" t="n">
        <v>46149</v>
      </c>
      <c r="K1365" s="11" t="n">
        <v>46185</v>
      </c>
      <c r="L1365" t="inlineStr">
        <is>
          <t>Ok. Devolvida</t>
        </is>
      </c>
      <c r="M1365">
        <f>IF(L1365="","",IFERROR(VLOOKUP(L1365,mapGrupoStatus,2,0),"Outros"))</f>
        <v/>
      </c>
      <c r="N1365">
        <f>IF(O1365="","",IF(O1365&lt;=30,"0-30 dias",IF(O1365&lt;=60,"31-60 dias",IF(O1365&lt;=90,"61-90 dias","Mais de 90 dias"))))</f>
        <v/>
      </c>
      <c r="O1365">
        <f>IF(OR(M1365="Pendente",M1365="Em andamento"),IF(J1365="","",TODAY()-J1365),"")</f>
        <v/>
      </c>
      <c r="P1365" t="n">
        <v>10302</v>
      </c>
      <c r="Q1365" t="inlineStr">
        <is>
          <t>Ice Tech Express (10302)</t>
        </is>
      </c>
      <c r="R1365" t="inlineStr">
        <is>
          <t>PC-0001</t>
        </is>
      </c>
      <c r="S1365" t="inlineStr">
        <is>
          <t>Compressor modelo 01</t>
        </is>
      </c>
      <c r="T1365" t="n">
        <v>1</v>
      </c>
      <c r="U1365" t="n">
        <v>161</v>
      </c>
      <c r="V1365">
        <f>IF(J1365="","",MONTH(J1365))</f>
        <v/>
      </c>
      <c r="W1365">
        <f>IF(J1365="","",YEAR(J1365))</f>
        <v/>
      </c>
      <c r="X1365" t="inlineStr">
        <is>
          <t>TransNorte</t>
        </is>
      </c>
      <c r="Y1365">
        <f>IFERROR(INDEX(Rastreio!$H$2:$H$200,MATCH(X1365&amp;"|"&amp;U1365,Rastreio!$A$2:$A$200,0)),"")</f>
        <v/>
      </c>
    </row>
    <row r="1366">
      <c r="A1366">
        <f>IFERROR(INDEX(STAs!$G$2:$G$61,MATCH(P1366,STAs!$F$2:$F$61,0))&amp;"","")</f>
        <v/>
      </c>
      <c r="B1366" t="n">
        <v>20005982</v>
      </c>
      <c r="C1366" t="inlineStr">
        <is>
          <t>Não</t>
        </is>
      </c>
      <c r="D1366" t="inlineStr">
        <is>
          <t>GO</t>
        </is>
      </c>
      <c r="E1366" t="inlineStr">
        <is>
          <t>CENTRO OESTE</t>
        </is>
      </c>
      <c r="F1366" t="inlineStr">
        <is>
          <t>Cliente A - Refrigerador</t>
        </is>
      </c>
      <c r="G1366" t="inlineStr">
        <is>
          <t>Chopeiras</t>
        </is>
      </c>
      <c r="H1366" s="10" t="n">
        <v>85</v>
      </c>
      <c r="I1366" s="10">
        <f>IFERROR(T1366*H1366,0)</f>
        <v/>
      </c>
      <c r="J1366" s="11" t="n">
        <v>46150</v>
      </c>
      <c r="K1366" s="11" t="n"/>
      <c r="L1366" t="inlineStr">
        <is>
          <t>Em andamento</t>
        </is>
      </c>
      <c r="M1366">
        <f>IF(L1366="","",IFERROR(VLOOKUP(L1366,mapGrupoStatus,2,0),"Outros"))</f>
        <v/>
      </c>
      <c r="N1366">
        <f>IF(O1366="","",IF(O1366&lt;=30,"0-30 dias",IF(O1366&lt;=60,"31-60 dias",IF(O1366&lt;=90,"61-90 dias","Mais de 90 dias"))))</f>
        <v/>
      </c>
      <c r="O1366">
        <f>IF(OR(M1366="Pendente",M1366="Em andamento"),IF(J1366="","",TODAY()-J1366),"")</f>
        <v/>
      </c>
      <c r="P1366" t="n">
        <v>11293</v>
      </c>
      <c r="Q1366" t="inlineStr">
        <is>
          <t>Assistência Técnica Ltda (11293)</t>
        </is>
      </c>
      <c r="R1366" t="inlineStr">
        <is>
          <t>PC-0028</t>
        </is>
      </c>
      <c r="S1366" t="inlineStr">
        <is>
          <t>Torneira de chopp modelo 03</t>
        </is>
      </c>
      <c r="T1366" t="n">
        <v>1</v>
      </c>
      <c r="U1366" t="n">
        <v>112</v>
      </c>
      <c r="V1366">
        <f>IF(J1366="","",MONTH(J1366))</f>
        <v/>
      </c>
      <c r="W1366">
        <f>IF(J1366="","",YEAR(J1366))</f>
        <v/>
      </c>
      <c r="X1366" t="inlineStr">
        <is>
          <t>EntregaJá</t>
        </is>
      </c>
      <c r="Y1366">
        <f>IFERROR(INDEX(Rastreio!$H$2:$H$200,MATCH(X1366&amp;"|"&amp;U1366,Rastreio!$A$2:$A$200,0)),"")</f>
        <v/>
      </c>
    </row>
    <row r="1367">
      <c r="A1367">
        <f>IFERROR(INDEX(STAs!$G$2:$G$61,MATCH(P1367,STAs!$F$2:$F$61,0))&amp;"","")</f>
        <v/>
      </c>
      <c r="B1367" t="n">
        <v>20006258</v>
      </c>
      <c r="C1367" t="inlineStr">
        <is>
          <t>Não</t>
        </is>
      </c>
      <c r="D1367" t="inlineStr">
        <is>
          <t>PI</t>
        </is>
      </c>
      <c r="E1367" t="inlineStr">
        <is>
          <t>NORDESTE</t>
        </is>
      </c>
      <c r="F1367" t="inlineStr">
        <is>
          <t>Cliente B - Chopeira</t>
        </is>
      </c>
      <c r="G1367" t="inlineStr">
        <is>
          <t>Refrigeradores</t>
        </is>
      </c>
      <c r="H1367" s="10" t="n">
        <v>35</v>
      </c>
      <c r="I1367" s="10">
        <f>IFERROR(T1367*H1367,0)</f>
        <v/>
      </c>
      <c r="J1367" s="11" t="n">
        <v>46150</v>
      </c>
      <c r="K1367" s="11" t="n">
        <v>46155</v>
      </c>
      <c r="L1367" t="inlineStr">
        <is>
          <t>Ok. Devolvida</t>
        </is>
      </c>
      <c r="M1367">
        <f>IF(L1367="","",IFERROR(VLOOKUP(L1367,mapGrupoStatus,2,0),"Outros"))</f>
        <v/>
      </c>
      <c r="N1367">
        <f>IF(O1367="","",IF(O1367&lt;=30,"0-30 dias",IF(O1367&lt;=60,"31-60 dias",IF(O1367&lt;=90,"61-90 dias","Mais de 90 dias"))))</f>
        <v/>
      </c>
      <c r="O1367">
        <f>IF(OR(M1367="Pendente",M1367="Em andamento"),IF(J1367="","",TODAY()-J1367),"")</f>
        <v/>
      </c>
      <c r="P1367" t="n">
        <v>12936</v>
      </c>
      <c r="Q1367" t="inlineStr">
        <is>
          <t>Frigo Técnica (12936)</t>
        </is>
      </c>
      <c r="R1367" t="inlineStr">
        <is>
          <t>PC-0024</t>
        </is>
      </c>
      <c r="S1367" t="inlineStr">
        <is>
          <t>Relé de partida modelo 02</t>
        </is>
      </c>
      <c r="T1367" t="n">
        <v>1</v>
      </c>
      <c r="U1367" t="n">
        <v>113</v>
      </c>
      <c r="V1367">
        <f>IF(J1367="","",MONTH(J1367))</f>
        <v/>
      </c>
      <c r="W1367">
        <f>IF(J1367="","",YEAR(J1367))</f>
        <v/>
      </c>
      <c r="X1367" t="inlineStr">
        <is>
          <t>EntregaJá</t>
        </is>
      </c>
      <c r="Y1367">
        <f>IFERROR(INDEX(Rastreio!$H$2:$H$200,MATCH(X1367&amp;"|"&amp;U1367,Rastreio!$A$2:$A$200,0)),"")</f>
        <v/>
      </c>
    </row>
    <row r="1368">
      <c r="A1368">
        <f>IFERROR(INDEX(STAs!$G$2:$G$61,MATCH(P1368,STAs!$F$2:$F$61,0))&amp;"","")</f>
        <v/>
      </c>
      <c r="B1368" t="n">
        <v>20008924</v>
      </c>
      <c r="C1368" t="inlineStr">
        <is>
          <t>Não</t>
        </is>
      </c>
      <c r="D1368" t="inlineStr">
        <is>
          <t>MG</t>
        </is>
      </c>
      <c r="E1368" t="inlineStr">
        <is>
          <t>SUDESTE MG</t>
        </is>
      </c>
      <c r="F1368" t="inlineStr">
        <is>
          <t>Cliente B - Chopeira</t>
        </is>
      </c>
      <c r="G1368" t="inlineStr">
        <is>
          <t>Refrigeradores</t>
        </is>
      </c>
      <c r="H1368" s="10" t="n">
        <v>70</v>
      </c>
      <c r="I1368" s="10">
        <f>IFERROR(T1368*H1368,0)</f>
        <v/>
      </c>
      <c r="J1368" s="11" t="n">
        <v>46150</v>
      </c>
      <c r="K1368" s="11" t="n">
        <v>46181</v>
      </c>
      <c r="L1368" t="inlineStr">
        <is>
          <t>Ok. Devolvida</t>
        </is>
      </c>
      <c r="M1368">
        <f>IF(L1368="","",IFERROR(VLOOKUP(L1368,mapGrupoStatus,2,0),"Outros"))</f>
        <v/>
      </c>
      <c r="N1368">
        <f>IF(O1368="","",IF(O1368&lt;=30,"0-30 dias",IF(O1368&lt;=60,"31-60 dias",IF(O1368&lt;=90,"61-90 dias","Mais de 90 dias"))))</f>
        <v/>
      </c>
      <c r="O1368">
        <f>IF(OR(M1368="Pendente",M1368="Em andamento"),IF(J1368="","",TODAY()-J1368),"")</f>
        <v/>
      </c>
      <c r="P1368" t="n">
        <v>12158</v>
      </c>
      <c r="Q1368" t="inlineStr">
        <is>
          <t>Gelo Serviços (12158)</t>
        </is>
      </c>
      <c r="R1368" t="inlineStr">
        <is>
          <t>PC-0009</t>
        </is>
      </c>
      <c r="S1368" t="inlineStr">
        <is>
          <t>Ventilador modelo 03</t>
        </is>
      </c>
      <c r="T1368" t="n">
        <v>1</v>
      </c>
      <c r="U1368" t="n">
        <v>117</v>
      </c>
      <c r="V1368">
        <f>IF(J1368="","",MONTH(J1368))</f>
        <v/>
      </c>
      <c r="W1368">
        <f>IF(J1368="","",YEAR(J1368))</f>
        <v/>
      </c>
      <c r="X1368" t="inlineStr">
        <is>
          <t>RotaSul</t>
        </is>
      </c>
      <c r="Y1368">
        <f>IFERROR(INDEX(Rastreio!$H$2:$H$200,MATCH(X1368&amp;"|"&amp;U1368,Rastreio!$A$2:$A$200,0)),"")</f>
        <v/>
      </c>
    </row>
    <row r="1369">
      <c r="A1369">
        <f>IFERROR(INDEX(STAs!$G$2:$G$61,MATCH(P1369,STAs!$F$2:$F$61,0))&amp;"","")</f>
        <v/>
      </c>
      <c r="B1369" t="n">
        <v>20012505</v>
      </c>
      <c r="C1369" t="inlineStr">
        <is>
          <t>Não</t>
        </is>
      </c>
      <c r="D1369" t="inlineStr">
        <is>
          <t>RJ</t>
        </is>
      </c>
      <c r="E1369" t="inlineStr">
        <is>
          <t>SUDESTE RJ e ES</t>
        </is>
      </c>
      <c r="F1369" t="inlineStr">
        <is>
          <t>Cliente C - Misturador</t>
        </is>
      </c>
      <c r="G1369" t="inlineStr">
        <is>
          <t>Chopeiras</t>
        </is>
      </c>
      <c r="H1369" s="10" t="n">
        <v>205</v>
      </c>
      <c r="I1369" s="10">
        <f>IFERROR(T1369*H1369,0)</f>
        <v/>
      </c>
      <c r="J1369" s="11" t="n">
        <v>46150</v>
      </c>
      <c r="K1369" s="11" t="n"/>
      <c r="L1369" t="inlineStr">
        <is>
          <t>Aguardando devolução</t>
        </is>
      </c>
      <c r="M1369">
        <f>IF(L1369="","",IFERROR(VLOOKUP(L1369,mapGrupoStatus,2,0),"Outros"))</f>
        <v/>
      </c>
      <c r="N1369">
        <f>IF(O1369="","",IF(O1369&lt;=30,"0-30 dias",IF(O1369&lt;=60,"31-60 dias",IF(O1369&lt;=90,"61-90 dias","Mais de 90 dias"))))</f>
        <v/>
      </c>
      <c r="O1369">
        <f>IF(OR(M1369="Pendente",M1369="Em andamento"),IF(J1369="","",TODAY()-J1369),"")</f>
        <v/>
      </c>
      <c r="P1369" t="n">
        <v>11059</v>
      </c>
      <c r="Q1369" t="inlineStr">
        <is>
          <t>Frio Ltda (11059)</t>
        </is>
      </c>
      <c r="R1369" t="inlineStr">
        <is>
          <t>PC-0031</t>
        </is>
      </c>
      <c r="S1369" t="inlineStr">
        <is>
          <t>Serpentina modelo 03</t>
        </is>
      </c>
      <c r="T1369" t="n">
        <v>1</v>
      </c>
      <c r="U1369" t="inlineStr"/>
      <c r="V1369">
        <f>IF(J1369="","",MONTH(J1369))</f>
        <v/>
      </c>
      <c r="W1369">
        <f>IF(J1369="","",YEAR(J1369))</f>
        <v/>
      </c>
      <c r="X1369" t="inlineStr"/>
      <c r="Y1369">
        <f>IFERROR(INDEX(Rastreio!$H$2:$H$200,MATCH(X1369&amp;"|"&amp;U1369,Rastreio!$A$2:$A$200,0)),"")</f>
        <v/>
      </c>
    </row>
    <row r="1370">
      <c r="A1370">
        <f>IFERROR(INDEX(STAs!$G$2:$G$61,MATCH(P1370,STAs!$F$2:$F$61,0))&amp;"","")</f>
        <v/>
      </c>
      <c r="B1370" t="n">
        <v>20014136</v>
      </c>
      <c r="C1370" t="inlineStr">
        <is>
          <t>Sim</t>
        </is>
      </c>
      <c r="D1370" t="inlineStr">
        <is>
          <t>PR</t>
        </is>
      </c>
      <c r="E1370" t="inlineStr">
        <is>
          <t>SUL</t>
        </is>
      </c>
      <c r="F1370" t="inlineStr">
        <is>
          <t>Cliente B - Chopeira</t>
        </is>
      </c>
      <c r="G1370" t="inlineStr">
        <is>
          <t>Refrigeradores</t>
        </is>
      </c>
      <c r="H1370" s="10" t="n">
        <v>155</v>
      </c>
      <c r="I1370" s="10">
        <f>IFERROR(T1370*H1370,0)</f>
        <v/>
      </c>
      <c r="J1370" s="11" t="n">
        <v>46150</v>
      </c>
      <c r="K1370" s="11" t="n">
        <v>46185</v>
      </c>
      <c r="L1370" t="inlineStr">
        <is>
          <t>Ok. Devolvida</t>
        </is>
      </c>
      <c r="M1370">
        <f>IF(L1370="","",IFERROR(VLOOKUP(L1370,mapGrupoStatus,2,0),"Outros"))</f>
        <v/>
      </c>
      <c r="N1370">
        <f>IF(O1370="","",IF(O1370&lt;=30,"0-30 dias",IF(O1370&lt;=60,"31-60 dias",IF(O1370&lt;=90,"61-90 dias","Mais de 90 dias"))))</f>
        <v/>
      </c>
      <c r="O1370">
        <f>IF(OR(M1370="Pendente",M1370="Em andamento"),IF(J1370="","",TODAY()-J1370),"")</f>
        <v/>
      </c>
      <c r="P1370" t="n">
        <v>12724</v>
      </c>
      <c r="Q1370" t="inlineStr">
        <is>
          <t>Cool Service &amp; Cia (12724)</t>
        </is>
      </c>
      <c r="R1370" t="inlineStr">
        <is>
          <t>PC-0021</t>
        </is>
      </c>
      <c r="S1370" t="inlineStr">
        <is>
          <t>Controlador digital modelo 01</t>
        </is>
      </c>
      <c r="T1370" t="n">
        <v>2</v>
      </c>
      <c r="U1370" t="n">
        <v>126</v>
      </c>
      <c r="V1370">
        <f>IF(J1370="","",MONTH(J1370))</f>
        <v/>
      </c>
      <c r="W1370">
        <f>IF(J1370="","",YEAR(J1370))</f>
        <v/>
      </c>
      <c r="X1370" t="inlineStr">
        <is>
          <t>LogExpress</t>
        </is>
      </c>
      <c r="Y1370">
        <f>IFERROR(INDEX(Rastreio!$H$2:$H$200,MATCH(X1370&amp;"|"&amp;U1370,Rastreio!$A$2:$A$200,0)),"")</f>
        <v/>
      </c>
    </row>
    <row r="1371">
      <c r="A1371">
        <f>IFERROR(INDEX(STAs!$G$2:$G$61,MATCH(P1371,STAs!$F$2:$F$61,0))&amp;"","")</f>
        <v/>
      </c>
      <c r="B1371" t="n">
        <v>20015231</v>
      </c>
      <c r="C1371" t="inlineStr">
        <is>
          <t>Não</t>
        </is>
      </c>
      <c r="D1371" t="inlineStr">
        <is>
          <t>RJ</t>
        </is>
      </c>
      <c r="E1371" t="inlineStr">
        <is>
          <t>SUDESTE RJ e ES</t>
        </is>
      </c>
      <c r="F1371" t="inlineStr">
        <is>
          <t>Cliente A - Refrigerador</t>
        </is>
      </c>
      <c r="G1371" t="inlineStr">
        <is>
          <t>Refrigeradores</t>
        </is>
      </c>
      <c r="H1371" s="10" t="n">
        <v>55</v>
      </c>
      <c r="I1371" s="10">
        <f>IFERROR(T1371*H1371,0)</f>
        <v/>
      </c>
      <c r="J1371" s="11" t="n">
        <v>46150</v>
      </c>
      <c r="K1371" s="11" t="n">
        <v>46195</v>
      </c>
      <c r="L1371" t="inlineStr">
        <is>
          <t>Ok. Devolvida</t>
        </is>
      </c>
      <c r="M1371">
        <f>IF(L1371="","",IFERROR(VLOOKUP(L1371,mapGrupoStatus,2,0),"Outros"))</f>
        <v/>
      </c>
      <c r="N1371">
        <f>IF(O1371="","",IF(O1371&lt;=30,"0-30 dias",IF(O1371&lt;=60,"31-60 dias",IF(O1371&lt;=90,"61-90 dias","Mais de 90 dias"))))</f>
        <v/>
      </c>
      <c r="O1371">
        <f>IF(OR(M1371="Pendente",M1371="Em andamento"),IF(J1371="","",TODAY()-J1371),"")</f>
        <v/>
      </c>
      <c r="P1371" t="n">
        <v>12811</v>
      </c>
      <c r="Q1371" t="inlineStr">
        <is>
          <t>Norte Frio Técnica (12811)</t>
        </is>
      </c>
      <c r="R1371" t="inlineStr">
        <is>
          <t>PC-0007</t>
        </is>
      </c>
      <c r="S1371" t="inlineStr">
        <is>
          <t>Ventilador modelo 01</t>
        </is>
      </c>
      <c r="T1371" t="n">
        <v>1</v>
      </c>
      <c r="U1371" t="n">
        <v>122</v>
      </c>
      <c r="V1371">
        <f>IF(J1371="","",MONTH(J1371))</f>
        <v/>
      </c>
      <c r="W1371">
        <f>IF(J1371="","",YEAR(J1371))</f>
        <v/>
      </c>
      <c r="X1371" t="inlineStr">
        <is>
          <t>RotaSul</t>
        </is>
      </c>
      <c r="Y1371">
        <f>IFERROR(INDEX(Rastreio!$H$2:$H$200,MATCH(X1371&amp;"|"&amp;U1371,Rastreio!$A$2:$A$200,0)),"")</f>
        <v/>
      </c>
    </row>
    <row r="1372">
      <c r="A1372">
        <f>IFERROR(INDEX(STAs!$G$2:$G$61,MATCH(P1372,STAs!$F$2:$F$61,0))&amp;"","")</f>
        <v/>
      </c>
      <c r="B1372" t="n">
        <v>20017299</v>
      </c>
      <c r="C1372" t="inlineStr">
        <is>
          <t>Não</t>
        </is>
      </c>
      <c r="D1372" t="inlineStr">
        <is>
          <t>SP</t>
        </is>
      </c>
      <c r="E1372" t="inlineStr">
        <is>
          <t>SUDESTE SP</t>
        </is>
      </c>
      <c r="F1372" t="inlineStr">
        <is>
          <t>Cliente C - Misturador</t>
        </is>
      </c>
      <c r="G1372" t="inlineStr">
        <is>
          <t>Refrigeradores</t>
        </is>
      </c>
      <c r="H1372" s="10" t="n">
        <v>35</v>
      </c>
      <c r="I1372" s="10">
        <f>IFERROR(T1372*H1372,0)</f>
        <v/>
      </c>
      <c r="J1372" s="11" t="n">
        <v>46150</v>
      </c>
      <c r="K1372" s="11" t="n"/>
      <c r="L1372" t="inlineStr">
        <is>
          <t>Aguardando devolução</t>
        </is>
      </c>
      <c r="M1372">
        <f>IF(L1372="","",IFERROR(VLOOKUP(L1372,mapGrupoStatus,2,0),"Outros"))</f>
        <v/>
      </c>
      <c r="N1372">
        <f>IF(O1372="","",IF(O1372&lt;=30,"0-30 dias",IF(O1372&lt;=60,"31-60 dias",IF(O1372&lt;=90,"61-90 dias","Mais de 90 dias"))))</f>
        <v/>
      </c>
      <c r="O1372">
        <f>IF(OR(M1372="Pendente",M1372="Em andamento"),IF(J1372="","",TODAY()-J1372),"")</f>
        <v/>
      </c>
      <c r="P1372" t="n">
        <v>10413</v>
      </c>
      <c r="Q1372" t="inlineStr">
        <is>
          <t>Polar Manutenção (10413)</t>
        </is>
      </c>
      <c r="R1372" t="inlineStr">
        <is>
          <t>PC-0020</t>
        </is>
      </c>
      <c r="S1372" t="inlineStr">
        <is>
          <t>Gaxeta da porta modelo 03</t>
        </is>
      </c>
      <c r="T1372" t="n">
        <v>1</v>
      </c>
      <c r="U1372" t="inlineStr"/>
      <c r="V1372">
        <f>IF(J1372="","",MONTH(J1372))</f>
        <v/>
      </c>
      <c r="W1372">
        <f>IF(J1372="","",YEAR(J1372))</f>
        <v/>
      </c>
      <c r="X1372" t="inlineStr"/>
      <c r="Y1372">
        <f>IFERROR(INDEX(Rastreio!$H$2:$H$200,MATCH(X1372&amp;"|"&amp;U1372,Rastreio!$A$2:$A$200,0)),"")</f>
        <v/>
      </c>
    </row>
    <row r="1373">
      <c r="A1373">
        <f>IFERROR(INDEX(STAs!$G$2:$G$61,MATCH(P1373,STAs!$F$2:$F$61,0))&amp;"","")</f>
        <v/>
      </c>
      <c r="B1373" t="n">
        <v>20019011</v>
      </c>
      <c r="C1373" t="inlineStr">
        <is>
          <t>Não</t>
        </is>
      </c>
      <c r="D1373" t="inlineStr">
        <is>
          <t>PR</t>
        </is>
      </c>
      <c r="E1373" t="inlineStr">
        <is>
          <t>SUL</t>
        </is>
      </c>
      <c r="F1373" t="inlineStr">
        <is>
          <t>Cliente C - Misturador</t>
        </is>
      </c>
      <c r="G1373" t="inlineStr">
        <is>
          <t>Chopeiras</t>
        </is>
      </c>
      <c r="H1373" s="10" t="n">
        <v>85</v>
      </c>
      <c r="I1373" s="10">
        <f>IFERROR(T1373*H1373,0)</f>
        <v/>
      </c>
      <c r="J1373" s="11" t="n">
        <v>46150</v>
      </c>
      <c r="K1373" s="11" t="n">
        <v>46207</v>
      </c>
      <c r="L1373" t="inlineStr">
        <is>
          <t>Ok. Devolvida</t>
        </is>
      </c>
      <c r="M1373">
        <f>IF(L1373="","",IFERROR(VLOOKUP(L1373,mapGrupoStatus,2,0),"Outros"))</f>
        <v/>
      </c>
      <c r="N1373">
        <f>IF(O1373="","",IF(O1373&lt;=30,"0-30 dias",IF(O1373&lt;=60,"31-60 dias",IF(O1373&lt;=90,"61-90 dias","Mais de 90 dias"))))</f>
        <v/>
      </c>
      <c r="O1373">
        <f>IF(OR(M1373="Pendente",M1373="Em andamento"),IF(J1373="","",TODAY()-J1373),"")</f>
        <v/>
      </c>
      <c r="P1373" t="n">
        <v>12089</v>
      </c>
      <c r="Q1373" t="inlineStr">
        <is>
          <t>Termotec Serviços (12089)</t>
        </is>
      </c>
      <c r="R1373" t="inlineStr">
        <is>
          <t>PC-0026</t>
        </is>
      </c>
      <c r="S1373" t="inlineStr">
        <is>
          <t>Torneira de chopp modelo 01</t>
        </is>
      </c>
      <c r="T1373" t="n">
        <v>3</v>
      </c>
      <c r="U1373" t="n">
        <v>136</v>
      </c>
      <c r="V1373">
        <f>IF(J1373="","",MONTH(J1373))</f>
        <v/>
      </c>
      <c r="W1373">
        <f>IF(J1373="","",YEAR(J1373))</f>
        <v/>
      </c>
      <c r="X1373" t="inlineStr">
        <is>
          <t>CargoMax</t>
        </is>
      </c>
      <c r="Y1373">
        <f>IFERROR(INDEX(Rastreio!$H$2:$H$200,MATCH(X1373&amp;"|"&amp;U1373,Rastreio!$A$2:$A$200,0)),"")</f>
        <v/>
      </c>
    </row>
    <row r="1374">
      <c r="A1374">
        <f>IFERROR(INDEX(STAs!$G$2:$G$61,MATCH(P1374,STAs!$F$2:$F$61,0))&amp;"","")</f>
        <v/>
      </c>
      <c r="B1374" t="n">
        <v>20026784</v>
      </c>
      <c r="C1374" t="inlineStr">
        <is>
          <t>Não</t>
        </is>
      </c>
      <c r="D1374" t="inlineStr">
        <is>
          <t>MG</t>
        </is>
      </c>
      <c r="E1374" t="inlineStr">
        <is>
          <t>SUDESTE MG</t>
        </is>
      </c>
      <c r="F1374" t="inlineStr">
        <is>
          <t>Cliente C - Misturador</t>
        </is>
      </c>
      <c r="G1374" t="inlineStr">
        <is>
          <t>Refrigeradores</t>
        </is>
      </c>
      <c r="H1374" s="10" t="n">
        <v>30</v>
      </c>
      <c r="I1374" s="10">
        <f>IFERROR(T1374*H1374,0)</f>
        <v/>
      </c>
      <c r="J1374" s="11" t="n">
        <v>46150</v>
      </c>
      <c r="K1374" s="11" t="n">
        <v>46168</v>
      </c>
      <c r="L1374" t="inlineStr">
        <is>
          <t>Ok. Devolvida</t>
        </is>
      </c>
      <c r="M1374">
        <f>IF(L1374="","",IFERROR(VLOOKUP(L1374,mapGrupoStatus,2,0),"Outros"))</f>
        <v/>
      </c>
      <c r="N1374">
        <f>IF(O1374="","",IF(O1374&lt;=30,"0-30 dias",IF(O1374&lt;=60,"31-60 dias",IF(O1374&lt;=90,"61-90 dias","Mais de 90 dias"))))</f>
        <v/>
      </c>
      <c r="O1374">
        <f>IF(OR(M1374="Pendente",M1374="Em andamento"),IF(J1374="","",TODAY()-J1374),"")</f>
        <v/>
      </c>
      <c r="P1374" t="n">
        <v>12470</v>
      </c>
      <c r="Q1374" t="inlineStr">
        <is>
          <t>Cool Service Técnica (12470)</t>
        </is>
      </c>
      <c r="R1374" t="inlineStr">
        <is>
          <t>PC-0025</t>
        </is>
      </c>
      <c r="S1374" t="inlineStr">
        <is>
          <t>Relé de partida modelo 03</t>
        </is>
      </c>
      <c r="T1374" t="n">
        <v>2</v>
      </c>
      <c r="U1374" t="n">
        <v>144</v>
      </c>
      <c r="V1374">
        <f>IF(J1374="","",MONTH(J1374))</f>
        <v/>
      </c>
      <c r="W1374">
        <f>IF(J1374="","",YEAR(J1374))</f>
        <v/>
      </c>
      <c r="X1374" t="inlineStr">
        <is>
          <t>CargoMax</t>
        </is>
      </c>
      <c r="Y1374">
        <f>IFERROR(INDEX(Rastreio!$H$2:$H$200,MATCH(X1374&amp;"|"&amp;U1374,Rastreio!$A$2:$A$200,0)),"")</f>
        <v/>
      </c>
    </row>
    <row r="1375">
      <c r="A1375">
        <f>IFERROR(INDEX(STAs!$G$2:$G$61,MATCH(P1375,STAs!$F$2:$F$61,0))&amp;"","")</f>
        <v/>
      </c>
      <c r="B1375" t="n">
        <v>20032423</v>
      </c>
      <c r="C1375" t="inlineStr">
        <is>
          <t>Não</t>
        </is>
      </c>
      <c r="D1375" t="inlineStr">
        <is>
          <t>RR</t>
        </is>
      </c>
      <c r="E1375" t="inlineStr">
        <is>
          <t>NORTE</t>
        </is>
      </c>
      <c r="F1375" t="inlineStr">
        <is>
          <t>Cliente B - Chopeira</t>
        </is>
      </c>
      <c r="G1375" t="inlineStr">
        <is>
          <t>Refrigeradores</t>
        </is>
      </c>
      <c r="H1375" s="10" t="n">
        <v>190</v>
      </c>
      <c r="I1375" s="10">
        <f>IFERROR(T1375*H1375,0)</f>
        <v/>
      </c>
      <c r="J1375" s="11" t="n">
        <v>46150</v>
      </c>
      <c r="K1375" s="11" t="n"/>
      <c r="L1375" t="inlineStr">
        <is>
          <t>Não Devolve-Norte</t>
        </is>
      </c>
      <c r="M1375">
        <f>IF(L1375="","",IFERROR(VLOOKUP(L1375,mapGrupoStatus,2,0),"Outros"))</f>
        <v/>
      </c>
      <c r="N1375">
        <f>IF(O1375="","",IF(O1375&lt;=30,"0-30 dias",IF(O1375&lt;=60,"31-60 dias",IF(O1375&lt;=90,"61-90 dias","Mais de 90 dias"))))</f>
        <v/>
      </c>
      <c r="O1375">
        <f>IF(OR(M1375="Pendente",M1375="Em andamento"),IF(J1375="","",TODAY()-J1375),"")</f>
        <v/>
      </c>
      <c r="P1375" t="n">
        <v>11818</v>
      </c>
      <c r="Q1375" t="inlineStr">
        <is>
          <t>Termotec Ltda (11818)</t>
        </is>
      </c>
      <c r="R1375" t="inlineStr">
        <is>
          <t>PC-0014</t>
        </is>
      </c>
      <c r="S1375" t="inlineStr">
        <is>
          <t>Placa eletrônica modelo 04</t>
        </is>
      </c>
      <c r="T1375" t="n">
        <v>2</v>
      </c>
      <c r="U1375" t="inlineStr"/>
      <c r="V1375">
        <f>IF(J1375="","",MONTH(J1375))</f>
        <v/>
      </c>
      <c r="W1375">
        <f>IF(J1375="","",YEAR(J1375))</f>
        <v/>
      </c>
      <c r="X1375" t="inlineStr"/>
      <c r="Y1375">
        <f>IFERROR(INDEX(Rastreio!$H$2:$H$200,MATCH(X1375&amp;"|"&amp;U1375,Rastreio!$A$2:$A$200,0)),"")</f>
        <v/>
      </c>
    </row>
    <row r="1376">
      <c r="A1376">
        <f>IFERROR(INDEX(STAs!$G$2:$G$61,MATCH(P1376,STAs!$F$2:$F$61,0))&amp;"","")</f>
        <v/>
      </c>
      <c r="B1376" t="n">
        <v>20033603</v>
      </c>
      <c r="C1376" t="inlineStr">
        <is>
          <t>Não</t>
        </is>
      </c>
      <c r="D1376" t="inlineStr">
        <is>
          <t>SP</t>
        </is>
      </c>
      <c r="E1376" t="inlineStr">
        <is>
          <t>SUDESTE SP</t>
        </is>
      </c>
      <c r="F1376" t="inlineStr">
        <is>
          <t>Cliente B - Chopeira</t>
        </is>
      </c>
      <c r="G1376" t="inlineStr">
        <is>
          <t>Refrigeradores</t>
        </is>
      </c>
      <c r="H1376" s="10" t="n">
        <v>30</v>
      </c>
      <c r="I1376" s="10">
        <f>IFERROR(T1376*H1376,0)</f>
        <v/>
      </c>
      <c r="J1376" s="11" t="n">
        <v>46150</v>
      </c>
      <c r="K1376" s="11" t="n"/>
      <c r="L1376" t="inlineStr">
        <is>
          <t>Aguardando devolução</t>
        </is>
      </c>
      <c r="M1376">
        <f>IF(L1376="","",IFERROR(VLOOKUP(L1376,mapGrupoStatus,2,0),"Outros"))</f>
        <v/>
      </c>
      <c r="N1376">
        <f>IF(O1376="","",IF(O1376&lt;=30,"0-30 dias",IF(O1376&lt;=60,"31-60 dias",IF(O1376&lt;=90,"61-90 dias","Mais de 90 dias"))))</f>
        <v/>
      </c>
      <c r="O1376">
        <f>IF(OR(M1376="Pendente",M1376="Em andamento"),IF(J1376="","",TODAY()-J1376),"")</f>
        <v/>
      </c>
      <c r="P1376" t="n">
        <v>10538</v>
      </c>
      <c r="Q1376" t="inlineStr">
        <is>
          <t>Frio Refrigeração (10538)</t>
        </is>
      </c>
      <c r="R1376" t="inlineStr">
        <is>
          <t>PC-0017</t>
        </is>
      </c>
      <c r="S1376" t="inlineStr">
        <is>
          <t>Filtro secador modelo 03</t>
        </is>
      </c>
      <c r="T1376" t="n">
        <v>1</v>
      </c>
      <c r="U1376" t="inlineStr"/>
      <c r="V1376">
        <f>IF(J1376="","",MONTH(J1376))</f>
        <v/>
      </c>
      <c r="W1376">
        <f>IF(J1376="","",YEAR(J1376))</f>
        <v/>
      </c>
      <c r="X1376" t="inlineStr"/>
      <c r="Y1376">
        <f>IFERROR(INDEX(Rastreio!$H$2:$H$200,MATCH(X1376&amp;"|"&amp;U1376,Rastreio!$A$2:$A$200,0)),"")</f>
        <v/>
      </c>
    </row>
    <row r="1377">
      <c r="A1377">
        <f>IFERROR(INDEX(STAs!$G$2:$G$61,MATCH(P1377,STAs!$F$2:$F$61,0))&amp;"","")</f>
        <v/>
      </c>
      <c r="B1377" t="n">
        <v>20037849</v>
      </c>
      <c r="C1377" t="inlineStr">
        <is>
          <t>Não</t>
        </is>
      </c>
      <c r="D1377" t="inlineStr">
        <is>
          <t>DF</t>
        </is>
      </c>
      <c r="E1377" t="inlineStr">
        <is>
          <t>CENTRO OESTE</t>
        </is>
      </c>
      <c r="F1377" t="inlineStr">
        <is>
          <t>Cliente A - Refrigerador</t>
        </is>
      </c>
      <c r="G1377" t="inlineStr">
        <is>
          <t>Refrigeradores</t>
        </is>
      </c>
      <c r="H1377" s="10" t="n">
        <v>30</v>
      </c>
      <c r="I1377" s="10">
        <f>IFERROR(T1377*H1377,0)</f>
        <v/>
      </c>
      <c r="J1377" s="11" t="n">
        <v>46150</v>
      </c>
      <c r="K1377" s="11" t="n"/>
      <c r="L1377" t="inlineStr">
        <is>
          <t>Aguardando devolução</t>
        </is>
      </c>
      <c r="M1377">
        <f>IF(L1377="","",IFERROR(VLOOKUP(L1377,mapGrupoStatus,2,0),"Outros"))</f>
        <v/>
      </c>
      <c r="N1377">
        <f>IF(O1377="","",IF(O1377&lt;=30,"0-30 dias",IF(O1377&lt;=60,"31-60 dias",IF(O1377&lt;=90,"61-90 dias","Mais de 90 dias"))))</f>
        <v/>
      </c>
      <c r="O1377">
        <f>IF(OR(M1377="Pendente",M1377="Em andamento"),IF(J1377="","",TODAY()-J1377),"")</f>
        <v/>
      </c>
      <c r="P1377" t="n">
        <v>10021</v>
      </c>
      <c r="Q1377" t="inlineStr">
        <is>
          <t>Termotec Técnica (10021)</t>
        </is>
      </c>
      <c r="R1377" t="inlineStr">
        <is>
          <t>PC-0025</t>
        </is>
      </c>
      <c r="S1377" t="inlineStr">
        <is>
          <t>Relé de partida modelo 03</t>
        </is>
      </c>
      <c r="T1377" t="n">
        <v>1</v>
      </c>
      <c r="U1377" t="inlineStr"/>
      <c r="V1377">
        <f>IF(J1377="","",MONTH(J1377))</f>
        <v/>
      </c>
      <c r="W1377">
        <f>IF(J1377="","",YEAR(J1377))</f>
        <v/>
      </c>
      <c r="X1377" t="inlineStr"/>
      <c r="Y1377">
        <f>IFERROR(INDEX(Rastreio!$H$2:$H$200,MATCH(X1377&amp;"|"&amp;U1377,Rastreio!$A$2:$A$200,0)),"")</f>
        <v/>
      </c>
    </row>
    <row r="1378">
      <c r="A1378">
        <f>IFERROR(INDEX(STAs!$G$2:$G$61,MATCH(P1378,STAs!$F$2:$F$61,0))&amp;"","")</f>
        <v/>
      </c>
      <c r="B1378" t="n">
        <v>20039428</v>
      </c>
      <c r="C1378" t="inlineStr">
        <is>
          <t>Não</t>
        </is>
      </c>
      <c r="D1378" t="inlineStr">
        <is>
          <t>RR</t>
        </is>
      </c>
      <c r="E1378" t="inlineStr">
        <is>
          <t>NORTE</t>
        </is>
      </c>
      <c r="F1378" t="inlineStr">
        <is>
          <t>Cliente C - Misturador</t>
        </is>
      </c>
      <c r="G1378" t="inlineStr">
        <is>
          <t>Refrigeradores</t>
        </is>
      </c>
      <c r="H1378" s="10" t="n">
        <v>55</v>
      </c>
      <c r="I1378" s="10">
        <f>IFERROR(T1378*H1378,0)</f>
        <v/>
      </c>
      <c r="J1378" s="11" t="n">
        <v>46150</v>
      </c>
      <c r="K1378" s="11" t="n">
        <v>46197</v>
      </c>
      <c r="L1378" t="inlineStr">
        <is>
          <t>Ok. Devolvida</t>
        </is>
      </c>
      <c r="M1378">
        <f>IF(L1378="","",IFERROR(VLOOKUP(L1378,mapGrupoStatus,2,0),"Outros"))</f>
        <v/>
      </c>
      <c r="N1378">
        <f>IF(O1378="","",IF(O1378&lt;=30,"0-30 dias",IF(O1378&lt;=60,"31-60 dias",IF(O1378&lt;=90,"61-90 dias","Mais de 90 dias"))))</f>
        <v/>
      </c>
      <c r="O1378">
        <f>IF(OR(M1378="Pendente",M1378="Em andamento"),IF(J1378="","",TODAY()-J1378),"")</f>
        <v/>
      </c>
      <c r="P1378" t="n">
        <v>11818</v>
      </c>
      <c r="Q1378" t="inlineStr">
        <is>
          <t>Termotec Ltda (11818)</t>
        </is>
      </c>
      <c r="R1378" t="inlineStr">
        <is>
          <t>PC-0008</t>
        </is>
      </c>
      <c r="S1378" t="inlineStr">
        <is>
          <t>Ventilador modelo 02</t>
        </is>
      </c>
      <c r="T1378" t="n">
        <v>1</v>
      </c>
      <c r="U1378" t="n">
        <v>168</v>
      </c>
      <c r="V1378">
        <f>IF(J1378="","",MONTH(J1378))</f>
        <v/>
      </c>
      <c r="W1378">
        <f>IF(J1378="","",YEAR(J1378))</f>
        <v/>
      </c>
      <c r="X1378" t="inlineStr">
        <is>
          <t>CargoMax</t>
        </is>
      </c>
      <c r="Y1378">
        <f>IFERROR(INDEX(Rastreio!$H$2:$H$200,MATCH(X1378&amp;"|"&amp;U1378,Rastreio!$A$2:$A$200,0)),"")</f>
        <v/>
      </c>
    </row>
    <row r="1379">
      <c r="A1379">
        <f>IFERROR(INDEX(STAs!$G$2:$G$61,MATCH(P1379,STAs!$F$2:$F$61,0))&amp;"","")</f>
        <v/>
      </c>
      <c r="B1379" t="n">
        <v>20004372</v>
      </c>
      <c r="C1379" t="inlineStr">
        <is>
          <t>Sim</t>
        </is>
      </c>
      <c r="D1379" t="inlineStr">
        <is>
          <t>CE</t>
        </is>
      </c>
      <c r="E1379" t="inlineStr">
        <is>
          <t>NORDESTE</t>
        </is>
      </c>
      <c r="F1379" t="inlineStr">
        <is>
          <t>Cliente B - Chopeira</t>
        </is>
      </c>
      <c r="G1379" t="inlineStr">
        <is>
          <t>Misturadores</t>
        </is>
      </c>
      <c r="H1379" s="10" t="n">
        <v>60</v>
      </c>
      <c r="I1379" s="10">
        <f>IFERROR(T1379*H1379,0)</f>
        <v/>
      </c>
      <c r="J1379" s="11" t="n">
        <v>46151</v>
      </c>
      <c r="K1379" s="11" t="n">
        <v>46188</v>
      </c>
      <c r="L1379" t="inlineStr">
        <is>
          <t>Ok. Devolvida</t>
        </is>
      </c>
      <c r="M1379">
        <f>IF(L1379="","",IFERROR(VLOOKUP(L1379,mapGrupoStatus,2,0),"Outros"))</f>
        <v/>
      </c>
      <c r="N1379">
        <f>IF(O1379="","",IF(O1379&lt;=30,"0-30 dias",IF(O1379&lt;=60,"31-60 dias",IF(O1379&lt;=90,"61-90 dias","Mais de 90 dias"))))</f>
        <v/>
      </c>
      <c r="O1379">
        <f>IF(OR(M1379="Pendente",M1379="Em andamento"),IF(J1379="","",TODAY()-J1379),"")</f>
        <v/>
      </c>
      <c r="P1379" t="n">
        <v>10615</v>
      </c>
      <c r="Q1379" t="inlineStr">
        <is>
          <t>Brisa Técnica (10615)</t>
        </is>
      </c>
      <c r="R1379" t="inlineStr">
        <is>
          <t>PC-0046</t>
        </is>
      </c>
      <c r="S1379" t="inlineStr">
        <is>
          <t>Sensor de nível modelo 02</t>
        </is>
      </c>
      <c r="T1379" t="n">
        <v>1</v>
      </c>
      <c r="U1379" t="n">
        <v>110</v>
      </c>
      <c r="V1379">
        <f>IF(J1379="","",MONTH(J1379))</f>
        <v/>
      </c>
      <c r="W1379">
        <f>IF(J1379="","",YEAR(J1379))</f>
        <v/>
      </c>
      <c r="X1379" t="inlineStr">
        <is>
          <t>RotaSul</t>
        </is>
      </c>
      <c r="Y1379">
        <f>IFERROR(INDEX(Rastreio!$H$2:$H$200,MATCH(X1379&amp;"|"&amp;U1379,Rastreio!$A$2:$A$200,0)),"")</f>
        <v/>
      </c>
    </row>
    <row r="1380">
      <c r="A1380">
        <f>IFERROR(INDEX(STAs!$G$2:$G$61,MATCH(P1380,STAs!$F$2:$F$61,0))&amp;"","")</f>
        <v/>
      </c>
      <c r="B1380" t="n">
        <v>20017163</v>
      </c>
      <c r="C1380" t="inlineStr">
        <is>
          <t>Não</t>
        </is>
      </c>
      <c r="D1380" t="inlineStr">
        <is>
          <t>GO</t>
        </is>
      </c>
      <c r="E1380" t="inlineStr">
        <is>
          <t>CENTRO OESTE</t>
        </is>
      </c>
      <c r="F1380" t="inlineStr">
        <is>
          <t>Cliente C - Misturador</t>
        </is>
      </c>
      <c r="G1380" t="inlineStr">
        <is>
          <t>Refrigeradores</t>
        </is>
      </c>
      <c r="H1380" s="10" t="n">
        <v>55</v>
      </c>
      <c r="I1380" s="10">
        <f>IFERROR(T1380*H1380,0)</f>
        <v/>
      </c>
      <c r="J1380" s="11" t="n">
        <v>46151</v>
      </c>
      <c r="K1380" s="11" t="n">
        <v>46196</v>
      </c>
      <c r="L1380" t="inlineStr">
        <is>
          <t>Ok. Devolvida</t>
        </is>
      </c>
      <c r="M1380">
        <f>IF(L1380="","",IFERROR(VLOOKUP(L1380,mapGrupoStatus,2,0),"Outros"))</f>
        <v/>
      </c>
      <c r="N1380">
        <f>IF(O1380="","",IF(O1380&lt;=30,"0-30 dias",IF(O1380&lt;=60,"31-60 dias",IF(O1380&lt;=90,"61-90 dias","Mais de 90 dias"))))</f>
        <v/>
      </c>
      <c r="O1380">
        <f>IF(OR(M1380="Pendente",M1380="Em andamento"),IF(J1380="","",TODAY()-J1380),"")</f>
        <v/>
      </c>
      <c r="P1380" t="n">
        <v>10317</v>
      </c>
      <c r="Q1380" t="inlineStr">
        <is>
          <t>Termotec Manutenção (10317)</t>
        </is>
      </c>
      <c r="R1380" t="inlineStr">
        <is>
          <t>PC-0008</t>
        </is>
      </c>
      <c r="S1380" t="inlineStr">
        <is>
          <t>Ventilador modelo 02</t>
        </is>
      </c>
      <c r="T1380" t="n">
        <v>1</v>
      </c>
      <c r="U1380" t="n">
        <v>128</v>
      </c>
      <c r="V1380">
        <f>IF(J1380="","",MONTH(J1380))</f>
        <v/>
      </c>
      <c r="W1380">
        <f>IF(J1380="","",YEAR(J1380))</f>
        <v/>
      </c>
      <c r="X1380" t="inlineStr">
        <is>
          <t>TransNorte</t>
        </is>
      </c>
      <c r="Y1380">
        <f>IFERROR(INDEX(Rastreio!$H$2:$H$200,MATCH(X1380&amp;"|"&amp;U1380,Rastreio!$A$2:$A$200,0)),"")</f>
        <v/>
      </c>
    </row>
    <row r="1381">
      <c r="A1381">
        <f>IFERROR(INDEX(STAs!$G$2:$G$61,MATCH(P1381,STAs!$F$2:$F$61,0))&amp;"","")</f>
        <v/>
      </c>
      <c r="B1381" t="n">
        <v>20023712</v>
      </c>
      <c r="C1381" t="inlineStr">
        <is>
          <t>Não</t>
        </is>
      </c>
      <c r="D1381" t="inlineStr">
        <is>
          <t>MG</t>
        </is>
      </c>
      <c r="E1381" t="inlineStr">
        <is>
          <t>SUDESTE MG</t>
        </is>
      </c>
      <c r="F1381" t="inlineStr">
        <is>
          <t>Cliente B - Chopeira</t>
        </is>
      </c>
      <c r="G1381" t="inlineStr">
        <is>
          <t>Refrigeradores</t>
        </is>
      </c>
      <c r="H1381" s="10" t="n">
        <v>35</v>
      </c>
      <c r="I1381" s="10">
        <f>IFERROR(T1381*H1381,0)</f>
        <v/>
      </c>
      <c r="J1381" s="11" t="n">
        <v>46151</v>
      </c>
      <c r="K1381" s="11" t="n">
        <v>46178</v>
      </c>
      <c r="L1381" t="inlineStr">
        <is>
          <t>Ok. Devolvida</t>
        </is>
      </c>
      <c r="M1381">
        <f>IF(L1381="","",IFERROR(VLOOKUP(L1381,mapGrupoStatus,2,0),"Outros"))</f>
        <v/>
      </c>
      <c r="N1381">
        <f>IF(O1381="","",IF(O1381&lt;=30,"0-30 dias",IF(O1381&lt;=60,"31-60 dias",IF(O1381&lt;=90,"61-90 dias","Mais de 90 dias"))))</f>
        <v/>
      </c>
      <c r="O1381">
        <f>IF(OR(M1381="Pendente",M1381="Em andamento"),IF(J1381="","",TODAY()-J1381),"")</f>
        <v/>
      </c>
      <c r="P1381" t="n">
        <v>12158</v>
      </c>
      <c r="Q1381" t="inlineStr">
        <is>
          <t>Gelo Serviços (12158)</t>
        </is>
      </c>
      <c r="R1381" t="inlineStr">
        <is>
          <t>PC-0020</t>
        </is>
      </c>
      <c r="S1381" t="inlineStr">
        <is>
          <t>Gaxeta da porta modelo 03</t>
        </is>
      </c>
      <c r="T1381" t="n">
        <v>1</v>
      </c>
      <c r="U1381" t="n">
        <v>136</v>
      </c>
      <c r="V1381">
        <f>IF(J1381="","",MONTH(J1381))</f>
        <v/>
      </c>
      <c r="W1381">
        <f>IF(J1381="","",YEAR(J1381))</f>
        <v/>
      </c>
      <c r="X1381" t="inlineStr">
        <is>
          <t>EntregaJá</t>
        </is>
      </c>
      <c r="Y1381">
        <f>IFERROR(INDEX(Rastreio!$H$2:$H$200,MATCH(X1381&amp;"|"&amp;U1381,Rastreio!$A$2:$A$200,0)),"")</f>
        <v/>
      </c>
    </row>
    <row r="1382">
      <c r="A1382">
        <f>IFERROR(INDEX(STAs!$G$2:$G$61,MATCH(P1382,STAs!$F$2:$F$61,0))&amp;"","")</f>
        <v/>
      </c>
      <c r="B1382" t="n">
        <v>20027401</v>
      </c>
      <c r="C1382" t="inlineStr">
        <is>
          <t>Não</t>
        </is>
      </c>
      <c r="D1382" t="inlineStr">
        <is>
          <t>RR</t>
        </is>
      </c>
      <c r="E1382" t="inlineStr">
        <is>
          <t>NORTE</t>
        </is>
      </c>
      <c r="F1382" t="inlineStr">
        <is>
          <t>Cliente C - Misturador</t>
        </is>
      </c>
      <c r="G1382" t="inlineStr">
        <is>
          <t>Refrigeradores</t>
        </is>
      </c>
      <c r="H1382" s="10" t="n">
        <v>55</v>
      </c>
      <c r="I1382" s="10">
        <f>IFERROR(T1382*H1382,0)</f>
        <v/>
      </c>
      <c r="J1382" s="11" t="n">
        <v>46151</v>
      </c>
      <c r="K1382" s="11" t="n"/>
      <c r="L1382" t="inlineStr">
        <is>
          <t>Não Devolve-Norte</t>
        </is>
      </c>
      <c r="M1382">
        <f>IF(L1382="","",IFERROR(VLOOKUP(L1382,mapGrupoStatus,2,0),"Outros"))</f>
        <v/>
      </c>
      <c r="N1382">
        <f>IF(O1382="","",IF(O1382&lt;=30,"0-30 dias",IF(O1382&lt;=60,"31-60 dias",IF(O1382&lt;=90,"61-90 dias","Mais de 90 dias"))))</f>
        <v/>
      </c>
      <c r="O1382">
        <f>IF(OR(M1382="Pendente",M1382="Em andamento"),IF(J1382="","",TODAY()-J1382),"")</f>
        <v/>
      </c>
      <c r="P1382" t="n">
        <v>11818</v>
      </c>
      <c r="Q1382" t="inlineStr">
        <is>
          <t>Termotec Ltda (11818)</t>
        </is>
      </c>
      <c r="R1382" t="inlineStr">
        <is>
          <t>PC-0008</t>
        </is>
      </c>
      <c r="S1382" t="inlineStr">
        <is>
          <t>Ventilador modelo 02</t>
        </is>
      </c>
      <c r="T1382" t="n">
        <v>2</v>
      </c>
      <c r="U1382" t="inlineStr"/>
      <c r="V1382">
        <f>IF(J1382="","",MONTH(J1382))</f>
        <v/>
      </c>
      <c r="W1382">
        <f>IF(J1382="","",YEAR(J1382))</f>
        <v/>
      </c>
      <c r="X1382" t="inlineStr"/>
      <c r="Y1382">
        <f>IFERROR(INDEX(Rastreio!$H$2:$H$200,MATCH(X1382&amp;"|"&amp;U1382,Rastreio!$A$2:$A$200,0)),"")</f>
        <v/>
      </c>
    </row>
    <row r="1383">
      <c r="A1383">
        <f>IFERROR(INDEX(STAs!$G$2:$G$61,MATCH(P1383,STAs!$F$2:$F$61,0))&amp;"","")</f>
        <v/>
      </c>
      <c r="B1383" t="n">
        <v>20029593</v>
      </c>
      <c r="C1383" t="inlineStr">
        <is>
          <t>Sim</t>
        </is>
      </c>
      <c r="D1383" t="inlineStr">
        <is>
          <t>PR</t>
        </is>
      </c>
      <c r="E1383" t="inlineStr">
        <is>
          <t>SUL</t>
        </is>
      </c>
      <c r="F1383" t="inlineStr">
        <is>
          <t>Cliente B - Chopeira</t>
        </is>
      </c>
      <c r="G1383" t="inlineStr">
        <is>
          <t>Refrigeradores</t>
        </is>
      </c>
      <c r="H1383" s="10" t="n">
        <v>45</v>
      </c>
      <c r="I1383" s="10">
        <f>IFERROR(T1383*H1383,0)</f>
        <v/>
      </c>
      <c r="J1383" s="11" t="n">
        <v>46151</v>
      </c>
      <c r="K1383" s="11" t="n"/>
      <c r="L1383" t="inlineStr">
        <is>
          <t>Aguardando devolução</t>
        </is>
      </c>
      <c r="M1383">
        <f>IF(L1383="","",IFERROR(VLOOKUP(L1383,mapGrupoStatus,2,0),"Outros"))</f>
        <v/>
      </c>
      <c r="N1383">
        <f>IF(O1383="","",IF(O1383&lt;=30,"0-30 dias",IF(O1383&lt;=60,"31-60 dias",IF(O1383&lt;=90,"61-90 dias","Mais de 90 dias"))))</f>
        <v/>
      </c>
      <c r="O1383">
        <f>IF(OR(M1383="Pendente",M1383="Em andamento"),IF(J1383="","",TODAY()-J1383),"")</f>
        <v/>
      </c>
      <c r="P1383" t="n">
        <v>12724</v>
      </c>
      <c r="Q1383" t="inlineStr">
        <is>
          <t>Cool Service &amp; Cia (12724)</t>
        </is>
      </c>
      <c r="R1383" t="inlineStr">
        <is>
          <t>PC-0019</t>
        </is>
      </c>
      <c r="S1383" t="inlineStr">
        <is>
          <t>Gaxeta da porta modelo 02</t>
        </is>
      </c>
      <c r="T1383" t="n">
        <v>1</v>
      </c>
      <c r="U1383" t="inlineStr"/>
      <c r="V1383">
        <f>IF(J1383="","",MONTH(J1383))</f>
        <v/>
      </c>
      <c r="W1383">
        <f>IF(J1383="","",YEAR(J1383))</f>
        <v/>
      </c>
      <c r="X1383" t="inlineStr"/>
      <c r="Y1383">
        <f>IFERROR(INDEX(Rastreio!$H$2:$H$200,MATCH(X1383&amp;"|"&amp;U1383,Rastreio!$A$2:$A$200,0)),"")</f>
        <v/>
      </c>
    </row>
    <row r="1384">
      <c r="A1384">
        <f>IFERROR(INDEX(STAs!$G$2:$G$61,MATCH(P1384,STAs!$F$2:$F$61,0))&amp;"","")</f>
        <v/>
      </c>
      <c r="B1384" t="n">
        <v>20030444</v>
      </c>
      <c r="C1384" t="inlineStr">
        <is>
          <t>Não</t>
        </is>
      </c>
      <c r="D1384" t="inlineStr">
        <is>
          <t>ES</t>
        </is>
      </c>
      <c r="E1384" t="inlineStr">
        <is>
          <t>SUDESTE RJ e ES</t>
        </is>
      </c>
      <c r="F1384" t="inlineStr">
        <is>
          <t>Cliente C - Misturador</t>
        </is>
      </c>
      <c r="G1384" t="inlineStr">
        <is>
          <t>Chopeiras</t>
        </is>
      </c>
      <c r="H1384" s="10" t="n">
        <v>85</v>
      </c>
      <c r="I1384" s="10">
        <f>IFERROR(T1384*H1384,0)</f>
        <v/>
      </c>
      <c r="J1384" s="11" t="n">
        <v>46151</v>
      </c>
      <c r="K1384" s="11" t="n"/>
      <c r="L1384" t="inlineStr">
        <is>
          <t>Em andamento</t>
        </is>
      </c>
      <c r="M1384">
        <f>IF(L1384="","",IFERROR(VLOOKUP(L1384,mapGrupoStatus,2,0),"Outros"))</f>
        <v/>
      </c>
      <c r="N1384">
        <f>IF(O1384="","",IF(O1384&lt;=30,"0-30 dias",IF(O1384&lt;=60,"31-60 dias",IF(O1384&lt;=90,"61-90 dias","Mais de 90 dias"))))</f>
        <v/>
      </c>
      <c r="O1384">
        <f>IF(OR(M1384="Pendente",M1384="Em andamento"),IF(J1384="","",TODAY()-J1384),"")</f>
        <v/>
      </c>
      <c r="P1384" t="n">
        <v>11396</v>
      </c>
      <c r="Q1384" t="inlineStr">
        <is>
          <t>Frio Manutenção (11396)</t>
        </is>
      </c>
      <c r="R1384" t="inlineStr">
        <is>
          <t>PC-0036</t>
        </is>
      </c>
      <c r="S1384" t="inlineStr">
        <is>
          <t>Válvula extratora modelo 02</t>
        </is>
      </c>
      <c r="T1384" t="n">
        <v>2</v>
      </c>
      <c r="U1384" t="n">
        <v>148</v>
      </c>
      <c r="V1384">
        <f>IF(J1384="","",MONTH(J1384))</f>
        <v/>
      </c>
      <c r="W1384">
        <f>IF(J1384="","",YEAR(J1384))</f>
        <v/>
      </c>
      <c r="X1384" t="inlineStr">
        <is>
          <t>ViaCargo</t>
        </is>
      </c>
      <c r="Y1384">
        <f>IFERROR(INDEX(Rastreio!$H$2:$H$200,MATCH(X1384&amp;"|"&amp;U1384,Rastreio!$A$2:$A$200,0)),"")</f>
        <v/>
      </c>
    </row>
    <row r="1385">
      <c r="A1385">
        <f>IFERROR(INDEX(STAs!$G$2:$G$61,MATCH(P1385,STAs!$F$2:$F$61,0))&amp;"","")</f>
        <v/>
      </c>
      <c r="B1385" t="n">
        <v>20040970</v>
      </c>
      <c r="C1385" t="inlineStr">
        <is>
          <t>Não</t>
        </is>
      </c>
      <c r="D1385" t="inlineStr">
        <is>
          <t>ES</t>
        </is>
      </c>
      <c r="E1385" t="inlineStr">
        <is>
          <t>SUDESTE RJ e ES</t>
        </is>
      </c>
      <c r="F1385" t="inlineStr">
        <is>
          <t>Cliente A - Refrigerador</t>
        </is>
      </c>
      <c r="G1385" t="inlineStr">
        <is>
          <t>Refrigeradores</t>
        </is>
      </c>
      <c r="H1385" s="10" t="n">
        <v>185</v>
      </c>
      <c r="I1385" s="10">
        <f>IFERROR(T1385*H1385,0)</f>
        <v/>
      </c>
      <c r="J1385" s="11" t="n">
        <v>46151</v>
      </c>
      <c r="K1385" s="11" t="n">
        <v>46173</v>
      </c>
      <c r="L1385" t="inlineStr">
        <is>
          <t>Ok. Devolvida</t>
        </is>
      </c>
      <c r="M1385">
        <f>IF(L1385="","",IFERROR(VLOOKUP(L1385,mapGrupoStatus,2,0),"Outros"))</f>
        <v/>
      </c>
      <c r="N1385">
        <f>IF(O1385="","",IF(O1385&lt;=30,"0-30 dias",IF(O1385&lt;=60,"31-60 dias",IF(O1385&lt;=90,"61-90 dias","Mais de 90 dias"))))</f>
        <v/>
      </c>
      <c r="O1385">
        <f>IF(OR(M1385="Pendente",M1385="Em andamento"),IF(J1385="","",TODAY()-J1385),"")</f>
        <v/>
      </c>
      <c r="P1385" t="n">
        <v>11162</v>
      </c>
      <c r="Q1385" t="inlineStr">
        <is>
          <t>Ártico Refrigeração (11162)</t>
        </is>
      </c>
      <c r="R1385" t="inlineStr">
        <is>
          <t>PC-0013</t>
        </is>
      </c>
      <c r="S1385" t="inlineStr">
        <is>
          <t>Placa eletrônica modelo 03</t>
        </is>
      </c>
      <c r="T1385" t="n">
        <v>1</v>
      </c>
      <c r="U1385" t="n">
        <v>179</v>
      </c>
      <c r="V1385">
        <f>IF(J1385="","",MONTH(J1385))</f>
        <v/>
      </c>
      <c r="W1385">
        <f>IF(J1385="","",YEAR(J1385))</f>
        <v/>
      </c>
      <c r="X1385" t="inlineStr">
        <is>
          <t>RotaSul</t>
        </is>
      </c>
      <c r="Y1385">
        <f>IFERROR(INDEX(Rastreio!$H$2:$H$200,MATCH(X1385&amp;"|"&amp;U1385,Rastreio!$A$2:$A$200,0)),"")</f>
        <v/>
      </c>
    </row>
    <row r="1386">
      <c r="A1386">
        <f>IFERROR(INDEX(STAs!$G$2:$G$61,MATCH(P1386,STAs!$F$2:$F$61,0))&amp;"","")</f>
        <v/>
      </c>
      <c r="B1386" t="n">
        <v>20009039</v>
      </c>
      <c r="C1386" t="inlineStr">
        <is>
          <t>Não</t>
        </is>
      </c>
      <c r="D1386" t="inlineStr">
        <is>
          <t>MG</t>
        </is>
      </c>
      <c r="E1386" t="inlineStr">
        <is>
          <t>SUDESTE MG</t>
        </is>
      </c>
      <c r="F1386" t="inlineStr">
        <is>
          <t>Cliente A - Refrigerador</t>
        </is>
      </c>
      <c r="G1386" t="inlineStr">
        <is>
          <t>Refrigeradores</t>
        </is>
      </c>
      <c r="H1386" s="10" t="n">
        <v>190</v>
      </c>
      <c r="I1386" s="10">
        <f>IFERROR(T1386*H1386,0)</f>
        <v/>
      </c>
      <c r="J1386" s="11" t="n">
        <v>46152</v>
      </c>
      <c r="K1386" s="11" t="n">
        <v>46178</v>
      </c>
      <c r="L1386" t="inlineStr">
        <is>
          <t>Ok. Devolvida</t>
        </is>
      </c>
      <c r="M1386">
        <f>IF(L1386="","",IFERROR(VLOOKUP(L1386,mapGrupoStatus,2,0),"Outros"))</f>
        <v/>
      </c>
      <c r="N1386">
        <f>IF(O1386="","",IF(O1386&lt;=30,"0-30 dias",IF(O1386&lt;=60,"31-60 dias",IF(O1386&lt;=90,"61-90 dias","Mais de 90 dias"))))</f>
        <v/>
      </c>
      <c r="O1386">
        <f>IF(OR(M1386="Pendente",M1386="Em andamento"),IF(J1386="","",TODAY()-J1386),"")</f>
        <v/>
      </c>
      <c r="P1386" t="n">
        <v>12689</v>
      </c>
      <c r="Q1386" t="inlineStr">
        <is>
          <t>Norte Frio Manutenção (12689)</t>
        </is>
      </c>
      <c r="R1386" t="inlineStr">
        <is>
          <t>PC-0011</t>
        </is>
      </c>
      <c r="S1386" t="inlineStr">
        <is>
          <t>Placa eletrônica modelo 01</t>
        </is>
      </c>
      <c r="T1386" t="n">
        <v>1</v>
      </c>
      <c r="U1386" t="n">
        <v>122</v>
      </c>
      <c r="V1386">
        <f>IF(J1386="","",MONTH(J1386))</f>
        <v/>
      </c>
      <c r="W1386">
        <f>IF(J1386="","",YEAR(J1386))</f>
        <v/>
      </c>
      <c r="X1386" t="inlineStr">
        <is>
          <t>ViaCargo</t>
        </is>
      </c>
      <c r="Y1386">
        <f>IFERROR(INDEX(Rastreio!$H$2:$H$200,MATCH(X1386&amp;"|"&amp;U1386,Rastreio!$A$2:$A$200,0)),"")</f>
        <v/>
      </c>
    </row>
    <row r="1387">
      <c r="A1387">
        <f>IFERROR(INDEX(STAs!$G$2:$G$61,MATCH(P1387,STAs!$F$2:$F$61,0))&amp;"","")</f>
        <v/>
      </c>
      <c r="B1387" t="n">
        <v>20016625</v>
      </c>
      <c r="C1387" t="inlineStr">
        <is>
          <t>Não</t>
        </is>
      </c>
      <c r="D1387" t="inlineStr">
        <is>
          <t>TO</t>
        </is>
      </c>
      <c r="E1387" t="inlineStr">
        <is>
          <t>NORTE</t>
        </is>
      </c>
      <c r="F1387" t="inlineStr">
        <is>
          <t>Cliente A - Refrigerador</t>
        </is>
      </c>
      <c r="G1387" t="inlineStr">
        <is>
          <t>Chopeiras</t>
        </is>
      </c>
      <c r="H1387" s="10" t="n">
        <v>100</v>
      </c>
      <c r="I1387" s="10">
        <f>IFERROR(T1387*H1387,0)</f>
        <v/>
      </c>
      <c r="J1387" s="11" t="n">
        <v>46152</v>
      </c>
      <c r="K1387" s="11" t="n"/>
      <c r="L1387" t="inlineStr">
        <is>
          <t>NF Vencida</t>
        </is>
      </c>
      <c r="M1387">
        <f>IF(L1387="","",IFERROR(VLOOKUP(L1387,mapGrupoStatus,2,0),"Outros"))</f>
        <v/>
      </c>
      <c r="N1387">
        <f>IF(O1387="","",IF(O1387&lt;=30,"0-30 dias",IF(O1387&lt;=60,"31-60 dias",IF(O1387&lt;=90,"61-90 dias","Mais de 90 dias"))))</f>
        <v/>
      </c>
      <c r="O1387">
        <f>IF(OR(M1387="Pendente",M1387="Em andamento"),IF(J1387="","",TODAY()-J1387),"")</f>
        <v/>
      </c>
      <c r="P1387" t="n">
        <v>10939</v>
      </c>
      <c r="Q1387" t="inlineStr">
        <is>
          <t>Zero Grau Manutenção (10939)</t>
        </is>
      </c>
      <c r="R1387" t="inlineStr">
        <is>
          <t>PC-0027</t>
        </is>
      </c>
      <c r="S1387" t="inlineStr">
        <is>
          <t>Torneira de chopp modelo 02</t>
        </is>
      </c>
      <c r="T1387" t="n">
        <v>1</v>
      </c>
      <c r="U1387" t="inlineStr"/>
      <c r="V1387">
        <f>IF(J1387="","",MONTH(J1387))</f>
        <v/>
      </c>
      <c r="W1387">
        <f>IF(J1387="","",YEAR(J1387))</f>
        <v/>
      </c>
      <c r="X1387" t="inlineStr"/>
      <c r="Y1387">
        <f>IFERROR(INDEX(Rastreio!$H$2:$H$200,MATCH(X1387&amp;"|"&amp;U1387,Rastreio!$A$2:$A$200,0)),"")</f>
        <v/>
      </c>
    </row>
    <row r="1388">
      <c r="A1388">
        <f>IFERROR(INDEX(STAs!$G$2:$G$61,MATCH(P1388,STAs!$F$2:$F$61,0))&amp;"","")</f>
        <v/>
      </c>
      <c r="B1388" t="n">
        <v>20018458</v>
      </c>
      <c r="C1388" t="inlineStr">
        <is>
          <t>Não</t>
        </is>
      </c>
      <c r="D1388" t="inlineStr">
        <is>
          <t>ES</t>
        </is>
      </c>
      <c r="E1388" t="inlineStr">
        <is>
          <t>SUDESTE RJ e ES</t>
        </is>
      </c>
      <c r="F1388" t="inlineStr">
        <is>
          <t>Cliente A - Refrigerador</t>
        </is>
      </c>
      <c r="G1388" t="inlineStr">
        <is>
          <t>Refrigeradores</t>
        </is>
      </c>
      <c r="H1388" s="10" t="n">
        <v>190</v>
      </c>
      <c r="I1388" s="10">
        <f>IFERROR(T1388*H1388,0)</f>
        <v/>
      </c>
      <c r="J1388" s="11" t="n">
        <v>46152</v>
      </c>
      <c r="K1388" s="11" t="n"/>
      <c r="L1388" t="inlineStr">
        <is>
          <t>Aguardando devolução</t>
        </is>
      </c>
      <c r="M1388">
        <f>IF(L1388="","",IFERROR(VLOOKUP(L1388,mapGrupoStatus,2,0),"Outros"))</f>
        <v/>
      </c>
      <c r="N1388">
        <f>IF(O1388="","",IF(O1388&lt;=30,"0-30 dias",IF(O1388&lt;=60,"31-60 dias",IF(O1388&lt;=90,"61-90 dias","Mais de 90 dias"))))</f>
        <v/>
      </c>
      <c r="O1388">
        <f>IF(OR(M1388="Pendente",M1388="Em andamento"),IF(J1388="","",TODAY()-J1388),"")</f>
        <v/>
      </c>
      <c r="P1388" t="n">
        <v>11396</v>
      </c>
      <c r="Q1388" t="inlineStr">
        <is>
          <t>Frio Manutenção (11396)</t>
        </is>
      </c>
      <c r="R1388" t="inlineStr">
        <is>
          <t>PC-0011</t>
        </is>
      </c>
      <c r="S1388" t="inlineStr">
        <is>
          <t>Placa eletrônica modelo 01</t>
        </is>
      </c>
      <c r="T1388" t="n">
        <v>1</v>
      </c>
      <c r="U1388" t="inlineStr"/>
      <c r="V1388">
        <f>IF(J1388="","",MONTH(J1388))</f>
        <v/>
      </c>
      <c r="W1388">
        <f>IF(J1388="","",YEAR(J1388))</f>
        <v/>
      </c>
      <c r="X1388" t="inlineStr"/>
      <c r="Y1388">
        <f>IFERROR(INDEX(Rastreio!$H$2:$H$200,MATCH(X1388&amp;"|"&amp;U1388,Rastreio!$A$2:$A$200,0)),"")</f>
        <v/>
      </c>
    </row>
    <row r="1389">
      <c r="A1389">
        <f>IFERROR(INDEX(STAs!$G$2:$G$61,MATCH(P1389,STAs!$F$2:$F$61,0))&amp;"","")</f>
        <v/>
      </c>
      <c r="B1389" t="n">
        <v>20024767</v>
      </c>
      <c r="C1389" t="inlineStr">
        <is>
          <t>Sim</t>
        </is>
      </c>
      <c r="D1389" t="inlineStr">
        <is>
          <t>PR</t>
        </is>
      </c>
      <c r="E1389" t="inlineStr">
        <is>
          <t>SUL</t>
        </is>
      </c>
      <c r="F1389" t="inlineStr">
        <is>
          <t>Cliente B - Chopeira</t>
        </is>
      </c>
      <c r="G1389" t="inlineStr">
        <is>
          <t>Misturadores</t>
        </is>
      </c>
      <c r="H1389" s="10" t="n">
        <v>60</v>
      </c>
      <c r="I1389" s="10">
        <f>IFERROR(T1389*H1389,0)</f>
        <v/>
      </c>
      <c r="J1389" s="11" t="n">
        <v>46152</v>
      </c>
      <c r="K1389" s="11" t="n">
        <v>46164</v>
      </c>
      <c r="L1389" t="inlineStr">
        <is>
          <t>Ok. Devolvida</t>
        </is>
      </c>
      <c r="M1389">
        <f>IF(L1389="","",IFERROR(VLOOKUP(L1389,mapGrupoStatus,2,0),"Outros"))</f>
        <v/>
      </c>
      <c r="N1389">
        <f>IF(O1389="","",IF(O1389&lt;=30,"0-30 dias",IF(O1389&lt;=60,"31-60 dias",IF(O1389&lt;=90,"61-90 dias","Mais de 90 dias"))))</f>
        <v/>
      </c>
      <c r="O1389">
        <f>IF(OR(M1389="Pendente",M1389="Em andamento"),IF(J1389="","",TODAY()-J1389),"")</f>
        <v/>
      </c>
      <c r="P1389" t="n">
        <v>12724</v>
      </c>
      <c r="Q1389" t="inlineStr">
        <is>
          <t>Cool Service &amp; Cia (12724)</t>
        </is>
      </c>
      <c r="R1389" t="inlineStr">
        <is>
          <t>PC-0046</t>
        </is>
      </c>
      <c r="S1389" t="inlineStr">
        <is>
          <t>Sensor de nível modelo 02</t>
        </is>
      </c>
      <c r="T1389" t="n">
        <v>1</v>
      </c>
      <c r="U1389" t="n">
        <v>142</v>
      </c>
      <c r="V1389">
        <f>IF(J1389="","",MONTH(J1389))</f>
        <v/>
      </c>
      <c r="W1389">
        <f>IF(J1389="","",YEAR(J1389))</f>
        <v/>
      </c>
      <c r="X1389" t="inlineStr">
        <is>
          <t>TransNorte</t>
        </is>
      </c>
      <c r="Y1389">
        <f>IFERROR(INDEX(Rastreio!$H$2:$H$200,MATCH(X1389&amp;"|"&amp;U1389,Rastreio!$A$2:$A$200,0)),"")</f>
        <v/>
      </c>
    </row>
    <row r="1390">
      <c r="A1390">
        <f>IFERROR(INDEX(STAs!$G$2:$G$61,MATCH(P1390,STAs!$F$2:$F$61,0))&amp;"","")</f>
        <v/>
      </c>
      <c r="B1390" t="n">
        <v>20027167</v>
      </c>
      <c r="C1390" t="inlineStr">
        <is>
          <t>Não</t>
        </is>
      </c>
      <c r="D1390" t="inlineStr">
        <is>
          <t>BA</t>
        </is>
      </c>
      <c r="E1390" t="inlineStr">
        <is>
          <t>NORDESTE</t>
        </is>
      </c>
      <c r="F1390" t="inlineStr">
        <is>
          <t>Cliente B - Chopeira</t>
        </is>
      </c>
      <c r="G1390" t="inlineStr">
        <is>
          <t>Refrigeradores</t>
        </is>
      </c>
      <c r="H1390" s="10" t="n">
        <v>155</v>
      </c>
      <c r="I1390" s="10">
        <f>IFERROR(T1390*H1390,0)</f>
        <v/>
      </c>
      <c r="J1390" s="11" t="n">
        <v>46152</v>
      </c>
      <c r="K1390" s="11" t="n"/>
      <c r="L1390" t="inlineStr">
        <is>
          <t>Aguardando Transporte</t>
        </is>
      </c>
      <c r="M1390">
        <f>IF(L1390="","",IFERROR(VLOOKUP(L1390,mapGrupoStatus,2,0),"Outros"))</f>
        <v/>
      </c>
      <c r="N1390">
        <f>IF(O1390="","",IF(O1390&lt;=30,"0-30 dias",IF(O1390&lt;=60,"31-60 dias",IF(O1390&lt;=90,"61-90 dias","Mais de 90 dias"))))</f>
        <v/>
      </c>
      <c r="O1390">
        <f>IF(OR(M1390="Pendente",M1390="Em andamento"),IF(J1390="","",TODAY()-J1390),"")</f>
        <v/>
      </c>
      <c r="P1390" t="n">
        <v>12194</v>
      </c>
      <c r="Q1390" t="inlineStr">
        <is>
          <t>Polar &amp; Cia (12194)</t>
        </is>
      </c>
      <c r="R1390" t="inlineStr">
        <is>
          <t>PC-0022</t>
        </is>
      </c>
      <c r="S1390" t="inlineStr">
        <is>
          <t>Controlador digital modelo 02</t>
        </is>
      </c>
      <c r="T1390" t="n">
        <v>1</v>
      </c>
      <c r="U1390" t="n">
        <v>146</v>
      </c>
      <c r="V1390">
        <f>IF(J1390="","",MONTH(J1390))</f>
        <v/>
      </c>
      <c r="W1390">
        <f>IF(J1390="","",YEAR(J1390))</f>
        <v/>
      </c>
      <c r="X1390" t="inlineStr">
        <is>
          <t>CargoMax</t>
        </is>
      </c>
      <c r="Y1390">
        <f>IFERROR(INDEX(Rastreio!$H$2:$H$200,MATCH(X1390&amp;"|"&amp;U1390,Rastreio!$A$2:$A$200,0)),"")</f>
        <v/>
      </c>
    </row>
    <row r="1391">
      <c r="A1391">
        <f>IFERROR(INDEX(STAs!$G$2:$G$61,MATCH(P1391,STAs!$F$2:$F$61,0))&amp;"","")</f>
        <v/>
      </c>
      <c r="B1391" t="n">
        <v>20030593</v>
      </c>
      <c r="C1391" t="inlineStr">
        <is>
          <t>Não</t>
        </is>
      </c>
      <c r="D1391" t="inlineStr">
        <is>
          <t>AP</t>
        </is>
      </c>
      <c r="E1391" t="inlineStr">
        <is>
          <t>NORTE</t>
        </is>
      </c>
      <c r="F1391" t="inlineStr">
        <is>
          <t>Cliente A - Refrigerador</t>
        </is>
      </c>
      <c r="G1391" t="inlineStr">
        <is>
          <t>Misturadores</t>
        </is>
      </c>
      <c r="H1391" s="10" t="n">
        <v>185</v>
      </c>
      <c r="I1391" s="10">
        <f>IFERROR(T1391*H1391,0)</f>
        <v/>
      </c>
      <c r="J1391" s="11" t="n">
        <v>46152</v>
      </c>
      <c r="K1391" s="11" t="n">
        <v>46198</v>
      </c>
      <c r="L1391" t="inlineStr">
        <is>
          <t>Ok. Devolvida</t>
        </is>
      </c>
      <c r="M1391">
        <f>IF(L1391="","",IFERROR(VLOOKUP(L1391,mapGrupoStatus,2,0),"Outros"))</f>
        <v/>
      </c>
      <c r="N1391">
        <f>IF(O1391="","",IF(O1391&lt;=30,"0-30 dias",IF(O1391&lt;=60,"31-60 dias",IF(O1391&lt;=90,"61-90 dias","Mais de 90 dias"))))</f>
        <v/>
      </c>
      <c r="O1391">
        <f>IF(OR(M1391="Pendente",M1391="Em andamento"),IF(J1391="","",TODAY()-J1391),"")</f>
        <v/>
      </c>
      <c r="P1391" t="n">
        <v>11859</v>
      </c>
      <c r="Q1391" t="inlineStr">
        <is>
          <t>Ice Tech Serviços (11859)</t>
        </is>
      </c>
      <c r="R1391" t="inlineStr">
        <is>
          <t>PC-0041</t>
        </is>
      </c>
      <c r="S1391" t="inlineStr">
        <is>
          <t>Motor agitador modelo 02</t>
        </is>
      </c>
      <c r="T1391" t="n">
        <v>1</v>
      </c>
      <c r="U1391" t="n">
        <v>153</v>
      </c>
      <c r="V1391">
        <f>IF(J1391="","",MONTH(J1391))</f>
        <v/>
      </c>
      <c r="W1391">
        <f>IF(J1391="","",YEAR(J1391))</f>
        <v/>
      </c>
      <c r="X1391" t="inlineStr">
        <is>
          <t>CargoMax</t>
        </is>
      </c>
      <c r="Y1391">
        <f>IFERROR(INDEX(Rastreio!$H$2:$H$200,MATCH(X1391&amp;"|"&amp;U1391,Rastreio!$A$2:$A$200,0)),"")</f>
        <v/>
      </c>
    </row>
    <row r="1392">
      <c r="A1392">
        <f>IFERROR(INDEX(STAs!$G$2:$G$61,MATCH(P1392,STAs!$F$2:$F$61,0))&amp;"","")</f>
        <v/>
      </c>
      <c r="B1392" t="n">
        <v>20004106</v>
      </c>
      <c r="C1392" t="inlineStr">
        <is>
          <t>Não</t>
        </is>
      </c>
      <c r="D1392" t="inlineStr">
        <is>
          <t>GO</t>
        </is>
      </c>
      <c r="E1392" t="inlineStr">
        <is>
          <t>CENTRO OESTE</t>
        </is>
      </c>
      <c r="F1392" t="inlineStr">
        <is>
          <t>Cliente A - Refrigerador</t>
        </is>
      </c>
      <c r="G1392" t="inlineStr">
        <is>
          <t>Chopeiras</t>
        </is>
      </c>
      <c r="H1392" s="10" t="n">
        <v>85</v>
      </c>
      <c r="I1392" s="10">
        <f>IFERROR(T1392*H1392,0)</f>
        <v/>
      </c>
      <c r="J1392" s="11" t="n">
        <v>46153</v>
      </c>
      <c r="K1392" s="11" t="n"/>
      <c r="L1392" t="inlineStr">
        <is>
          <t>NF Vencida</t>
        </is>
      </c>
      <c r="M1392">
        <f>IF(L1392="","",IFERROR(VLOOKUP(L1392,mapGrupoStatus,2,0),"Outros"))</f>
        <v/>
      </c>
      <c r="N1392">
        <f>IF(O1392="","",IF(O1392&lt;=30,"0-30 dias",IF(O1392&lt;=60,"31-60 dias",IF(O1392&lt;=90,"61-90 dias","Mais de 90 dias"))))</f>
        <v/>
      </c>
      <c r="O1392">
        <f>IF(OR(M1392="Pendente",M1392="Em andamento"),IF(J1392="","",TODAY()-J1392),"")</f>
        <v/>
      </c>
      <c r="P1392" t="n">
        <v>12007</v>
      </c>
      <c r="Q1392" t="inlineStr">
        <is>
          <t>Refrigel Ltda (12007)</t>
        </is>
      </c>
      <c r="R1392" t="inlineStr">
        <is>
          <t>PC-0035</t>
        </is>
      </c>
      <c r="S1392" t="inlineStr">
        <is>
          <t>Válvula extratora modelo 01</t>
        </is>
      </c>
      <c r="T1392" t="n">
        <v>2</v>
      </c>
      <c r="U1392" t="inlineStr"/>
      <c r="V1392">
        <f>IF(J1392="","",MONTH(J1392))</f>
        <v/>
      </c>
      <c r="W1392">
        <f>IF(J1392="","",YEAR(J1392))</f>
        <v/>
      </c>
      <c r="X1392" t="inlineStr"/>
      <c r="Y1392">
        <f>IFERROR(INDEX(Rastreio!$H$2:$H$200,MATCH(X1392&amp;"|"&amp;U1392,Rastreio!$A$2:$A$200,0)),"")</f>
        <v/>
      </c>
    </row>
    <row r="1393">
      <c r="A1393">
        <f>IFERROR(INDEX(STAs!$G$2:$G$61,MATCH(P1393,STAs!$F$2:$F$61,0))&amp;"","")</f>
        <v/>
      </c>
      <c r="B1393" t="n">
        <v>20013517</v>
      </c>
      <c r="C1393" t="inlineStr">
        <is>
          <t>Não</t>
        </is>
      </c>
      <c r="D1393" t="inlineStr">
        <is>
          <t>SP</t>
        </is>
      </c>
      <c r="E1393" t="inlineStr">
        <is>
          <t>SUDESTE SP</t>
        </is>
      </c>
      <c r="F1393" t="inlineStr">
        <is>
          <t>Cliente B - Chopeira</t>
        </is>
      </c>
      <c r="G1393" t="inlineStr">
        <is>
          <t>Refrigeradores</t>
        </is>
      </c>
      <c r="H1393" s="10" t="n">
        <v>325</v>
      </c>
      <c r="I1393" s="10">
        <f>IFERROR(T1393*H1393,0)</f>
        <v/>
      </c>
      <c r="J1393" s="11" t="n">
        <v>46153</v>
      </c>
      <c r="K1393" s="11" t="n">
        <v>46195</v>
      </c>
      <c r="L1393" t="inlineStr">
        <is>
          <t>Ok. Devolvida</t>
        </is>
      </c>
      <c r="M1393">
        <f>IF(L1393="","",IFERROR(VLOOKUP(L1393,mapGrupoStatus,2,0),"Outros"))</f>
        <v/>
      </c>
      <c r="N1393">
        <f>IF(O1393="","",IF(O1393&lt;=30,"0-30 dias",IF(O1393&lt;=60,"31-60 dias",IF(O1393&lt;=90,"61-90 dias","Mais de 90 dias"))))</f>
        <v/>
      </c>
      <c r="O1393">
        <f>IF(OR(M1393="Pendente",M1393="Em andamento"),IF(J1393="","",TODAY()-J1393),"")</f>
        <v/>
      </c>
      <c r="P1393" t="n">
        <v>11710</v>
      </c>
      <c r="Q1393" t="inlineStr">
        <is>
          <t>Brisa &amp; Cia (11710)</t>
        </is>
      </c>
      <c r="R1393" t="inlineStr">
        <is>
          <t>PC-0001</t>
        </is>
      </c>
      <c r="S1393" t="inlineStr">
        <is>
          <t>Compressor modelo 01</t>
        </is>
      </c>
      <c r="T1393" t="n">
        <v>1</v>
      </c>
      <c r="U1393" t="n">
        <v>124</v>
      </c>
      <c r="V1393">
        <f>IF(J1393="","",MONTH(J1393))</f>
        <v/>
      </c>
      <c r="W1393">
        <f>IF(J1393="","",YEAR(J1393))</f>
        <v/>
      </c>
      <c r="X1393" t="inlineStr">
        <is>
          <t>EntregaJá</t>
        </is>
      </c>
      <c r="Y1393">
        <f>IFERROR(INDEX(Rastreio!$H$2:$H$200,MATCH(X1393&amp;"|"&amp;U1393,Rastreio!$A$2:$A$200,0)),"")</f>
        <v/>
      </c>
    </row>
    <row r="1394">
      <c r="A1394">
        <f>IFERROR(INDEX(STAs!$G$2:$G$61,MATCH(P1394,STAs!$F$2:$F$61,0))&amp;"","")</f>
        <v/>
      </c>
      <c r="B1394" t="n">
        <v>20017199</v>
      </c>
      <c r="C1394" t="inlineStr">
        <is>
          <t>Não</t>
        </is>
      </c>
      <c r="D1394" t="inlineStr">
        <is>
          <t>AM</t>
        </is>
      </c>
      <c r="E1394" t="inlineStr">
        <is>
          <t>NORTE</t>
        </is>
      </c>
      <c r="F1394" t="inlineStr">
        <is>
          <t>Cliente C - Misturador</t>
        </is>
      </c>
      <c r="G1394" t="inlineStr">
        <is>
          <t>Refrigeradores</t>
        </is>
      </c>
      <c r="H1394" s="10" t="n">
        <v>40</v>
      </c>
      <c r="I1394" s="10">
        <f>IFERROR(T1394*H1394,0)</f>
        <v/>
      </c>
      <c r="J1394" s="11" t="n">
        <v>46153</v>
      </c>
      <c r="K1394" s="11" t="n"/>
      <c r="L1394" t="inlineStr">
        <is>
          <t>Não Devolve-Norte</t>
        </is>
      </c>
      <c r="M1394">
        <f>IF(L1394="","",IFERROR(VLOOKUP(L1394,mapGrupoStatus,2,0),"Outros"))</f>
        <v/>
      </c>
      <c r="N1394">
        <f>IF(O1394="","",IF(O1394&lt;=30,"0-30 dias",IF(O1394&lt;=60,"31-60 dias",IF(O1394&lt;=90,"61-90 dias","Mais de 90 dias"))))</f>
        <v/>
      </c>
      <c r="O1394">
        <f>IF(OR(M1394="Pendente",M1394="Em andamento"),IF(J1394="","",TODAY()-J1394),"")</f>
        <v/>
      </c>
      <c r="P1394" t="n">
        <v>12269</v>
      </c>
      <c r="Q1394" t="inlineStr">
        <is>
          <t>Polar Técnica (12269)</t>
        </is>
      </c>
      <c r="R1394" t="inlineStr">
        <is>
          <t>PC-0005</t>
        </is>
      </c>
      <c r="S1394" t="inlineStr">
        <is>
          <t>Termostato modelo 02</t>
        </is>
      </c>
      <c r="T1394" t="n">
        <v>1</v>
      </c>
      <c r="U1394" t="inlineStr"/>
      <c r="V1394">
        <f>IF(J1394="","",MONTH(J1394))</f>
        <v/>
      </c>
      <c r="W1394">
        <f>IF(J1394="","",YEAR(J1394))</f>
        <v/>
      </c>
      <c r="X1394" t="inlineStr"/>
      <c r="Y1394">
        <f>IFERROR(INDEX(Rastreio!$H$2:$H$200,MATCH(X1394&amp;"|"&amp;U1394,Rastreio!$A$2:$A$200,0)),"")</f>
        <v/>
      </c>
    </row>
    <row r="1395">
      <c r="A1395">
        <f>IFERROR(INDEX(STAs!$G$2:$G$61,MATCH(P1395,STAs!$F$2:$F$61,0))&amp;"","")</f>
        <v/>
      </c>
      <c r="B1395" t="n">
        <v>20027798</v>
      </c>
      <c r="C1395" t="inlineStr">
        <is>
          <t>Não</t>
        </is>
      </c>
      <c r="D1395" t="inlineStr">
        <is>
          <t>RO</t>
        </is>
      </c>
      <c r="E1395" t="inlineStr">
        <is>
          <t>NORTE</t>
        </is>
      </c>
      <c r="F1395" t="inlineStr">
        <is>
          <t>Cliente B - Chopeira</t>
        </is>
      </c>
      <c r="G1395" t="inlineStr">
        <is>
          <t>Refrigeradores</t>
        </is>
      </c>
      <c r="H1395" s="10" t="n">
        <v>55</v>
      </c>
      <c r="I1395" s="10">
        <f>IFERROR(T1395*H1395,0)</f>
        <v/>
      </c>
      <c r="J1395" s="11" t="n">
        <v>46153</v>
      </c>
      <c r="K1395" s="11" t="n"/>
      <c r="L1395" t="inlineStr">
        <is>
          <t>Não Devolve-Norte</t>
        </is>
      </c>
      <c r="M1395">
        <f>IF(L1395="","",IFERROR(VLOOKUP(L1395,mapGrupoStatus,2,0),"Outros"))</f>
        <v/>
      </c>
      <c r="N1395">
        <f>IF(O1395="","",IF(O1395&lt;=30,"0-30 dias",IF(O1395&lt;=60,"31-60 dias",IF(O1395&lt;=90,"61-90 dias","Mais de 90 dias"))))</f>
        <v/>
      </c>
      <c r="O1395">
        <f>IF(OR(M1395="Pendente",M1395="Em andamento"),IF(J1395="","",TODAY()-J1395),"")</f>
        <v/>
      </c>
      <c r="P1395" t="n">
        <v>12019</v>
      </c>
      <c r="Q1395" t="inlineStr">
        <is>
          <t>Ártico Serviços (12019)</t>
        </is>
      </c>
      <c r="R1395" t="inlineStr">
        <is>
          <t>PC-0007</t>
        </is>
      </c>
      <c r="S1395" t="inlineStr">
        <is>
          <t>Ventilador modelo 01</t>
        </is>
      </c>
      <c r="T1395" t="n">
        <v>1</v>
      </c>
      <c r="U1395" t="inlineStr"/>
      <c r="V1395">
        <f>IF(J1395="","",MONTH(J1395))</f>
        <v/>
      </c>
      <c r="W1395">
        <f>IF(J1395="","",YEAR(J1395))</f>
        <v/>
      </c>
      <c r="X1395" t="inlineStr"/>
      <c r="Y1395">
        <f>IFERROR(INDEX(Rastreio!$H$2:$H$200,MATCH(X1395&amp;"|"&amp;U1395,Rastreio!$A$2:$A$200,0)),"")</f>
        <v/>
      </c>
    </row>
    <row r="1396">
      <c r="A1396">
        <f>IFERROR(INDEX(STAs!$G$2:$G$61,MATCH(P1396,STAs!$F$2:$F$61,0))&amp;"","")</f>
        <v/>
      </c>
      <c r="B1396" t="n">
        <v>20037004</v>
      </c>
      <c r="C1396" t="inlineStr">
        <is>
          <t>Não</t>
        </is>
      </c>
      <c r="D1396" t="inlineStr">
        <is>
          <t>SP</t>
        </is>
      </c>
      <c r="E1396" t="inlineStr">
        <is>
          <t>SUDESTE SP</t>
        </is>
      </c>
      <c r="F1396" t="inlineStr">
        <is>
          <t>Cliente B - Chopeira</t>
        </is>
      </c>
      <c r="G1396" t="inlineStr">
        <is>
          <t>Refrigeradores</t>
        </is>
      </c>
      <c r="H1396" s="10" t="n">
        <v>155</v>
      </c>
      <c r="I1396" s="10">
        <f>IFERROR(T1396*H1396,0)</f>
        <v/>
      </c>
      <c r="J1396" s="11" t="n">
        <v>46153</v>
      </c>
      <c r="K1396" s="11" t="n">
        <v>46161</v>
      </c>
      <c r="L1396" t="inlineStr">
        <is>
          <t>Ok. Devolvida</t>
        </is>
      </c>
      <c r="M1396">
        <f>IF(L1396="","",IFERROR(VLOOKUP(L1396,mapGrupoStatus,2,0),"Outros"))</f>
        <v/>
      </c>
      <c r="N1396">
        <f>IF(O1396="","",IF(O1396&lt;=30,"0-30 dias",IF(O1396&lt;=60,"31-60 dias",IF(O1396&lt;=90,"61-90 dias","Mais de 90 dias"))))</f>
        <v/>
      </c>
      <c r="O1396">
        <f>IF(OR(M1396="Pendente",M1396="Em andamento"),IF(J1396="","",TODAY()-J1396),"")</f>
        <v/>
      </c>
      <c r="P1396" t="n">
        <v>11365</v>
      </c>
      <c r="Q1396" t="inlineStr">
        <is>
          <t>Ártico Express (11365)</t>
        </is>
      </c>
      <c r="R1396" t="inlineStr">
        <is>
          <t>PC-0022</t>
        </is>
      </c>
      <c r="S1396" t="inlineStr">
        <is>
          <t>Controlador digital modelo 02</t>
        </is>
      </c>
      <c r="T1396" t="n">
        <v>1</v>
      </c>
      <c r="U1396" t="n">
        <v>164</v>
      </c>
      <c r="V1396">
        <f>IF(J1396="","",MONTH(J1396))</f>
        <v/>
      </c>
      <c r="W1396">
        <f>IF(J1396="","",YEAR(J1396))</f>
        <v/>
      </c>
      <c r="X1396" t="inlineStr">
        <is>
          <t>CargoMax</t>
        </is>
      </c>
      <c r="Y1396">
        <f>IFERROR(INDEX(Rastreio!$H$2:$H$200,MATCH(X1396&amp;"|"&amp;U1396,Rastreio!$A$2:$A$200,0)),"")</f>
        <v/>
      </c>
    </row>
    <row r="1397">
      <c r="A1397">
        <f>IFERROR(INDEX(STAs!$G$2:$G$61,MATCH(P1397,STAs!$F$2:$F$61,0))&amp;"","")</f>
        <v/>
      </c>
      <c r="B1397" t="n">
        <v>20016973</v>
      </c>
      <c r="C1397" t="inlineStr">
        <is>
          <t>Não</t>
        </is>
      </c>
      <c r="D1397" t="inlineStr">
        <is>
          <t>AC</t>
        </is>
      </c>
      <c r="E1397" t="inlineStr">
        <is>
          <t>NORTE</t>
        </is>
      </c>
      <c r="F1397" t="inlineStr">
        <is>
          <t>Cliente C - Misturador</t>
        </is>
      </c>
      <c r="G1397" t="inlineStr">
        <is>
          <t>Chopeiras</t>
        </is>
      </c>
      <c r="H1397" s="10" t="n">
        <v>115</v>
      </c>
      <c r="I1397" s="10">
        <f>IFERROR(T1397*H1397,0)</f>
        <v/>
      </c>
      <c r="J1397" s="11" t="n">
        <v>46154</v>
      </c>
      <c r="K1397" s="11" t="n"/>
      <c r="L1397" t="inlineStr">
        <is>
          <t>Aguardando devolução</t>
        </is>
      </c>
      <c r="M1397">
        <f>IF(L1397="","",IFERROR(VLOOKUP(L1397,mapGrupoStatus,2,0),"Outros"))</f>
        <v/>
      </c>
      <c r="N1397">
        <f>IF(O1397="","",IF(O1397&lt;=30,"0-30 dias",IF(O1397&lt;=60,"31-60 dias",IF(O1397&lt;=90,"61-90 dias","Mais de 90 dias"))))</f>
        <v/>
      </c>
      <c r="O1397">
        <f>IF(OR(M1397="Pendente",M1397="Em andamento"),IF(J1397="","",TODAY()-J1397),"")</f>
        <v/>
      </c>
      <c r="P1397" t="n">
        <v>10372</v>
      </c>
      <c r="Q1397" t="inlineStr">
        <is>
          <t>Zero Grau ME (10372)</t>
        </is>
      </c>
      <c r="R1397" t="inlineStr">
        <is>
          <t>PC-0034</t>
        </is>
      </c>
      <c r="S1397" t="inlineStr">
        <is>
          <t>Regulador de pressão modelo 03</t>
        </is>
      </c>
      <c r="T1397" t="n">
        <v>1</v>
      </c>
      <c r="U1397" t="inlineStr"/>
      <c r="V1397">
        <f>IF(J1397="","",MONTH(J1397))</f>
        <v/>
      </c>
      <c r="W1397">
        <f>IF(J1397="","",YEAR(J1397))</f>
        <v/>
      </c>
      <c r="X1397" t="inlineStr"/>
      <c r="Y1397">
        <f>IFERROR(INDEX(Rastreio!$H$2:$H$200,MATCH(X1397&amp;"|"&amp;U1397,Rastreio!$A$2:$A$200,0)),"")</f>
        <v/>
      </c>
    </row>
    <row r="1398">
      <c r="A1398">
        <f>IFERROR(INDEX(STAs!$G$2:$G$61,MATCH(P1398,STAs!$F$2:$F$61,0))&amp;"","")</f>
        <v/>
      </c>
      <c r="B1398" t="n">
        <v>20018199</v>
      </c>
      <c r="C1398" t="inlineStr">
        <is>
          <t>Não</t>
        </is>
      </c>
      <c r="D1398" t="inlineStr">
        <is>
          <t>PI</t>
        </is>
      </c>
      <c r="E1398" t="inlineStr">
        <is>
          <t>NORDESTE</t>
        </is>
      </c>
      <c r="F1398" t="inlineStr">
        <is>
          <t>Cliente B - Chopeira</t>
        </is>
      </c>
      <c r="G1398" t="inlineStr">
        <is>
          <t>Refrigeradores</t>
        </is>
      </c>
      <c r="H1398" s="10" t="n">
        <v>45</v>
      </c>
      <c r="I1398" s="10">
        <f>IFERROR(T1398*H1398,0)</f>
        <v/>
      </c>
      <c r="J1398" s="11" t="n">
        <v>46154</v>
      </c>
      <c r="K1398" s="11" t="n">
        <v>46186</v>
      </c>
      <c r="L1398" t="inlineStr">
        <is>
          <t>Ok. Devolvida</t>
        </is>
      </c>
      <c r="M1398">
        <f>IF(L1398="","",IFERROR(VLOOKUP(L1398,mapGrupoStatus,2,0),"Outros"))</f>
        <v/>
      </c>
      <c r="N1398">
        <f>IF(O1398="","",IF(O1398&lt;=30,"0-30 dias",IF(O1398&lt;=60,"31-60 dias",IF(O1398&lt;=90,"61-90 dias","Mais de 90 dias"))))</f>
        <v/>
      </c>
      <c r="O1398">
        <f>IF(OR(M1398="Pendente",M1398="Em andamento"),IF(J1398="","",TODAY()-J1398),"")</f>
        <v/>
      </c>
      <c r="P1398" t="n">
        <v>10562</v>
      </c>
      <c r="Q1398" t="inlineStr">
        <is>
          <t>Clima &amp; Cia (10562)</t>
        </is>
      </c>
      <c r="R1398" t="inlineStr">
        <is>
          <t>PC-0018</t>
        </is>
      </c>
      <c r="S1398" t="inlineStr">
        <is>
          <t>Gaxeta da porta modelo 01</t>
        </is>
      </c>
      <c r="T1398" t="n">
        <v>1</v>
      </c>
      <c r="U1398" t="n">
        <v>129</v>
      </c>
      <c r="V1398">
        <f>IF(J1398="","",MONTH(J1398))</f>
        <v/>
      </c>
      <c r="W1398">
        <f>IF(J1398="","",YEAR(J1398))</f>
        <v/>
      </c>
      <c r="X1398" t="inlineStr">
        <is>
          <t>TransNorte</t>
        </is>
      </c>
      <c r="Y1398">
        <f>IFERROR(INDEX(Rastreio!$H$2:$H$200,MATCH(X1398&amp;"|"&amp;U1398,Rastreio!$A$2:$A$200,0)),"")</f>
        <v/>
      </c>
    </row>
    <row r="1399">
      <c r="A1399">
        <f>IFERROR(INDEX(STAs!$G$2:$G$61,MATCH(P1399,STAs!$F$2:$F$61,0))&amp;"","")</f>
        <v/>
      </c>
      <c r="B1399" t="n">
        <v>20018812</v>
      </c>
      <c r="C1399" t="inlineStr">
        <is>
          <t>Não</t>
        </is>
      </c>
      <c r="D1399" t="inlineStr">
        <is>
          <t>GO</t>
        </is>
      </c>
      <c r="E1399" t="inlineStr">
        <is>
          <t>CENTRO OESTE</t>
        </is>
      </c>
      <c r="F1399" t="inlineStr">
        <is>
          <t>Cliente B - Chopeira</t>
        </is>
      </c>
      <c r="G1399" t="inlineStr">
        <is>
          <t>Misturadores</t>
        </is>
      </c>
      <c r="H1399" s="10" t="n">
        <v>50</v>
      </c>
      <c r="I1399" s="10">
        <f>IFERROR(T1399*H1399,0)</f>
        <v/>
      </c>
      <c r="J1399" s="11" t="n">
        <v>46154</v>
      </c>
      <c r="K1399" s="11" t="n">
        <v>46200</v>
      </c>
      <c r="L1399" t="inlineStr">
        <is>
          <t>Ok. Devolvida</t>
        </is>
      </c>
      <c r="M1399">
        <f>IF(L1399="","",IFERROR(VLOOKUP(L1399,mapGrupoStatus,2,0),"Outros"))</f>
        <v/>
      </c>
      <c r="N1399">
        <f>IF(O1399="","",IF(O1399&lt;=30,"0-30 dias",IF(O1399&lt;=60,"31-60 dias",IF(O1399&lt;=90,"61-90 dias","Mais de 90 dias"))))</f>
        <v/>
      </c>
      <c r="O1399">
        <f>IF(OR(M1399="Pendente",M1399="Em andamento"),IF(J1399="","",TODAY()-J1399),"")</f>
        <v/>
      </c>
      <c r="P1399" t="n">
        <v>12007</v>
      </c>
      <c r="Q1399" t="inlineStr">
        <is>
          <t>Refrigel Ltda (12007)</t>
        </is>
      </c>
      <c r="R1399" t="inlineStr">
        <is>
          <t>PC-0044</t>
        </is>
      </c>
      <c r="S1399" t="inlineStr">
        <is>
          <t>Bico dosador modelo 03</t>
        </is>
      </c>
      <c r="T1399" t="n">
        <v>1</v>
      </c>
      <c r="U1399" t="n">
        <v>135</v>
      </c>
      <c r="V1399">
        <f>IF(J1399="","",MONTH(J1399))</f>
        <v/>
      </c>
      <c r="W1399">
        <f>IF(J1399="","",YEAR(J1399))</f>
        <v/>
      </c>
      <c r="X1399" t="inlineStr">
        <is>
          <t>CargoMax</t>
        </is>
      </c>
      <c r="Y1399">
        <f>IFERROR(INDEX(Rastreio!$H$2:$H$200,MATCH(X1399&amp;"|"&amp;U1399,Rastreio!$A$2:$A$200,0)),"")</f>
        <v/>
      </c>
    </row>
    <row r="1400">
      <c r="A1400">
        <f>IFERROR(INDEX(STAs!$G$2:$G$61,MATCH(P1400,STAs!$F$2:$F$61,0))&amp;"","")</f>
        <v/>
      </c>
      <c r="B1400" t="n">
        <v>20020634</v>
      </c>
      <c r="C1400" t="inlineStr">
        <is>
          <t>Não</t>
        </is>
      </c>
      <c r="D1400" t="inlineStr">
        <is>
          <t>SP</t>
        </is>
      </c>
      <c r="E1400" t="inlineStr">
        <is>
          <t>SUDESTE SP</t>
        </is>
      </c>
      <c r="F1400" t="inlineStr">
        <is>
          <t>Cliente A - Refrigerador</t>
        </is>
      </c>
      <c r="G1400" t="inlineStr">
        <is>
          <t>Chopeiras</t>
        </is>
      </c>
      <c r="H1400" s="10" t="n">
        <v>115</v>
      </c>
      <c r="I1400" s="10">
        <f>IFERROR(T1400*H1400,0)</f>
        <v/>
      </c>
      <c r="J1400" s="11" t="n">
        <v>46154</v>
      </c>
      <c r="K1400" s="11" t="n">
        <v>46207</v>
      </c>
      <c r="L1400" t="inlineStr">
        <is>
          <t>Ok. Devolvida</t>
        </is>
      </c>
      <c r="M1400">
        <f>IF(L1400="","",IFERROR(VLOOKUP(L1400,mapGrupoStatus,2,0),"Outros"))</f>
        <v/>
      </c>
      <c r="N1400">
        <f>IF(O1400="","",IF(O1400&lt;=30,"0-30 dias",IF(O1400&lt;=60,"31-60 dias",IF(O1400&lt;=90,"61-90 dias","Mais de 90 dias"))))</f>
        <v/>
      </c>
      <c r="O1400">
        <f>IF(OR(M1400="Pendente",M1400="Em andamento"),IF(J1400="","",TODAY()-J1400),"")</f>
        <v/>
      </c>
      <c r="P1400" t="n">
        <v>12052</v>
      </c>
      <c r="Q1400" t="inlineStr">
        <is>
          <t>Brisa Refrigeração (12052)</t>
        </is>
      </c>
      <c r="R1400" t="inlineStr">
        <is>
          <t>PC-0034</t>
        </is>
      </c>
      <c r="S1400" t="inlineStr">
        <is>
          <t>Regulador de pressão modelo 03</t>
        </is>
      </c>
      <c r="T1400" t="n">
        <v>1</v>
      </c>
      <c r="U1400" t="n">
        <v>135</v>
      </c>
      <c r="V1400">
        <f>IF(J1400="","",MONTH(J1400))</f>
        <v/>
      </c>
      <c r="W1400">
        <f>IF(J1400="","",YEAR(J1400))</f>
        <v/>
      </c>
      <c r="X1400" t="inlineStr">
        <is>
          <t>LogExpress</t>
        </is>
      </c>
      <c r="Y1400">
        <f>IFERROR(INDEX(Rastreio!$H$2:$H$200,MATCH(X1400&amp;"|"&amp;U1400,Rastreio!$A$2:$A$200,0)),"")</f>
        <v/>
      </c>
    </row>
    <row r="1401">
      <c r="A1401">
        <f>IFERROR(INDEX(STAs!$G$2:$G$61,MATCH(P1401,STAs!$F$2:$F$61,0))&amp;"","")</f>
        <v/>
      </c>
      <c r="B1401" t="n">
        <v>20027039</v>
      </c>
      <c r="C1401" t="inlineStr">
        <is>
          <t>Sim</t>
        </is>
      </c>
      <c r="D1401" t="inlineStr">
        <is>
          <t>PR</t>
        </is>
      </c>
      <c r="E1401" t="inlineStr">
        <is>
          <t>SUL</t>
        </is>
      </c>
      <c r="F1401" t="inlineStr">
        <is>
          <t>Cliente B - Chopeira</t>
        </is>
      </c>
      <c r="G1401" t="inlineStr">
        <is>
          <t>Misturadores</t>
        </is>
      </c>
      <c r="H1401" s="10" t="n">
        <v>50</v>
      </c>
      <c r="I1401" s="10">
        <f>IFERROR(T1401*H1401,0)</f>
        <v/>
      </c>
      <c r="J1401" s="11" t="n">
        <v>46154</v>
      </c>
      <c r="K1401" s="11" t="n">
        <v>46209</v>
      </c>
      <c r="L1401" t="inlineStr">
        <is>
          <t>Ok. Devolvida</t>
        </is>
      </c>
      <c r="M1401">
        <f>IF(L1401="","",IFERROR(VLOOKUP(L1401,mapGrupoStatus,2,0),"Outros"))</f>
        <v/>
      </c>
      <c r="N1401">
        <f>IF(O1401="","",IF(O1401&lt;=30,"0-30 dias",IF(O1401&lt;=60,"31-60 dias",IF(O1401&lt;=90,"61-90 dias","Mais de 90 dias"))))</f>
        <v/>
      </c>
      <c r="O1401">
        <f>IF(OR(M1401="Pendente",M1401="Em andamento"),IF(J1401="","",TODAY()-J1401),"")</f>
        <v/>
      </c>
      <c r="P1401" t="n">
        <v>12724</v>
      </c>
      <c r="Q1401" t="inlineStr">
        <is>
          <t>Cool Service &amp; Cia (12724)</t>
        </is>
      </c>
      <c r="R1401" t="inlineStr">
        <is>
          <t>PC-0045</t>
        </is>
      </c>
      <c r="S1401" t="inlineStr">
        <is>
          <t>Sensor de nível modelo 01</t>
        </is>
      </c>
      <c r="T1401" t="n">
        <v>1</v>
      </c>
      <c r="U1401" t="n">
        <v>148</v>
      </c>
      <c r="V1401">
        <f>IF(J1401="","",MONTH(J1401))</f>
        <v/>
      </c>
      <c r="W1401">
        <f>IF(J1401="","",YEAR(J1401))</f>
        <v/>
      </c>
      <c r="X1401" t="inlineStr">
        <is>
          <t>TransNorte</t>
        </is>
      </c>
      <c r="Y1401">
        <f>IFERROR(INDEX(Rastreio!$H$2:$H$200,MATCH(X1401&amp;"|"&amp;U1401,Rastreio!$A$2:$A$200,0)),"")</f>
        <v/>
      </c>
    </row>
    <row r="1402">
      <c r="A1402">
        <f>IFERROR(INDEX(STAs!$G$2:$G$61,MATCH(P1402,STAs!$F$2:$F$61,0))&amp;"","")</f>
        <v/>
      </c>
      <c r="B1402" t="n">
        <v>20028511</v>
      </c>
      <c r="C1402" t="inlineStr">
        <is>
          <t>Não</t>
        </is>
      </c>
      <c r="D1402" t="inlineStr">
        <is>
          <t>AM</t>
        </is>
      </c>
      <c r="E1402" t="inlineStr">
        <is>
          <t>NORTE</t>
        </is>
      </c>
      <c r="F1402" t="inlineStr">
        <is>
          <t>Cliente B - Chopeira</t>
        </is>
      </c>
      <c r="G1402" t="inlineStr">
        <is>
          <t>Chopeiras</t>
        </is>
      </c>
      <c r="H1402" s="10" t="n">
        <v>85</v>
      </c>
      <c r="I1402" s="10">
        <f>IFERROR(T1402*H1402,0)</f>
        <v/>
      </c>
      <c r="J1402" s="11" t="n">
        <v>46154</v>
      </c>
      <c r="K1402" s="11" t="n"/>
      <c r="L1402" t="inlineStr">
        <is>
          <t>Aguardando Transporte</t>
        </is>
      </c>
      <c r="M1402">
        <f>IF(L1402="","",IFERROR(VLOOKUP(L1402,mapGrupoStatus,2,0),"Outros"))</f>
        <v/>
      </c>
      <c r="N1402">
        <f>IF(O1402="","",IF(O1402&lt;=30,"0-30 dias",IF(O1402&lt;=60,"31-60 dias",IF(O1402&lt;=90,"61-90 dias","Mais de 90 dias"))))</f>
        <v/>
      </c>
      <c r="O1402">
        <f>IF(OR(M1402="Pendente",M1402="Em andamento"),IF(J1402="","",TODAY()-J1402),"")</f>
        <v/>
      </c>
      <c r="P1402" t="n">
        <v>10842</v>
      </c>
      <c r="Q1402" t="inlineStr">
        <is>
          <t>Frigo &amp; Cia (10842)</t>
        </is>
      </c>
      <c r="R1402" t="inlineStr">
        <is>
          <t>PC-0035</t>
        </is>
      </c>
      <c r="S1402" t="inlineStr">
        <is>
          <t>Válvula extratora modelo 01</t>
        </is>
      </c>
      <c r="T1402" t="n">
        <v>2</v>
      </c>
      <c r="U1402" t="n">
        <v>149</v>
      </c>
      <c r="V1402">
        <f>IF(J1402="","",MONTH(J1402))</f>
        <v/>
      </c>
      <c r="W1402">
        <f>IF(J1402="","",YEAR(J1402))</f>
        <v/>
      </c>
      <c r="X1402" t="inlineStr">
        <is>
          <t>TransNorte</t>
        </is>
      </c>
      <c r="Y1402">
        <f>IFERROR(INDEX(Rastreio!$H$2:$H$200,MATCH(X1402&amp;"|"&amp;U1402,Rastreio!$A$2:$A$200,0)),"")</f>
        <v/>
      </c>
    </row>
    <row r="1403">
      <c r="A1403">
        <f>IFERROR(INDEX(STAs!$G$2:$G$61,MATCH(P1403,STAs!$F$2:$F$61,0))&amp;"","")</f>
        <v/>
      </c>
      <c r="B1403" t="n">
        <v>20028798</v>
      </c>
      <c r="C1403" t="inlineStr">
        <is>
          <t>Não</t>
        </is>
      </c>
      <c r="D1403" t="inlineStr">
        <is>
          <t>AM</t>
        </is>
      </c>
      <c r="E1403" t="inlineStr">
        <is>
          <t>NORTE</t>
        </is>
      </c>
      <c r="F1403" t="inlineStr">
        <is>
          <t>Cliente A - Refrigerador</t>
        </is>
      </c>
      <c r="G1403" t="inlineStr">
        <is>
          <t>Refrigeradores</t>
        </is>
      </c>
      <c r="H1403" s="10" t="n">
        <v>45</v>
      </c>
      <c r="I1403" s="10">
        <f>IFERROR(T1403*H1403,0)</f>
        <v/>
      </c>
      <c r="J1403" s="11" t="n">
        <v>46154</v>
      </c>
      <c r="K1403" s="11" t="n">
        <v>46168</v>
      </c>
      <c r="L1403" t="inlineStr">
        <is>
          <t>Ok. Devolvida</t>
        </is>
      </c>
      <c r="M1403">
        <f>IF(L1403="","",IFERROR(VLOOKUP(L1403,mapGrupoStatus,2,0),"Outros"))</f>
        <v/>
      </c>
      <c r="N1403">
        <f>IF(O1403="","",IF(O1403&lt;=30,"0-30 dias",IF(O1403&lt;=60,"31-60 dias",IF(O1403&lt;=90,"61-90 dias","Mais de 90 dias"))))</f>
        <v/>
      </c>
      <c r="O1403">
        <f>IF(OR(M1403="Pendente",M1403="Em andamento"),IF(J1403="","",TODAY()-J1403),"")</f>
        <v/>
      </c>
      <c r="P1403" t="n">
        <v>10842</v>
      </c>
      <c r="Q1403" t="inlineStr">
        <is>
          <t>Frigo &amp; Cia (10842)</t>
        </is>
      </c>
      <c r="R1403" t="inlineStr">
        <is>
          <t>PC-0018</t>
        </is>
      </c>
      <c r="S1403" t="inlineStr">
        <is>
          <t>Gaxeta da porta modelo 01</t>
        </is>
      </c>
      <c r="T1403" t="n">
        <v>1</v>
      </c>
      <c r="U1403" t="n">
        <v>149</v>
      </c>
      <c r="V1403">
        <f>IF(J1403="","",MONTH(J1403))</f>
        <v/>
      </c>
      <c r="W1403">
        <f>IF(J1403="","",YEAR(J1403))</f>
        <v/>
      </c>
      <c r="X1403" t="inlineStr">
        <is>
          <t>CargoMax</t>
        </is>
      </c>
      <c r="Y1403">
        <f>IFERROR(INDEX(Rastreio!$H$2:$H$200,MATCH(X1403&amp;"|"&amp;U1403,Rastreio!$A$2:$A$200,0)),"")</f>
        <v/>
      </c>
    </row>
    <row r="1404">
      <c r="A1404">
        <f>IFERROR(INDEX(STAs!$G$2:$G$61,MATCH(P1404,STAs!$F$2:$F$61,0))&amp;"","")</f>
        <v/>
      </c>
      <c r="B1404" t="n">
        <v>20037713</v>
      </c>
      <c r="C1404" t="inlineStr">
        <is>
          <t>Não</t>
        </is>
      </c>
      <c r="D1404" t="inlineStr">
        <is>
          <t>RJ</t>
        </is>
      </c>
      <c r="E1404" t="inlineStr">
        <is>
          <t>SUDESTE RJ e ES</t>
        </is>
      </c>
      <c r="F1404" t="inlineStr">
        <is>
          <t>Cliente A - Refrigerador</t>
        </is>
      </c>
      <c r="G1404" t="inlineStr">
        <is>
          <t>Chopeiras</t>
        </is>
      </c>
      <c r="H1404" s="10" t="n">
        <v>115</v>
      </c>
      <c r="I1404" s="10">
        <f>IFERROR(T1404*H1404,0)</f>
        <v/>
      </c>
      <c r="J1404" s="11" t="n">
        <v>46154</v>
      </c>
      <c r="K1404" s="11" t="n">
        <v>46163</v>
      </c>
      <c r="L1404" t="inlineStr">
        <is>
          <t>Ok. Devolvida</t>
        </is>
      </c>
      <c r="M1404">
        <f>IF(L1404="","",IFERROR(VLOOKUP(L1404,mapGrupoStatus,2,0),"Outros"))</f>
        <v/>
      </c>
      <c r="N1404">
        <f>IF(O1404="","",IF(O1404&lt;=30,"0-30 dias",IF(O1404&lt;=60,"31-60 dias",IF(O1404&lt;=90,"61-90 dias","Mais de 90 dias"))))</f>
        <v/>
      </c>
      <c r="O1404">
        <f>IF(OR(M1404="Pendente",M1404="Em andamento"),IF(J1404="","",TODAY()-J1404),"")</f>
        <v/>
      </c>
      <c r="P1404" t="n">
        <v>12811</v>
      </c>
      <c r="Q1404" t="inlineStr">
        <is>
          <t>Norte Frio Técnica (12811)</t>
        </is>
      </c>
      <c r="R1404" t="inlineStr">
        <is>
          <t>PC-0033</t>
        </is>
      </c>
      <c r="S1404" t="inlineStr">
        <is>
          <t>Regulador de pressão modelo 02</t>
        </is>
      </c>
      <c r="T1404" t="n">
        <v>1</v>
      </c>
      <c r="U1404" t="n">
        <v>156</v>
      </c>
      <c r="V1404">
        <f>IF(J1404="","",MONTH(J1404))</f>
        <v/>
      </c>
      <c r="W1404">
        <f>IF(J1404="","",YEAR(J1404))</f>
        <v/>
      </c>
      <c r="X1404" t="inlineStr">
        <is>
          <t>EntregaJá</t>
        </is>
      </c>
      <c r="Y1404">
        <f>IFERROR(INDEX(Rastreio!$H$2:$H$200,MATCH(X1404&amp;"|"&amp;U1404,Rastreio!$A$2:$A$200,0)),"")</f>
        <v/>
      </c>
    </row>
    <row r="1405">
      <c r="A1405">
        <f>IFERROR(INDEX(STAs!$G$2:$G$61,MATCH(P1405,STAs!$F$2:$F$61,0))&amp;"","")</f>
        <v/>
      </c>
      <c r="B1405" t="n">
        <v>20003544</v>
      </c>
      <c r="C1405" t="inlineStr">
        <is>
          <t>Não</t>
        </is>
      </c>
      <c r="D1405" t="inlineStr">
        <is>
          <t>MG</t>
        </is>
      </c>
      <c r="E1405" t="inlineStr">
        <is>
          <t>SUDESTE MG</t>
        </is>
      </c>
      <c r="F1405" t="inlineStr">
        <is>
          <t>Cliente A - Refrigerador</t>
        </is>
      </c>
      <c r="G1405" t="inlineStr">
        <is>
          <t>Chopeiras</t>
        </is>
      </c>
      <c r="H1405" s="10" t="n">
        <v>120</v>
      </c>
      <c r="I1405" s="10">
        <f>IFERROR(T1405*H1405,0)</f>
        <v/>
      </c>
      <c r="J1405" s="11" t="n">
        <v>46155</v>
      </c>
      <c r="K1405" s="11" t="n">
        <v>46185</v>
      </c>
      <c r="L1405" t="inlineStr">
        <is>
          <t>Ok. Devolvida</t>
        </is>
      </c>
      <c r="M1405">
        <f>IF(L1405="","",IFERROR(VLOOKUP(L1405,mapGrupoStatus,2,0),"Outros"))</f>
        <v/>
      </c>
      <c r="N1405">
        <f>IF(O1405="","",IF(O1405&lt;=30,"0-30 dias",IF(O1405&lt;=60,"31-60 dias",IF(O1405&lt;=90,"61-90 dias","Mais de 90 dias"))))</f>
        <v/>
      </c>
      <c r="O1405">
        <f>IF(OR(M1405="Pendente",M1405="Em andamento"),IF(J1405="","",TODAY()-J1405),"")</f>
        <v/>
      </c>
      <c r="P1405" t="n">
        <v>11487</v>
      </c>
      <c r="Q1405" t="inlineStr">
        <is>
          <t>Assistência Técnica Manutenção (11487)</t>
        </is>
      </c>
      <c r="R1405" t="inlineStr">
        <is>
          <t>PC-0032</t>
        </is>
      </c>
      <c r="S1405" t="inlineStr">
        <is>
          <t>Regulador de pressão modelo 01</t>
        </is>
      </c>
      <c r="T1405" t="n">
        <v>1</v>
      </c>
      <c r="U1405" t="n">
        <v>104</v>
      </c>
      <c r="V1405">
        <f>IF(J1405="","",MONTH(J1405))</f>
        <v/>
      </c>
      <c r="W1405">
        <f>IF(J1405="","",YEAR(J1405))</f>
        <v/>
      </c>
      <c r="X1405" t="inlineStr">
        <is>
          <t>CargoMax</t>
        </is>
      </c>
      <c r="Y1405">
        <f>IFERROR(INDEX(Rastreio!$H$2:$H$200,MATCH(X1405&amp;"|"&amp;U1405,Rastreio!$A$2:$A$200,0)),"")</f>
        <v/>
      </c>
    </row>
    <row r="1406">
      <c r="A1406">
        <f>IFERROR(INDEX(STAs!$G$2:$G$61,MATCH(P1406,STAs!$F$2:$F$61,0))&amp;"","")</f>
        <v/>
      </c>
      <c r="B1406" t="n">
        <v>20004878</v>
      </c>
      <c r="C1406" t="inlineStr">
        <is>
          <t>Não</t>
        </is>
      </c>
      <c r="D1406" t="inlineStr">
        <is>
          <t>AM</t>
        </is>
      </c>
      <c r="E1406" t="inlineStr">
        <is>
          <t>NORTE</t>
        </is>
      </c>
      <c r="F1406" t="inlineStr">
        <is>
          <t>Cliente B - Chopeira</t>
        </is>
      </c>
      <c r="G1406" t="inlineStr">
        <is>
          <t>Refrigeradores</t>
        </is>
      </c>
      <c r="H1406" s="10" t="n">
        <v>35</v>
      </c>
      <c r="I1406" s="10">
        <f>IFERROR(T1406*H1406,0)</f>
        <v/>
      </c>
      <c r="J1406" s="11" t="n">
        <v>46155</v>
      </c>
      <c r="K1406" s="11" t="n">
        <v>46206</v>
      </c>
      <c r="L1406" t="inlineStr">
        <is>
          <t>Ok. Devolvida</t>
        </is>
      </c>
      <c r="M1406">
        <f>IF(L1406="","",IFERROR(VLOOKUP(L1406,mapGrupoStatus,2,0),"Outros"))</f>
        <v/>
      </c>
      <c r="N1406">
        <f>IF(O1406="","",IF(O1406&lt;=30,"0-30 dias",IF(O1406&lt;=60,"31-60 dias",IF(O1406&lt;=90,"61-90 dias","Mais de 90 dias"))))</f>
        <v/>
      </c>
      <c r="O1406">
        <f>IF(OR(M1406="Pendente",M1406="Em andamento"),IF(J1406="","",TODAY()-J1406),"")</f>
        <v/>
      </c>
      <c r="P1406" t="n">
        <v>10842</v>
      </c>
      <c r="Q1406" t="inlineStr">
        <is>
          <t>Frigo &amp; Cia (10842)</t>
        </is>
      </c>
      <c r="R1406" t="inlineStr">
        <is>
          <t>PC-0024</t>
        </is>
      </c>
      <c r="S1406" t="inlineStr">
        <is>
          <t>Relé de partida modelo 02</t>
        </is>
      </c>
      <c r="T1406" t="n">
        <v>2</v>
      </c>
      <c r="U1406" t="n">
        <v>110</v>
      </c>
      <c r="V1406">
        <f>IF(J1406="","",MONTH(J1406))</f>
        <v/>
      </c>
      <c r="W1406">
        <f>IF(J1406="","",YEAR(J1406))</f>
        <v/>
      </c>
      <c r="X1406" t="inlineStr">
        <is>
          <t>RotaSul</t>
        </is>
      </c>
      <c r="Y1406">
        <f>IFERROR(INDEX(Rastreio!$H$2:$H$200,MATCH(X1406&amp;"|"&amp;U1406,Rastreio!$A$2:$A$200,0)),"")</f>
        <v/>
      </c>
    </row>
    <row r="1407">
      <c r="A1407">
        <f>IFERROR(INDEX(STAs!$G$2:$G$61,MATCH(P1407,STAs!$F$2:$F$61,0))&amp;"","")</f>
        <v/>
      </c>
      <c r="B1407" t="n">
        <v>20006690</v>
      </c>
      <c r="C1407" t="inlineStr">
        <is>
          <t>Não</t>
        </is>
      </c>
      <c r="D1407" t="inlineStr">
        <is>
          <t>PR</t>
        </is>
      </c>
      <c r="E1407" t="inlineStr">
        <is>
          <t>SUL</t>
        </is>
      </c>
      <c r="F1407" t="inlineStr">
        <is>
          <t>Cliente C - Misturador</t>
        </is>
      </c>
      <c r="G1407" t="inlineStr">
        <is>
          <t>Refrigeradores</t>
        </is>
      </c>
      <c r="H1407" s="10" t="n">
        <v>325</v>
      </c>
      <c r="I1407" s="10">
        <f>IFERROR(T1407*H1407,0)</f>
        <v/>
      </c>
      <c r="J1407" s="11" t="n">
        <v>46155</v>
      </c>
      <c r="K1407" s="11" t="n"/>
      <c r="L1407" t="inlineStr">
        <is>
          <t>Debitar do STA</t>
        </is>
      </c>
      <c r="M1407">
        <f>IF(L1407="","",IFERROR(VLOOKUP(L1407,mapGrupoStatus,2,0),"Outros"))</f>
        <v/>
      </c>
      <c r="N1407">
        <f>IF(O1407="","",IF(O1407&lt;=30,"0-30 dias",IF(O1407&lt;=60,"31-60 dias",IF(O1407&lt;=90,"61-90 dias","Mais de 90 dias"))))</f>
        <v/>
      </c>
      <c r="O1407">
        <f>IF(OR(M1407="Pendente",M1407="Em andamento"),IF(J1407="","",TODAY()-J1407),"")</f>
        <v/>
      </c>
      <c r="P1407" t="n">
        <v>12089</v>
      </c>
      <c r="Q1407" t="inlineStr">
        <is>
          <t>Termotec Serviços (12089)</t>
        </is>
      </c>
      <c r="R1407" t="inlineStr">
        <is>
          <t>PC-0001</t>
        </is>
      </c>
      <c r="S1407" t="inlineStr">
        <is>
          <t>Compressor modelo 01</t>
        </is>
      </c>
      <c r="T1407" t="n">
        <v>1</v>
      </c>
      <c r="U1407" t="inlineStr"/>
      <c r="V1407">
        <f>IF(J1407="","",MONTH(J1407))</f>
        <v/>
      </c>
      <c r="W1407">
        <f>IF(J1407="","",YEAR(J1407))</f>
        <v/>
      </c>
      <c r="X1407" t="inlineStr"/>
      <c r="Y1407">
        <f>IFERROR(INDEX(Rastreio!$H$2:$H$200,MATCH(X1407&amp;"|"&amp;U1407,Rastreio!$A$2:$A$200,0)),"")</f>
        <v/>
      </c>
    </row>
    <row r="1408">
      <c r="A1408">
        <f>IFERROR(INDEX(STAs!$G$2:$G$61,MATCH(P1408,STAs!$F$2:$F$61,0))&amp;"","")</f>
        <v/>
      </c>
      <c r="B1408" t="n">
        <v>20008746</v>
      </c>
      <c r="C1408" t="inlineStr">
        <is>
          <t>Não</t>
        </is>
      </c>
      <c r="D1408" t="inlineStr">
        <is>
          <t>TO</t>
        </is>
      </c>
      <c r="E1408" t="inlineStr">
        <is>
          <t>NORTE</t>
        </is>
      </c>
      <c r="F1408" t="inlineStr">
        <is>
          <t>Cliente B - Chopeira</t>
        </is>
      </c>
      <c r="G1408" t="inlineStr">
        <is>
          <t>Refrigeradores</t>
        </is>
      </c>
      <c r="H1408" s="10" t="n">
        <v>55</v>
      </c>
      <c r="I1408" s="10">
        <f>IFERROR(T1408*H1408,0)</f>
        <v/>
      </c>
      <c r="J1408" s="11" t="n">
        <v>46155</v>
      </c>
      <c r="K1408" s="11" t="n"/>
      <c r="L1408" t="inlineStr">
        <is>
          <t>Não Devolve-Norte</t>
        </is>
      </c>
      <c r="M1408">
        <f>IF(L1408="","",IFERROR(VLOOKUP(L1408,mapGrupoStatus,2,0),"Outros"))</f>
        <v/>
      </c>
      <c r="N1408">
        <f>IF(O1408="","",IF(O1408&lt;=30,"0-30 dias",IF(O1408&lt;=60,"31-60 dias",IF(O1408&lt;=90,"61-90 dias","Mais de 90 dias"))))</f>
        <v/>
      </c>
      <c r="O1408">
        <f>IF(OR(M1408="Pendente",M1408="Em andamento"),IF(J1408="","",TODAY()-J1408),"")</f>
        <v/>
      </c>
      <c r="P1408" t="n">
        <v>10939</v>
      </c>
      <c r="Q1408" t="inlineStr">
        <is>
          <t>Zero Grau Manutenção (10939)</t>
        </is>
      </c>
      <c r="R1408" t="inlineStr">
        <is>
          <t>PC-0008</t>
        </is>
      </c>
      <c r="S1408" t="inlineStr">
        <is>
          <t>Ventilador modelo 02</t>
        </is>
      </c>
      <c r="T1408" t="n">
        <v>2</v>
      </c>
      <c r="U1408" t="inlineStr"/>
      <c r="V1408">
        <f>IF(J1408="","",MONTH(J1408))</f>
        <v/>
      </c>
      <c r="W1408">
        <f>IF(J1408="","",YEAR(J1408))</f>
        <v/>
      </c>
      <c r="X1408" t="inlineStr"/>
      <c r="Y1408">
        <f>IFERROR(INDEX(Rastreio!$H$2:$H$200,MATCH(X1408&amp;"|"&amp;U1408,Rastreio!$A$2:$A$200,0)),"")</f>
        <v/>
      </c>
    </row>
    <row r="1409">
      <c r="A1409">
        <f>IFERROR(INDEX(STAs!$G$2:$G$61,MATCH(P1409,STAs!$F$2:$F$61,0))&amp;"","")</f>
        <v/>
      </c>
      <c r="B1409" t="n">
        <v>20016166</v>
      </c>
      <c r="C1409" t="inlineStr">
        <is>
          <t>Sim</t>
        </is>
      </c>
      <c r="D1409" t="inlineStr">
        <is>
          <t>PR</t>
        </is>
      </c>
      <c r="E1409" t="inlineStr">
        <is>
          <t>SUL</t>
        </is>
      </c>
      <c r="F1409" t="inlineStr">
        <is>
          <t>Cliente A - Refrigerador</t>
        </is>
      </c>
      <c r="G1409" t="inlineStr">
        <is>
          <t>Refrigeradores</t>
        </is>
      </c>
      <c r="H1409" s="10" t="n">
        <v>55</v>
      </c>
      <c r="I1409" s="10">
        <f>IFERROR(T1409*H1409,0)</f>
        <v/>
      </c>
      <c r="J1409" s="11" t="n">
        <v>46155</v>
      </c>
      <c r="K1409" s="11" t="n">
        <v>46173</v>
      </c>
      <c r="L1409" t="inlineStr">
        <is>
          <t>Ok. Devolvida</t>
        </is>
      </c>
      <c r="M1409">
        <f>IF(L1409="","",IFERROR(VLOOKUP(L1409,mapGrupoStatus,2,0),"Outros"))</f>
        <v/>
      </c>
      <c r="N1409">
        <f>IF(O1409="","",IF(O1409&lt;=30,"0-30 dias",IF(O1409&lt;=60,"31-60 dias",IF(O1409&lt;=90,"61-90 dias","Mais de 90 dias"))))</f>
        <v/>
      </c>
      <c r="O1409">
        <f>IF(OR(M1409="Pendente",M1409="Em andamento"),IF(J1409="","",TODAY()-J1409),"")</f>
        <v/>
      </c>
      <c r="P1409" t="n">
        <v>10913</v>
      </c>
      <c r="Q1409" t="inlineStr">
        <is>
          <t>Ice Tech &amp; Cia (10913)</t>
        </is>
      </c>
      <c r="R1409" t="inlineStr">
        <is>
          <t>PC-0008</t>
        </is>
      </c>
      <c r="S1409" t="inlineStr">
        <is>
          <t>Ventilador modelo 02</t>
        </is>
      </c>
      <c r="T1409" t="n">
        <v>1</v>
      </c>
      <c r="U1409" t="n">
        <v>128</v>
      </c>
      <c r="V1409">
        <f>IF(J1409="","",MONTH(J1409))</f>
        <v/>
      </c>
      <c r="W1409">
        <f>IF(J1409="","",YEAR(J1409))</f>
        <v/>
      </c>
      <c r="X1409" t="inlineStr">
        <is>
          <t>CargoMax</t>
        </is>
      </c>
      <c r="Y1409">
        <f>IFERROR(INDEX(Rastreio!$H$2:$H$200,MATCH(X1409&amp;"|"&amp;U1409,Rastreio!$A$2:$A$200,0)),"")</f>
        <v/>
      </c>
    </row>
    <row r="1410">
      <c r="A1410">
        <f>IFERROR(INDEX(STAs!$G$2:$G$61,MATCH(P1410,STAs!$F$2:$F$61,0))&amp;"","")</f>
        <v/>
      </c>
      <c r="B1410" t="n">
        <v>20000862</v>
      </c>
      <c r="C1410" t="inlineStr">
        <is>
          <t>Não</t>
        </is>
      </c>
      <c r="D1410" t="inlineStr">
        <is>
          <t>AC</t>
        </is>
      </c>
      <c r="E1410" t="inlineStr">
        <is>
          <t>NORTE</t>
        </is>
      </c>
      <c r="F1410" t="inlineStr">
        <is>
          <t>Cliente C - Misturador</t>
        </is>
      </c>
      <c r="G1410" t="inlineStr">
        <is>
          <t>Misturadores</t>
        </is>
      </c>
      <c r="H1410" s="10" t="n">
        <v>40</v>
      </c>
      <c r="I1410" s="10">
        <f>IFERROR(T1410*H1410,0)</f>
        <v/>
      </c>
      <c r="J1410" s="11" t="n">
        <v>46156</v>
      </c>
      <c r="K1410" s="11" t="n"/>
      <c r="L1410" t="inlineStr">
        <is>
          <t>Não Devolve-Norte</t>
        </is>
      </c>
      <c r="M1410">
        <f>IF(L1410="","",IFERROR(VLOOKUP(L1410,mapGrupoStatus,2,0),"Outros"))</f>
        <v/>
      </c>
      <c r="N1410">
        <f>IF(O1410="","",IF(O1410&lt;=30,"0-30 dias",IF(O1410&lt;=60,"31-60 dias",IF(O1410&lt;=90,"61-90 dias","Mais de 90 dias"))))</f>
        <v/>
      </c>
      <c r="O1410">
        <f>IF(OR(M1410="Pendente",M1410="Em andamento"),IF(J1410="","",TODAY()-J1410),"")</f>
        <v/>
      </c>
      <c r="P1410" t="n">
        <v>10372</v>
      </c>
      <c r="Q1410" t="inlineStr">
        <is>
          <t>Zero Grau ME (10372)</t>
        </is>
      </c>
      <c r="R1410" t="inlineStr">
        <is>
          <t>PC-0042</t>
        </is>
      </c>
      <c r="S1410" t="inlineStr">
        <is>
          <t>Bico dosador modelo 01</t>
        </is>
      </c>
      <c r="T1410" t="n">
        <v>1</v>
      </c>
      <c r="U1410" t="inlineStr"/>
      <c r="V1410">
        <f>IF(J1410="","",MONTH(J1410))</f>
        <v/>
      </c>
      <c r="W1410">
        <f>IF(J1410="","",YEAR(J1410))</f>
        <v/>
      </c>
      <c r="X1410" t="inlineStr"/>
      <c r="Y1410">
        <f>IFERROR(INDEX(Rastreio!$H$2:$H$200,MATCH(X1410&amp;"|"&amp;U1410,Rastreio!$A$2:$A$200,0)),"")</f>
        <v/>
      </c>
    </row>
    <row r="1411">
      <c r="A1411">
        <f>IFERROR(INDEX(STAs!$G$2:$G$61,MATCH(P1411,STAs!$F$2:$F$61,0))&amp;"","")</f>
        <v/>
      </c>
      <c r="B1411" t="n">
        <v>20007249</v>
      </c>
      <c r="C1411" t="inlineStr">
        <is>
          <t>Não</t>
        </is>
      </c>
      <c r="D1411" t="inlineStr">
        <is>
          <t>PR</t>
        </is>
      </c>
      <c r="E1411" t="inlineStr">
        <is>
          <t>SUL</t>
        </is>
      </c>
      <c r="F1411" t="inlineStr">
        <is>
          <t>Cliente B - Chopeira</t>
        </is>
      </c>
      <c r="G1411" t="inlineStr">
        <is>
          <t>Refrigeradores</t>
        </is>
      </c>
      <c r="H1411" s="10" t="n">
        <v>35</v>
      </c>
      <c r="I1411" s="10">
        <f>IFERROR(T1411*H1411,0)</f>
        <v/>
      </c>
      <c r="J1411" s="11" t="n">
        <v>46156</v>
      </c>
      <c r="K1411" s="11" t="n">
        <v>46196</v>
      </c>
      <c r="L1411" t="inlineStr">
        <is>
          <t>Ok. Devolvida</t>
        </is>
      </c>
      <c r="M1411">
        <f>IF(L1411="","",IFERROR(VLOOKUP(L1411,mapGrupoStatus,2,0),"Outros"))</f>
        <v/>
      </c>
      <c r="N1411">
        <f>IF(O1411="","",IF(O1411&lt;=30,"0-30 dias",IF(O1411&lt;=60,"31-60 dias",IF(O1411&lt;=90,"61-90 dias","Mais de 90 dias"))))</f>
        <v/>
      </c>
      <c r="O1411">
        <f>IF(OR(M1411="Pendente",M1411="Em andamento"),IF(J1411="","",TODAY()-J1411),"")</f>
        <v/>
      </c>
      <c r="P1411" t="n">
        <v>11898</v>
      </c>
      <c r="Q1411" t="inlineStr">
        <is>
          <t>Refrigel Express (11898)</t>
        </is>
      </c>
      <c r="R1411" t="inlineStr">
        <is>
          <t>PC-0016</t>
        </is>
      </c>
      <c r="S1411" t="inlineStr">
        <is>
          <t>Filtro secador modelo 02</t>
        </is>
      </c>
      <c r="T1411" t="n">
        <v>1</v>
      </c>
      <c r="U1411" t="n">
        <v>113</v>
      </c>
      <c r="V1411">
        <f>IF(J1411="","",MONTH(J1411))</f>
        <v/>
      </c>
      <c r="W1411">
        <f>IF(J1411="","",YEAR(J1411))</f>
        <v/>
      </c>
      <c r="X1411" t="inlineStr">
        <is>
          <t>RotaSul</t>
        </is>
      </c>
      <c r="Y1411">
        <f>IFERROR(INDEX(Rastreio!$H$2:$H$200,MATCH(X1411&amp;"|"&amp;U1411,Rastreio!$A$2:$A$200,0)),"")</f>
        <v/>
      </c>
    </row>
    <row r="1412">
      <c r="A1412">
        <f>IFERROR(INDEX(STAs!$G$2:$G$61,MATCH(P1412,STAs!$F$2:$F$61,0))&amp;"","")</f>
        <v/>
      </c>
      <c r="B1412" t="n">
        <v>20009247</v>
      </c>
      <c r="C1412" t="inlineStr">
        <is>
          <t>Não</t>
        </is>
      </c>
      <c r="D1412" t="inlineStr">
        <is>
          <t>RR</t>
        </is>
      </c>
      <c r="E1412" t="inlineStr">
        <is>
          <t>NORTE</t>
        </is>
      </c>
      <c r="F1412" t="inlineStr">
        <is>
          <t>Cliente B - Chopeira</t>
        </is>
      </c>
      <c r="G1412" t="inlineStr">
        <is>
          <t>Chopeiras</t>
        </is>
      </c>
      <c r="H1412" s="10" t="n">
        <v>115</v>
      </c>
      <c r="I1412" s="10">
        <f>IFERROR(T1412*H1412,0)</f>
        <v/>
      </c>
      <c r="J1412" s="11" t="n">
        <v>46156</v>
      </c>
      <c r="K1412" s="11" t="n">
        <v>46196</v>
      </c>
      <c r="L1412" t="inlineStr">
        <is>
          <t>Ok. Devolvida</t>
        </is>
      </c>
      <c r="M1412">
        <f>IF(L1412="","",IFERROR(VLOOKUP(L1412,mapGrupoStatus,2,0),"Outros"))</f>
        <v/>
      </c>
      <c r="N1412">
        <f>IF(O1412="","",IF(O1412&lt;=30,"0-30 dias",IF(O1412&lt;=60,"31-60 dias",IF(O1412&lt;=90,"61-90 dias","Mais de 90 dias"))))</f>
        <v/>
      </c>
      <c r="O1412">
        <f>IF(OR(M1412="Pendente",M1412="Em andamento"),IF(J1412="","",TODAY()-J1412),"")</f>
        <v/>
      </c>
      <c r="P1412" t="n">
        <v>11818</v>
      </c>
      <c r="Q1412" t="inlineStr">
        <is>
          <t>Termotec Ltda (11818)</t>
        </is>
      </c>
      <c r="R1412" t="inlineStr">
        <is>
          <t>PC-0033</t>
        </is>
      </c>
      <c r="S1412" t="inlineStr">
        <is>
          <t>Regulador de pressão modelo 02</t>
        </is>
      </c>
      <c r="T1412" t="n">
        <v>2</v>
      </c>
      <c r="U1412" t="n">
        <v>117</v>
      </c>
      <c r="V1412">
        <f>IF(J1412="","",MONTH(J1412))</f>
        <v/>
      </c>
      <c r="W1412">
        <f>IF(J1412="","",YEAR(J1412))</f>
        <v/>
      </c>
      <c r="X1412" t="inlineStr">
        <is>
          <t>RotaSul</t>
        </is>
      </c>
      <c r="Y1412">
        <f>IFERROR(INDEX(Rastreio!$H$2:$H$200,MATCH(X1412&amp;"|"&amp;U1412,Rastreio!$A$2:$A$200,0)),"")</f>
        <v/>
      </c>
    </row>
    <row r="1413">
      <c r="A1413">
        <f>IFERROR(INDEX(STAs!$G$2:$G$61,MATCH(P1413,STAs!$F$2:$F$61,0))&amp;"","")</f>
        <v/>
      </c>
      <c r="B1413" t="n">
        <v>20019437</v>
      </c>
      <c r="C1413" t="inlineStr">
        <is>
          <t>Não</t>
        </is>
      </c>
      <c r="D1413" t="inlineStr">
        <is>
          <t>SC</t>
        </is>
      </c>
      <c r="E1413" t="inlineStr">
        <is>
          <t>SUL</t>
        </is>
      </c>
      <c r="F1413" t="inlineStr">
        <is>
          <t>Cliente B - Chopeira</t>
        </is>
      </c>
      <c r="G1413" t="inlineStr">
        <is>
          <t>Chopeiras</t>
        </is>
      </c>
      <c r="H1413" s="10" t="n">
        <v>210</v>
      </c>
      <c r="I1413" s="10">
        <f>IFERROR(T1413*H1413,0)</f>
        <v/>
      </c>
      <c r="J1413" s="11" t="n">
        <v>46156</v>
      </c>
      <c r="K1413" s="11" t="n"/>
      <c r="L1413" t="inlineStr">
        <is>
          <t>Aguardando Transporte</t>
        </is>
      </c>
      <c r="M1413">
        <f>IF(L1413="","",IFERROR(VLOOKUP(L1413,mapGrupoStatus,2,0),"Outros"))</f>
        <v/>
      </c>
      <c r="N1413">
        <f>IF(O1413="","",IF(O1413&lt;=30,"0-30 dias",IF(O1413&lt;=60,"31-60 dias",IF(O1413&lt;=90,"61-90 dias","Mais de 90 dias"))))</f>
        <v/>
      </c>
      <c r="O1413">
        <f>IF(OR(M1413="Pendente",M1413="Em andamento"),IF(J1413="","",TODAY()-J1413),"")</f>
        <v/>
      </c>
      <c r="P1413" t="n">
        <v>12138</v>
      </c>
      <c r="Q1413" t="inlineStr">
        <is>
          <t>Refrigeração Serviços (12138)</t>
        </is>
      </c>
      <c r="R1413" t="inlineStr">
        <is>
          <t>PC-0029</t>
        </is>
      </c>
      <c r="S1413" t="inlineStr">
        <is>
          <t>Serpentina modelo 01</t>
        </is>
      </c>
      <c r="T1413" t="n">
        <v>1</v>
      </c>
      <c r="U1413" t="n">
        <v>133</v>
      </c>
      <c r="V1413">
        <f>IF(J1413="","",MONTH(J1413))</f>
        <v/>
      </c>
      <c r="W1413">
        <f>IF(J1413="","",YEAR(J1413))</f>
        <v/>
      </c>
      <c r="X1413" t="inlineStr">
        <is>
          <t>LogExpress</t>
        </is>
      </c>
      <c r="Y1413">
        <f>IFERROR(INDEX(Rastreio!$H$2:$H$200,MATCH(X1413&amp;"|"&amp;U1413,Rastreio!$A$2:$A$200,0)),"")</f>
        <v/>
      </c>
    </row>
    <row r="1414">
      <c r="A1414">
        <f>IFERROR(INDEX(STAs!$G$2:$G$61,MATCH(P1414,STAs!$F$2:$F$61,0))&amp;"","")</f>
        <v/>
      </c>
      <c r="B1414" t="n">
        <v>20019901</v>
      </c>
      <c r="C1414" t="inlineStr">
        <is>
          <t>Não</t>
        </is>
      </c>
      <c r="D1414" t="inlineStr">
        <is>
          <t>PE</t>
        </is>
      </c>
      <c r="E1414" t="inlineStr">
        <is>
          <t>NORDESTE</t>
        </is>
      </c>
      <c r="F1414" t="inlineStr">
        <is>
          <t>Cliente B - Chopeira</t>
        </is>
      </c>
      <c r="G1414" t="inlineStr">
        <is>
          <t>Refrigeradores</t>
        </is>
      </c>
      <c r="H1414" s="10" t="n">
        <v>30</v>
      </c>
      <c r="I1414" s="10">
        <f>IFERROR(T1414*H1414,0)</f>
        <v/>
      </c>
      <c r="J1414" s="11" t="n">
        <v>46156</v>
      </c>
      <c r="K1414" s="11" t="n"/>
      <c r="L1414" t="inlineStr">
        <is>
          <t>Em andamento</t>
        </is>
      </c>
      <c r="M1414">
        <f>IF(L1414="","",IFERROR(VLOOKUP(L1414,mapGrupoStatus,2,0),"Outros"))</f>
        <v/>
      </c>
      <c r="N1414">
        <f>IF(O1414="","",IF(O1414&lt;=30,"0-30 dias",IF(O1414&lt;=60,"31-60 dias",IF(O1414&lt;=90,"61-90 dias","Mais de 90 dias"))))</f>
        <v/>
      </c>
      <c r="O1414">
        <f>IF(OR(M1414="Pendente",M1414="Em andamento"),IF(J1414="","",TODAY()-J1414),"")</f>
        <v/>
      </c>
      <c r="P1414" t="n">
        <v>11352</v>
      </c>
      <c r="Q1414" t="inlineStr">
        <is>
          <t>Frio Express (11352)</t>
        </is>
      </c>
      <c r="R1414" t="inlineStr">
        <is>
          <t>PC-0017</t>
        </is>
      </c>
      <c r="S1414" t="inlineStr">
        <is>
          <t>Filtro secador modelo 03</t>
        </is>
      </c>
      <c r="T1414" t="n">
        <v>1</v>
      </c>
      <c r="U1414" t="n">
        <v>128</v>
      </c>
      <c r="V1414">
        <f>IF(J1414="","",MONTH(J1414))</f>
        <v/>
      </c>
      <c r="W1414">
        <f>IF(J1414="","",YEAR(J1414))</f>
        <v/>
      </c>
      <c r="X1414" t="inlineStr">
        <is>
          <t>RotaSul</t>
        </is>
      </c>
      <c r="Y1414">
        <f>IFERROR(INDEX(Rastreio!$H$2:$H$200,MATCH(X1414&amp;"|"&amp;U1414,Rastreio!$A$2:$A$200,0)),"")</f>
        <v/>
      </c>
    </row>
    <row r="1415">
      <c r="A1415">
        <f>IFERROR(INDEX(STAs!$G$2:$G$61,MATCH(P1415,STAs!$F$2:$F$61,0))&amp;"","")</f>
        <v/>
      </c>
      <c r="B1415" t="n">
        <v>20039193</v>
      </c>
      <c r="C1415" t="inlineStr">
        <is>
          <t>Não</t>
        </is>
      </c>
      <c r="D1415" t="inlineStr">
        <is>
          <t>SP</t>
        </is>
      </c>
      <c r="E1415" t="inlineStr">
        <is>
          <t>SUDESTE SP</t>
        </is>
      </c>
      <c r="F1415" t="inlineStr">
        <is>
          <t>Cliente B - Chopeira</t>
        </is>
      </c>
      <c r="G1415" t="inlineStr">
        <is>
          <t>Refrigeradores</t>
        </is>
      </c>
      <c r="H1415" s="10" t="n">
        <v>190</v>
      </c>
      <c r="I1415" s="10">
        <f>IFERROR(T1415*H1415,0)</f>
        <v/>
      </c>
      <c r="J1415" s="11" t="n">
        <v>46156</v>
      </c>
      <c r="K1415" s="11" t="n">
        <v>46163</v>
      </c>
      <c r="L1415" t="inlineStr">
        <is>
          <t>Ok. Devolvida</t>
        </is>
      </c>
      <c r="M1415">
        <f>IF(L1415="","",IFERROR(VLOOKUP(L1415,mapGrupoStatus,2,0),"Outros"))</f>
        <v/>
      </c>
      <c r="N1415">
        <f>IF(O1415="","",IF(O1415&lt;=30,"0-30 dias",IF(O1415&lt;=60,"31-60 dias",IF(O1415&lt;=90,"61-90 dias","Mais de 90 dias"))))</f>
        <v/>
      </c>
      <c r="O1415">
        <f>IF(OR(M1415="Pendente",M1415="Em andamento"),IF(J1415="","",TODAY()-J1415),"")</f>
        <v/>
      </c>
      <c r="P1415" t="n">
        <v>11365</v>
      </c>
      <c r="Q1415" t="inlineStr">
        <is>
          <t>Ártico Express (11365)</t>
        </is>
      </c>
      <c r="R1415" t="inlineStr">
        <is>
          <t>PC-0011</t>
        </is>
      </c>
      <c r="S1415" t="inlineStr">
        <is>
          <t>Placa eletrônica modelo 01</t>
        </is>
      </c>
      <c r="T1415" t="n">
        <v>2</v>
      </c>
      <c r="U1415" t="n">
        <v>169</v>
      </c>
      <c r="V1415">
        <f>IF(J1415="","",MONTH(J1415))</f>
        <v/>
      </c>
      <c r="W1415">
        <f>IF(J1415="","",YEAR(J1415))</f>
        <v/>
      </c>
      <c r="X1415" t="inlineStr">
        <is>
          <t>TransNorte</t>
        </is>
      </c>
      <c r="Y1415">
        <f>IFERROR(INDEX(Rastreio!$H$2:$H$200,MATCH(X1415&amp;"|"&amp;U1415,Rastreio!$A$2:$A$200,0)),"")</f>
        <v/>
      </c>
    </row>
    <row r="1416">
      <c r="A1416">
        <f>IFERROR(INDEX(STAs!$G$2:$G$61,MATCH(P1416,STAs!$F$2:$F$61,0))&amp;"","")</f>
        <v/>
      </c>
      <c r="B1416" t="n">
        <v>20005207</v>
      </c>
      <c r="C1416" t="inlineStr">
        <is>
          <t>Não</t>
        </is>
      </c>
      <c r="D1416" t="inlineStr">
        <is>
          <t>PR</t>
        </is>
      </c>
      <c r="E1416" t="inlineStr">
        <is>
          <t>SUL</t>
        </is>
      </c>
      <c r="F1416" t="inlineStr">
        <is>
          <t>Cliente B - Chopeira</t>
        </is>
      </c>
      <c r="G1416" t="inlineStr">
        <is>
          <t>Misturadores</t>
        </is>
      </c>
      <c r="H1416" s="10" t="n">
        <v>50</v>
      </c>
      <c r="I1416" s="10">
        <f>IFERROR(T1416*H1416,0)</f>
        <v/>
      </c>
      <c r="J1416" s="11" t="n">
        <v>46157</v>
      </c>
      <c r="K1416" s="11" t="n"/>
      <c r="L1416" t="inlineStr">
        <is>
          <t>Aguardando Transporte</t>
        </is>
      </c>
      <c r="M1416">
        <f>IF(L1416="","",IFERROR(VLOOKUP(L1416,mapGrupoStatus,2,0),"Outros"))</f>
        <v/>
      </c>
      <c r="N1416">
        <f>IF(O1416="","",IF(O1416&lt;=30,"0-30 dias",IF(O1416&lt;=60,"31-60 dias",IF(O1416&lt;=90,"61-90 dias","Mais de 90 dias"))))</f>
        <v/>
      </c>
      <c r="O1416">
        <f>IF(OR(M1416="Pendente",M1416="Em andamento"),IF(J1416="","",TODAY()-J1416),"")</f>
        <v/>
      </c>
      <c r="P1416" t="n">
        <v>12089</v>
      </c>
      <c r="Q1416" t="inlineStr">
        <is>
          <t>Termotec Serviços (12089)</t>
        </is>
      </c>
      <c r="R1416" t="inlineStr">
        <is>
          <t>PC-0047</t>
        </is>
      </c>
      <c r="S1416" t="inlineStr">
        <is>
          <t>Sensor de nível modelo 03</t>
        </is>
      </c>
      <c r="T1416" t="n">
        <v>1</v>
      </c>
      <c r="U1416" t="n">
        <v>113</v>
      </c>
      <c r="V1416">
        <f>IF(J1416="","",MONTH(J1416))</f>
        <v/>
      </c>
      <c r="W1416">
        <f>IF(J1416="","",YEAR(J1416))</f>
        <v/>
      </c>
      <c r="X1416" t="inlineStr">
        <is>
          <t>ViaCargo</t>
        </is>
      </c>
      <c r="Y1416">
        <f>IFERROR(INDEX(Rastreio!$H$2:$H$200,MATCH(X1416&amp;"|"&amp;U1416,Rastreio!$A$2:$A$200,0)),"")</f>
        <v/>
      </c>
    </row>
    <row r="1417">
      <c r="A1417">
        <f>IFERROR(INDEX(STAs!$G$2:$G$61,MATCH(P1417,STAs!$F$2:$F$61,0))&amp;"","")</f>
        <v/>
      </c>
      <c r="B1417" t="n">
        <v>20013011</v>
      </c>
      <c r="C1417" t="inlineStr">
        <is>
          <t>Não</t>
        </is>
      </c>
      <c r="D1417" t="inlineStr">
        <is>
          <t>PA</t>
        </is>
      </c>
      <c r="E1417" t="inlineStr">
        <is>
          <t>NORTE</t>
        </is>
      </c>
      <c r="F1417" t="inlineStr">
        <is>
          <t>Cliente B - Chopeira</t>
        </is>
      </c>
      <c r="G1417" t="inlineStr">
        <is>
          <t>Refrigeradores</t>
        </is>
      </c>
      <c r="H1417" s="10" t="n">
        <v>35</v>
      </c>
      <c r="I1417" s="10">
        <f>IFERROR(T1417*H1417,0)</f>
        <v/>
      </c>
      <c r="J1417" s="11" t="n">
        <v>46157</v>
      </c>
      <c r="K1417" s="11" t="n"/>
      <c r="L1417" t="inlineStr">
        <is>
          <t>Não Devolve-Norte</t>
        </is>
      </c>
      <c r="M1417">
        <f>IF(L1417="","",IFERROR(VLOOKUP(L1417,mapGrupoStatus,2,0),"Outros"))</f>
        <v/>
      </c>
      <c r="N1417">
        <f>IF(O1417="","",IF(O1417&lt;=30,"0-30 dias",IF(O1417&lt;=60,"31-60 dias",IF(O1417&lt;=90,"61-90 dias","Mais de 90 dias"))))</f>
        <v/>
      </c>
      <c r="O1417">
        <f>IF(OR(M1417="Pendente",M1417="Em andamento"),IF(J1417="","",TODAY()-J1417),"")</f>
        <v/>
      </c>
      <c r="P1417" t="n">
        <v>11986</v>
      </c>
      <c r="Q1417" t="inlineStr">
        <is>
          <t>Polar Serviços (11986)</t>
        </is>
      </c>
      <c r="R1417" t="inlineStr">
        <is>
          <t>PC-0020</t>
        </is>
      </c>
      <c r="S1417" t="inlineStr">
        <is>
          <t>Gaxeta da porta modelo 03</t>
        </is>
      </c>
      <c r="T1417" t="n">
        <v>2</v>
      </c>
      <c r="U1417" t="inlineStr"/>
      <c r="V1417">
        <f>IF(J1417="","",MONTH(J1417))</f>
        <v/>
      </c>
      <c r="W1417">
        <f>IF(J1417="","",YEAR(J1417))</f>
        <v/>
      </c>
      <c r="X1417" t="inlineStr"/>
      <c r="Y1417">
        <f>IFERROR(INDEX(Rastreio!$H$2:$H$200,MATCH(X1417&amp;"|"&amp;U1417,Rastreio!$A$2:$A$200,0)),"")</f>
        <v/>
      </c>
    </row>
    <row r="1418">
      <c r="A1418">
        <f>IFERROR(INDEX(STAs!$G$2:$G$61,MATCH(P1418,STAs!$F$2:$F$61,0))&amp;"","")</f>
        <v/>
      </c>
      <c r="B1418" t="n">
        <v>20016881</v>
      </c>
      <c r="C1418" t="inlineStr">
        <is>
          <t>Não</t>
        </is>
      </c>
      <c r="D1418" t="inlineStr">
        <is>
          <t>ES</t>
        </is>
      </c>
      <c r="E1418" t="inlineStr">
        <is>
          <t>SUDESTE RJ e ES</t>
        </is>
      </c>
      <c r="F1418" t="inlineStr">
        <is>
          <t>Cliente C - Misturador</t>
        </is>
      </c>
      <c r="G1418" t="inlineStr">
        <is>
          <t>Refrigeradores</t>
        </is>
      </c>
      <c r="H1418" s="10" t="n">
        <v>35</v>
      </c>
      <c r="I1418" s="10">
        <f>IFERROR(T1418*H1418,0)</f>
        <v/>
      </c>
      <c r="J1418" s="11" t="n">
        <v>46157</v>
      </c>
      <c r="K1418" s="11" t="n"/>
      <c r="L1418" t="inlineStr">
        <is>
          <t>Aguardando devolução</t>
        </is>
      </c>
      <c r="M1418">
        <f>IF(L1418="","",IFERROR(VLOOKUP(L1418,mapGrupoStatus,2,0),"Outros"))</f>
        <v/>
      </c>
      <c r="N1418">
        <f>IF(O1418="","",IF(O1418&lt;=30,"0-30 dias",IF(O1418&lt;=60,"31-60 dias",IF(O1418&lt;=90,"61-90 dias","Mais de 90 dias"))))</f>
        <v/>
      </c>
      <c r="O1418">
        <f>IF(OR(M1418="Pendente",M1418="Em andamento"),IF(J1418="","",TODAY()-J1418),"")</f>
        <v/>
      </c>
      <c r="P1418" t="n">
        <v>11162</v>
      </c>
      <c r="Q1418" t="inlineStr">
        <is>
          <t>Ártico Refrigeração (11162)</t>
        </is>
      </c>
      <c r="R1418" t="inlineStr">
        <is>
          <t>PC-0023</t>
        </is>
      </c>
      <c r="S1418" t="inlineStr">
        <is>
          <t>Relé de partida modelo 01</t>
        </is>
      </c>
      <c r="T1418" t="n">
        <v>1</v>
      </c>
      <c r="U1418" t="inlineStr"/>
      <c r="V1418">
        <f>IF(J1418="","",MONTH(J1418))</f>
        <v/>
      </c>
      <c r="W1418">
        <f>IF(J1418="","",YEAR(J1418))</f>
        <v/>
      </c>
      <c r="X1418" t="inlineStr"/>
      <c r="Y1418">
        <f>IFERROR(INDEX(Rastreio!$H$2:$H$200,MATCH(X1418&amp;"|"&amp;U1418,Rastreio!$A$2:$A$200,0)),"")</f>
        <v/>
      </c>
    </row>
    <row r="1419">
      <c r="A1419">
        <f>IFERROR(INDEX(STAs!$G$2:$G$61,MATCH(P1419,STAs!$F$2:$F$61,0))&amp;"","")</f>
        <v/>
      </c>
      <c r="B1419" t="n">
        <v>20025106</v>
      </c>
      <c r="C1419" t="inlineStr">
        <is>
          <t>Não</t>
        </is>
      </c>
      <c r="D1419" t="inlineStr">
        <is>
          <t>ES</t>
        </is>
      </c>
      <c r="E1419" t="inlineStr">
        <is>
          <t>SUDESTE RJ e ES</t>
        </is>
      </c>
      <c r="F1419" t="inlineStr">
        <is>
          <t>Cliente B - Chopeira</t>
        </is>
      </c>
      <c r="G1419" t="inlineStr">
        <is>
          <t>Refrigeradores</t>
        </is>
      </c>
      <c r="H1419" s="10" t="n">
        <v>30</v>
      </c>
      <c r="I1419" s="10">
        <f>IFERROR(T1419*H1419,0)</f>
        <v/>
      </c>
      <c r="J1419" s="11" t="n">
        <v>46157</v>
      </c>
      <c r="K1419" s="11" t="n">
        <v>46176</v>
      </c>
      <c r="L1419" t="inlineStr">
        <is>
          <t>Ok. Devolvida</t>
        </is>
      </c>
      <c r="M1419">
        <f>IF(L1419="","",IFERROR(VLOOKUP(L1419,mapGrupoStatus,2,0),"Outros"))</f>
        <v/>
      </c>
      <c r="N1419">
        <f>IF(O1419="","",IF(O1419&lt;=30,"0-30 dias",IF(O1419&lt;=60,"31-60 dias",IF(O1419&lt;=90,"61-90 dias","Mais de 90 dias"))))</f>
        <v/>
      </c>
      <c r="O1419">
        <f>IF(OR(M1419="Pendente",M1419="Em andamento"),IF(J1419="","",TODAY()-J1419),"")</f>
        <v/>
      </c>
      <c r="P1419" t="n">
        <v>12555</v>
      </c>
      <c r="Q1419" t="inlineStr">
        <is>
          <t>Cool Service Serviços (12555)</t>
        </is>
      </c>
      <c r="R1419" t="inlineStr">
        <is>
          <t>PC-0017</t>
        </is>
      </c>
      <c r="S1419" t="inlineStr">
        <is>
          <t>Filtro secador modelo 03</t>
        </is>
      </c>
      <c r="T1419" t="n">
        <v>3</v>
      </c>
      <c r="U1419" t="n">
        <v>144</v>
      </c>
      <c r="V1419">
        <f>IF(J1419="","",MONTH(J1419))</f>
        <v/>
      </c>
      <c r="W1419">
        <f>IF(J1419="","",YEAR(J1419))</f>
        <v/>
      </c>
      <c r="X1419" t="inlineStr">
        <is>
          <t>RotaSul</t>
        </is>
      </c>
      <c r="Y1419">
        <f>IFERROR(INDEX(Rastreio!$H$2:$H$200,MATCH(X1419&amp;"|"&amp;U1419,Rastreio!$A$2:$A$200,0)),"")</f>
        <v/>
      </c>
    </row>
    <row r="1420">
      <c r="A1420">
        <f>IFERROR(INDEX(STAs!$G$2:$G$61,MATCH(P1420,STAs!$F$2:$F$61,0))&amp;"","")</f>
        <v/>
      </c>
      <c r="B1420" t="n">
        <v>20028173</v>
      </c>
      <c r="C1420" t="inlineStr">
        <is>
          <t>Sim</t>
        </is>
      </c>
      <c r="D1420" t="inlineStr">
        <is>
          <t>CE</t>
        </is>
      </c>
      <c r="E1420" t="inlineStr">
        <is>
          <t>NORDESTE</t>
        </is>
      </c>
      <c r="F1420" t="inlineStr">
        <is>
          <t>Cliente A - Refrigerador</t>
        </is>
      </c>
      <c r="G1420" t="inlineStr">
        <is>
          <t>Misturadores</t>
        </is>
      </c>
      <c r="H1420" s="10" t="n">
        <v>255</v>
      </c>
      <c r="I1420" s="10">
        <f>IFERROR(T1420*H1420,0)</f>
        <v/>
      </c>
      <c r="J1420" s="11" t="n">
        <v>46157</v>
      </c>
      <c r="K1420" s="11" t="n">
        <v>46201</v>
      </c>
      <c r="L1420" t="inlineStr">
        <is>
          <t>Ok. Devolvida</t>
        </is>
      </c>
      <c r="M1420">
        <f>IF(L1420="","",IFERROR(VLOOKUP(L1420,mapGrupoStatus,2,0),"Outros"))</f>
        <v/>
      </c>
      <c r="N1420">
        <f>IF(O1420="","",IF(O1420&lt;=30,"0-30 dias",IF(O1420&lt;=60,"31-60 dias",IF(O1420&lt;=90,"61-90 dias","Mais de 90 dias"))))</f>
        <v/>
      </c>
      <c r="O1420">
        <f>IF(OR(M1420="Pendente",M1420="Em andamento"),IF(J1420="","",TODAY()-J1420),"")</f>
        <v/>
      </c>
      <c r="P1420" t="n">
        <v>10615</v>
      </c>
      <c r="Q1420" t="inlineStr">
        <is>
          <t>Brisa Técnica (10615)</t>
        </is>
      </c>
      <c r="R1420" t="inlineStr">
        <is>
          <t>PC-0037</t>
        </is>
      </c>
      <c r="S1420" t="inlineStr">
        <is>
          <t>Bomba de recirculação modelo 01</t>
        </is>
      </c>
      <c r="T1420" t="n">
        <v>1</v>
      </c>
      <c r="U1420" t="n">
        <v>148</v>
      </c>
      <c r="V1420">
        <f>IF(J1420="","",MONTH(J1420))</f>
        <v/>
      </c>
      <c r="W1420">
        <f>IF(J1420="","",YEAR(J1420))</f>
        <v/>
      </c>
      <c r="X1420" t="inlineStr">
        <is>
          <t>CargoMax</t>
        </is>
      </c>
      <c r="Y1420">
        <f>IFERROR(INDEX(Rastreio!$H$2:$H$200,MATCH(X1420&amp;"|"&amp;U1420,Rastreio!$A$2:$A$200,0)),"")</f>
        <v/>
      </c>
    </row>
    <row r="1421">
      <c r="A1421">
        <f>IFERROR(INDEX(STAs!$G$2:$G$61,MATCH(P1421,STAs!$F$2:$F$61,0))&amp;"","")</f>
        <v/>
      </c>
      <c r="B1421" t="n">
        <v>20031950</v>
      </c>
      <c r="C1421" t="inlineStr">
        <is>
          <t>Sim</t>
        </is>
      </c>
      <c r="D1421" t="inlineStr">
        <is>
          <t>PR</t>
        </is>
      </c>
      <c r="E1421" t="inlineStr">
        <is>
          <t>SUL</t>
        </is>
      </c>
      <c r="F1421" t="inlineStr">
        <is>
          <t>Cliente A - Refrigerador</t>
        </is>
      </c>
      <c r="G1421" t="inlineStr">
        <is>
          <t>Refrigeradores</t>
        </is>
      </c>
      <c r="H1421" s="10" t="n">
        <v>175</v>
      </c>
      <c r="I1421" s="10">
        <f>IFERROR(T1421*H1421,0)</f>
        <v/>
      </c>
      <c r="J1421" s="11" t="n">
        <v>46157</v>
      </c>
      <c r="K1421" s="11" t="n"/>
      <c r="L1421" t="inlineStr">
        <is>
          <t>Em andamento</t>
        </is>
      </c>
      <c r="M1421">
        <f>IF(L1421="","",IFERROR(VLOOKUP(L1421,mapGrupoStatus,2,0),"Outros"))</f>
        <v/>
      </c>
      <c r="N1421">
        <f>IF(O1421="","",IF(O1421&lt;=30,"0-30 dias",IF(O1421&lt;=60,"31-60 dias",IF(O1421&lt;=90,"61-90 dias","Mais de 90 dias"))))</f>
        <v/>
      </c>
      <c r="O1421">
        <f>IF(OR(M1421="Pendente",M1421="Em andamento"),IF(J1421="","",TODAY()-J1421),"")</f>
        <v/>
      </c>
      <c r="P1421" t="n">
        <v>10753</v>
      </c>
      <c r="Q1421" t="inlineStr">
        <is>
          <t>Refrigel &amp; Cia (10753)</t>
        </is>
      </c>
      <c r="R1421" t="inlineStr">
        <is>
          <t>PC-0012</t>
        </is>
      </c>
      <c r="S1421" t="inlineStr">
        <is>
          <t>Placa eletrônica modelo 02</t>
        </is>
      </c>
      <c r="T1421" t="n">
        <v>1</v>
      </c>
      <c r="U1421" t="n">
        <v>156</v>
      </c>
      <c r="V1421">
        <f>IF(J1421="","",MONTH(J1421))</f>
        <v/>
      </c>
      <c r="W1421">
        <f>IF(J1421="","",YEAR(J1421))</f>
        <v/>
      </c>
      <c r="X1421" t="inlineStr">
        <is>
          <t>CargoMax</t>
        </is>
      </c>
      <c r="Y1421">
        <f>IFERROR(INDEX(Rastreio!$H$2:$H$200,MATCH(X1421&amp;"|"&amp;U1421,Rastreio!$A$2:$A$200,0)),"")</f>
        <v/>
      </c>
    </row>
    <row r="1422">
      <c r="A1422">
        <f>IFERROR(INDEX(STAs!$G$2:$G$61,MATCH(P1422,STAs!$F$2:$F$61,0))&amp;"","")</f>
        <v/>
      </c>
      <c r="B1422" t="n">
        <v>20001022</v>
      </c>
      <c r="C1422" t="inlineStr">
        <is>
          <t>Não</t>
        </is>
      </c>
      <c r="D1422" t="inlineStr">
        <is>
          <t>BA</t>
        </is>
      </c>
      <c r="E1422" t="inlineStr">
        <is>
          <t>NORDESTE</t>
        </is>
      </c>
      <c r="F1422" t="inlineStr">
        <is>
          <t>Cliente B - Chopeira</t>
        </is>
      </c>
      <c r="G1422" t="inlineStr">
        <is>
          <t>Refrigeradores</t>
        </is>
      </c>
      <c r="H1422" s="10" t="n">
        <v>330</v>
      </c>
      <c r="I1422" s="10">
        <f>IFERROR(T1422*H1422,0)</f>
        <v/>
      </c>
      <c r="J1422" s="11" t="n">
        <v>46158</v>
      </c>
      <c r="K1422" s="11" t="n"/>
      <c r="L1422" t="inlineStr">
        <is>
          <t>Não Devolve-Norte</t>
        </is>
      </c>
      <c r="M1422">
        <f>IF(L1422="","",IFERROR(VLOOKUP(L1422,mapGrupoStatus,2,0),"Outros"))</f>
        <v/>
      </c>
      <c r="N1422">
        <f>IF(O1422="","",IF(O1422&lt;=30,"0-30 dias",IF(O1422&lt;=60,"31-60 dias",IF(O1422&lt;=90,"61-90 dias","Mais de 90 dias"))))</f>
        <v/>
      </c>
      <c r="O1422">
        <f>IF(OR(M1422="Pendente",M1422="Em andamento"),IF(J1422="","",TODAY()-J1422),"")</f>
        <v/>
      </c>
      <c r="P1422" t="n">
        <v>11538</v>
      </c>
      <c r="Q1422" t="inlineStr">
        <is>
          <t>Clima Manutenção (11538)</t>
        </is>
      </c>
      <c r="R1422" t="inlineStr">
        <is>
          <t>PC-0003</t>
        </is>
      </c>
      <c r="S1422" t="inlineStr">
        <is>
          <t>Compressor modelo 03</t>
        </is>
      </c>
      <c r="T1422" t="n">
        <v>2</v>
      </c>
      <c r="U1422" t="inlineStr"/>
      <c r="V1422">
        <f>IF(J1422="","",MONTH(J1422))</f>
        <v/>
      </c>
      <c r="W1422">
        <f>IF(J1422="","",YEAR(J1422))</f>
        <v/>
      </c>
      <c r="X1422" t="inlineStr"/>
      <c r="Y1422">
        <f>IFERROR(INDEX(Rastreio!$H$2:$H$200,MATCH(X1422&amp;"|"&amp;U1422,Rastreio!$A$2:$A$200,0)),"")</f>
        <v/>
      </c>
    </row>
    <row r="1423">
      <c r="A1423">
        <f>IFERROR(INDEX(STAs!$G$2:$G$61,MATCH(P1423,STAs!$F$2:$F$61,0))&amp;"","")</f>
        <v/>
      </c>
      <c r="B1423" t="n">
        <v>20007846</v>
      </c>
      <c r="C1423" t="inlineStr">
        <is>
          <t>Não</t>
        </is>
      </c>
      <c r="D1423" t="inlineStr">
        <is>
          <t>MS</t>
        </is>
      </c>
      <c r="E1423" t="inlineStr">
        <is>
          <t>CENTRO OESTE</t>
        </is>
      </c>
      <c r="F1423" t="inlineStr">
        <is>
          <t>Cliente C - Misturador</t>
        </is>
      </c>
      <c r="G1423" t="inlineStr">
        <is>
          <t>Chopeiras</t>
        </is>
      </c>
      <c r="H1423" s="10" t="n">
        <v>85</v>
      </c>
      <c r="I1423" s="10">
        <f>IFERROR(T1423*H1423,0)</f>
        <v/>
      </c>
      <c r="J1423" s="11" t="n">
        <v>46158</v>
      </c>
      <c r="K1423" s="11" t="n"/>
      <c r="L1423" t="inlineStr">
        <is>
          <t>Em transporte</t>
        </is>
      </c>
      <c r="M1423">
        <f>IF(L1423="","",IFERROR(VLOOKUP(L1423,mapGrupoStatus,2,0),"Outros"))</f>
        <v/>
      </c>
      <c r="N1423">
        <f>IF(O1423="","",IF(O1423&lt;=30,"0-30 dias",IF(O1423&lt;=60,"31-60 dias",IF(O1423&lt;=90,"61-90 dias","Mais de 90 dias"))))</f>
        <v/>
      </c>
      <c r="O1423">
        <f>IF(OR(M1423="Pendente",M1423="Em andamento"),IF(J1423="","",TODAY()-J1423),"")</f>
        <v/>
      </c>
      <c r="P1423" t="n">
        <v>10302</v>
      </c>
      <c r="Q1423" t="inlineStr">
        <is>
          <t>Ice Tech Express (10302)</t>
        </is>
      </c>
      <c r="R1423" t="inlineStr">
        <is>
          <t>PC-0026</t>
        </is>
      </c>
      <c r="S1423" t="inlineStr">
        <is>
          <t>Torneira de chopp modelo 01</t>
        </is>
      </c>
      <c r="T1423" t="n">
        <v>3</v>
      </c>
      <c r="U1423" t="n">
        <v>114</v>
      </c>
      <c r="V1423">
        <f>IF(J1423="","",MONTH(J1423))</f>
        <v/>
      </c>
      <c r="W1423">
        <f>IF(J1423="","",YEAR(J1423))</f>
        <v/>
      </c>
      <c r="X1423" t="inlineStr">
        <is>
          <t>CargoMax</t>
        </is>
      </c>
      <c r="Y1423">
        <f>IFERROR(INDEX(Rastreio!$H$2:$H$200,MATCH(X1423&amp;"|"&amp;U1423,Rastreio!$A$2:$A$200,0)),"")</f>
        <v/>
      </c>
    </row>
    <row r="1424">
      <c r="A1424">
        <f>IFERROR(INDEX(STAs!$G$2:$G$61,MATCH(P1424,STAs!$F$2:$F$61,0))&amp;"","")</f>
        <v/>
      </c>
      <c r="B1424" t="n">
        <v>20011216</v>
      </c>
      <c r="C1424" t="inlineStr">
        <is>
          <t>Não</t>
        </is>
      </c>
      <c r="D1424" t="inlineStr">
        <is>
          <t>MG</t>
        </is>
      </c>
      <c r="E1424" t="inlineStr">
        <is>
          <t>SUDESTE MG</t>
        </is>
      </c>
      <c r="F1424" t="inlineStr">
        <is>
          <t>Cliente B - Chopeira</t>
        </is>
      </c>
      <c r="G1424" t="inlineStr">
        <is>
          <t>Chopeiras</t>
        </is>
      </c>
      <c r="H1424" s="10" t="n">
        <v>85</v>
      </c>
      <c r="I1424" s="10">
        <f>IFERROR(T1424*H1424,0)</f>
        <v/>
      </c>
      <c r="J1424" s="11" t="n">
        <v>46158</v>
      </c>
      <c r="K1424" s="11" t="n">
        <v>46218</v>
      </c>
      <c r="L1424" t="inlineStr">
        <is>
          <t>Ok. Devolvida</t>
        </is>
      </c>
      <c r="M1424">
        <f>IF(L1424="","",IFERROR(VLOOKUP(L1424,mapGrupoStatus,2,0),"Outros"))</f>
        <v/>
      </c>
      <c r="N1424">
        <f>IF(O1424="","",IF(O1424&lt;=30,"0-30 dias",IF(O1424&lt;=60,"31-60 dias",IF(O1424&lt;=90,"61-90 dias","Mais de 90 dias"))))</f>
        <v/>
      </c>
      <c r="O1424">
        <f>IF(OR(M1424="Pendente",M1424="Em andamento"),IF(J1424="","",TODAY()-J1424),"")</f>
        <v/>
      </c>
      <c r="P1424" t="n">
        <v>11494</v>
      </c>
      <c r="Q1424" t="inlineStr">
        <is>
          <t>Clima Técnica (11494)</t>
        </is>
      </c>
      <c r="R1424" t="inlineStr">
        <is>
          <t>PC-0035</t>
        </is>
      </c>
      <c r="S1424" t="inlineStr">
        <is>
          <t>Válvula extratora modelo 01</t>
        </is>
      </c>
      <c r="T1424" t="n">
        <v>3</v>
      </c>
      <c r="U1424" t="n">
        <v>122</v>
      </c>
      <c r="V1424">
        <f>IF(J1424="","",MONTH(J1424))</f>
        <v/>
      </c>
      <c r="W1424">
        <f>IF(J1424="","",YEAR(J1424))</f>
        <v/>
      </c>
      <c r="X1424" t="inlineStr">
        <is>
          <t>EntregaJá</t>
        </is>
      </c>
      <c r="Y1424">
        <f>IFERROR(INDEX(Rastreio!$H$2:$H$200,MATCH(X1424&amp;"|"&amp;U1424,Rastreio!$A$2:$A$200,0)),"")</f>
        <v/>
      </c>
    </row>
    <row r="1425">
      <c r="A1425">
        <f>IFERROR(INDEX(STAs!$G$2:$G$61,MATCH(P1425,STAs!$F$2:$F$61,0))&amp;"","")</f>
        <v/>
      </c>
      <c r="B1425" t="n">
        <v>20017479</v>
      </c>
      <c r="C1425" t="inlineStr">
        <is>
          <t>Sim</t>
        </is>
      </c>
      <c r="D1425" t="inlineStr">
        <is>
          <t>CE</t>
        </is>
      </c>
      <c r="E1425" t="inlineStr">
        <is>
          <t>NORDESTE</t>
        </is>
      </c>
      <c r="F1425" t="inlineStr">
        <is>
          <t>Cliente C - Misturador</t>
        </is>
      </c>
      <c r="G1425" t="inlineStr">
        <is>
          <t>Refrigeradores</t>
        </is>
      </c>
      <c r="H1425" s="10" t="n">
        <v>155</v>
      </c>
      <c r="I1425" s="10">
        <f>IFERROR(T1425*H1425,0)</f>
        <v/>
      </c>
      <c r="J1425" s="11" t="n">
        <v>46158</v>
      </c>
      <c r="K1425" s="11" t="n"/>
      <c r="L1425" t="inlineStr">
        <is>
          <t>Aguardando devolução</t>
        </is>
      </c>
      <c r="M1425">
        <f>IF(L1425="","",IFERROR(VLOOKUP(L1425,mapGrupoStatus,2,0),"Outros"))</f>
        <v/>
      </c>
      <c r="N1425">
        <f>IF(O1425="","",IF(O1425&lt;=30,"0-30 dias",IF(O1425&lt;=60,"31-60 dias",IF(O1425&lt;=90,"61-90 dias","Mais de 90 dias"))))</f>
        <v/>
      </c>
      <c r="O1425">
        <f>IF(OR(M1425="Pendente",M1425="Em andamento"),IF(J1425="","",TODAY()-J1425),"")</f>
        <v/>
      </c>
      <c r="P1425" t="n">
        <v>10615</v>
      </c>
      <c r="Q1425" t="inlineStr">
        <is>
          <t>Brisa Técnica (10615)</t>
        </is>
      </c>
      <c r="R1425" t="inlineStr">
        <is>
          <t>PC-0022</t>
        </is>
      </c>
      <c r="S1425" t="inlineStr">
        <is>
          <t>Controlador digital modelo 02</t>
        </is>
      </c>
      <c r="T1425" t="n">
        <v>1</v>
      </c>
      <c r="U1425" t="inlineStr"/>
      <c r="V1425">
        <f>IF(J1425="","",MONTH(J1425))</f>
        <v/>
      </c>
      <c r="W1425">
        <f>IF(J1425="","",YEAR(J1425))</f>
        <v/>
      </c>
      <c r="X1425" t="inlineStr"/>
      <c r="Y1425">
        <f>IFERROR(INDEX(Rastreio!$H$2:$H$200,MATCH(X1425&amp;"|"&amp;U1425,Rastreio!$A$2:$A$200,0)),"")</f>
        <v/>
      </c>
    </row>
    <row r="1426">
      <c r="A1426">
        <f>IFERROR(INDEX(STAs!$G$2:$G$61,MATCH(P1426,STAs!$F$2:$F$61,0))&amp;"","")</f>
        <v/>
      </c>
      <c r="B1426" t="n">
        <v>20022693</v>
      </c>
      <c r="C1426" t="inlineStr">
        <is>
          <t>Não</t>
        </is>
      </c>
      <c r="D1426" t="inlineStr">
        <is>
          <t>PI</t>
        </is>
      </c>
      <c r="E1426" t="inlineStr">
        <is>
          <t>NORDESTE</t>
        </is>
      </c>
      <c r="F1426" t="inlineStr">
        <is>
          <t>Cliente B - Chopeira</t>
        </is>
      </c>
      <c r="G1426" t="inlineStr">
        <is>
          <t>Chopeiras</t>
        </is>
      </c>
      <c r="H1426" s="10" t="n">
        <v>120</v>
      </c>
      <c r="I1426" s="10">
        <f>IFERROR(T1426*H1426,0)</f>
        <v/>
      </c>
      <c r="J1426" s="11" t="n">
        <v>46158</v>
      </c>
      <c r="K1426" s="11" t="n"/>
      <c r="L1426" t="inlineStr">
        <is>
          <t>Debitar do STA</t>
        </is>
      </c>
      <c r="M1426">
        <f>IF(L1426="","",IFERROR(VLOOKUP(L1426,mapGrupoStatus,2,0),"Outros"))</f>
        <v/>
      </c>
      <c r="N1426">
        <f>IF(O1426="","",IF(O1426&lt;=30,"0-30 dias",IF(O1426&lt;=60,"31-60 dias",IF(O1426&lt;=90,"61-90 dias","Mais de 90 dias"))))</f>
        <v/>
      </c>
      <c r="O1426">
        <f>IF(OR(M1426="Pendente",M1426="Em andamento"),IF(J1426="","",TODAY()-J1426),"")</f>
        <v/>
      </c>
      <c r="P1426" t="n">
        <v>10562</v>
      </c>
      <c r="Q1426" t="inlineStr">
        <is>
          <t>Clima &amp; Cia (10562)</t>
        </is>
      </c>
      <c r="R1426" t="inlineStr">
        <is>
          <t>PC-0032</t>
        </is>
      </c>
      <c r="S1426" t="inlineStr">
        <is>
          <t>Regulador de pressão modelo 01</t>
        </is>
      </c>
      <c r="T1426" t="n">
        <v>1</v>
      </c>
      <c r="U1426" t="inlineStr"/>
      <c r="V1426">
        <f>IF(J1426="","",MONTH(J1426))</f>
        <v/>
      </c>
      <c r="W1426">
        <f>IF(J1426="","",YEAR(J1426))</f>
        <v/>
      </c>
      <c r="X1426" t="inlineStr"/>
      <c r="Y1426">
        <f>IFERROR(INDEX(Rastreio!$H$2:$H$200,MATCH(X1426&amp;"|"&amp;U1426,Rastreio!$A$2:$A$200,0)),"")</f>
        <v/>
      </c>
    </row>
    <row r="1427">
      <c r="A1427">
        <f>IFERROR(INDEX(STAs!$G$2:$G$61,MATCH(P1427,STAs!$F$2:$F$61,0))&amp;"","")</f>
        <v/>
      </c>
      <c r="B1427" t="n">
        <v>20027492</v>
      </c>
      <c r="C1427" t="inlineStr">
        <is>
          <t>Sim</t>
        </is>
      </c>
      <c r="D1427" t="inlineStr">
        <is>
          <t>GO</t>
        </is>
      </c>
      <c r="E1427" t="inlineStr">
        <is>
          <t>CENTRO OESTE</t>
        </is>
      </c>
      <c r="F1427" t="inlineStr">
        <is>
          <t>Cliente C - Misturador</t>
        </is>
      </c>
      <c r="G1427" t="inlineStr">
        <is>
          <t>Chopeiras</t>
        </is>
      </c>
      <c r="H1427" s="10" t="n">
        <v>210</v>
      </c>
      <c r="I1427" s="10">
        <f>IFERROR(T1427*H1427,0)</f>
        <v/>
      </c>
      <c r="J1427" s="11" t="n">
        <v>46158</v>
      </c>
      <c r="K1427" s="11" t="n"/>
      <c r="L1427" t="inlineStr">
        <is>
          <t>Debitar do STA</t>
        </is>
      </c>
      <c r="M1427">
        <f>IF(L1427="","",IFERROR(VLOOKUP(L1427,mapGrupoStatus,2,0),"Outros"))</f>
        <v/>
      </c>
      <c r="N1427">
        <f>IF(O1427="","",IF(O1427&lt;=30,"0-30 dias",IF(O1427&lt;=60,"31-60 dias",IF(O1427&lt;=90,"61-90 dias","Mais de 90 dias"))))</f>
        <v/>
      </c>
      <c r="O1427">
        <f>IF(OR(M1427="Pendente",M1427="Em andamento"),IF(J1427="","",TODAY()-J1427),"")</f>
        <v/>
      </c>
      <c r="P1427" t="n">
        <v>11677</v>
      </c>
      <c r="Q1427" t="inlineStr">
        <is>
          <t>Cool Service Manutenção (11677)</t>
        </is>
      </c>
      <c r="R1427" t="inlineStr">
        <is>
          <t>PC-0029</t>
        </is>
      </c>
      <c r="S1427" t="inlineStr">
        <is>
          <t>Serpentina modelo 01</t>
        </is>
      </c>
      <c r="T1427" t="n">
        <v>1</v>
      </c>
      <c r="U1427" t="inlineStr"/>
      <c r="V1427">
        <f>IF(J1427="","",MONTH(J1427))</f>
        <v/>
      </c>
      <c r="W1427">
        <f>IF(J1427="","",YEAR(J1427))</f>
        <v/>
      </c>
      <c r="X1427" t="inlineStr"/>
      <c r="Y1427">
        <f>IFERROR(INDEX(Rastreio!$H$2:$H$200,MATCH(X1427&amp;"|"&amp;U1427,Rastreio!$A$2:$A$200,0)),"")</f>
        <v/>
      </c>
    </row>
    <row r="1428">
      <c r="A1428">
        <f>IFERROR(INDEX(STAs!$G$2:$G$61,MATCH(P1428,STAs!$F$2:$F$61,0))&amp;"","")</f>
        <v/>
      </c>
      <c r="B1428" t="n">
        <v>20027898</v>
      </c>
      <c r="C1428" t="inlineStr">
        <is>
          <t>Não</t>
        </is>
      </c>
      <c r="D1428" t="inlineStr">
        <is>
          <t>PR</t>
        </is>
      </c>
      <c r="E1428" t="inlineStr">
        <is>
          <t>SUL</t>
        </is>
      </c>
      <c r="F1428" t="inlineStr">
        <is>
          <t>Cliente A - Refrigerador</t>
        </is>
      </c>
      <c r="G1428" t="inlineStr">
        <is>
          <t>Refrigeradores</t>
        </is>
      </c>
      <c r="H1428" s="10" t="n">
        <v>35</v>
      </c>
      <c r="I1428" s="10">
        <f>IFERROR(T1428*H1428,0)</f>
        <v/>
      </c>
      <c r="J1428" s="11" t="n">
        <v>46158</v>
      </c>
      <c r="K1428" s="11" t="n">
        <v>46208</v>
      </c>
      <c r="L1428" t="inlineStr">
        <is>
          <t>Ok. Devolvida</t>
        </is>
      </c>
      <c r="M1428">
        <f>IF(L1428="","",IFERROR(VLOOKUP(L1428,mapGrupoStatus,2,0),"Outros"))</f>
        <v/>
      </c>
      <c r="N1428">
        <f>IF(O1428="","",IF(O1428&lt;=30,"0-30 dias",IF(O1428&lt;=60,"31-60 dias",IF(O1428&lt;=90,"61-90 dias","Mais de 90 dias"))))</f>
        <v/>
      </c>
      <c r="O1428">
        <f>IF(OR(M1428="Pendente",M1428="Em andamento"),IF(J1428="","",TODAY()-J1428),"")</f>
        <v/>
      </c>
      <c r="P1428" t="n">
        <v>10504</v>
      </c>
      <c r="Q1428" t="inlineStr">
        <is>
          <t>Zero Grau Ltda (10504)</t>
        </is>
      </c>
      <c r="R1428" t="inlineStr">
        <is>
          <t>PC-0023</t>
        </is>
      </c>
      <c r="S1428" t="inlineStr">
        <is>
          <t>Relé de partida modelo 01</t>
        </is>
      </c>
      <c r="T1428" t="n">
        <v>1</v>
      </c>
      <c r="U1428" t="n">
        <v>148</v>
      </c>
      <c r="V1428">
        <f>IF(J1428="","",MONTH(J1428))</f>
        <v/>
      </c>
      <c r="W1428">
        <f>IF(J1428="","",YEAR(J1428))</f>
        <v/>
      </c>
      <c r="X1428" t="inlineStr">
        <is>
          <t>CargoMax</t>
        </is>
      </c>
      <c r="Y1428">
        <f>IFERROR(INDEX(Rastreio!$H$2:$H$200,MATCH(X1428&amp;"|"&amp;U1428,Rastreio!$A$2:$A$200,0)),"")</f>
        <v/>
      </c>
    </row>
    <row r="1429">
      <c r="A1429">
        <f>IFERROR(INDEX(STAs!$G$2:$G$61,MATCH(P1429,STAs!$F$2:$F$61,0))&amp;"","")</f>
        <v/>
      </c>
      <c r="B1429" t="n">
        <v>20029005</v>
      </c>
      <c r="C1429" t="inlineStr">
        <is>
          <t>Não</t>
        </is>
      </c>
      <c r="D1429" t="inlineStr">
        <is>
          <t>MT</t>
        </is>
      </c>
      <c r="E1429" t="inlineStr">
        <is>
          <t>CENTRO OESTE</t>
        </is>
      </c>
      <c r="F1429" t="inlineStr">
        <is>
          <t>Cliente C - Misturador</t>
        </is>
      </c>
      <c r="G1429" t="inlineStr">
        <is>
          <t>Refrigeradores</t>
        </is>
      </c>
      <c r="H1429" s="10" t="n">
        <v>25</v>
      </c>
      <c r="I1429" s="10">
        <f>IFERROR(T1429*H1429,0)</f>
        <v/>
      </c>
      <c r="J1429" s="11" t="n">
        <v>46158</v>
      </c>
      <c r="K1429" s="11" t="n"/>
      <c r="L1429" t="inlineStr">
        <is>
          <t>NPD</t>
        </is>
      </c>
      <c r="M1429">
        <f>IF(L1429="","",IFERROR(VLOOKUP(L1429,mapGrupoStatus,2,0),"Outros"))</f>
        <v/>
      </c>
      <c r="N1429">
        <f>IF(O1429="","",IF(O1429&lt;=30,"0-30 dias",IF(O1429&lt;=60,"31-60 dias",IF(O1429&lt;=90,"61-90 dias","Mais de 90 dias"))))</f>
        <v/>
      </c>
      <c r="O1429">
        <f>IF(OR(M1429="Pendente",M1429="Em andamento"),IF(J1429="","",TODAY()-J1429),"")</f>
        <v/>
      </c>
      <c r="P1429" t="n">
        <v>10227</v>
      </c>
      <c r="Q1429" t="inlineStr">
        <is>
          <t>Assistência Técnica ME (10227)</t>
        </is>
      </c>
      <c r="R1429" t="inlineStr">
        <is>
          <t>PC-0015</t>
        </is>
      </c>
      <c r="S1429" t="inlineStr">
        <is>
          <t>Filtro secador modelo 01</t>
        </is>
      </c>
      <c r="T1429" t="n">
        <v>1</v>
      </c>
      <c r="U1429" t="inlineStr"/>
      <c r="V1429">
        <f>IF(J1429="","",MONTH(J1429))</f>
        <v/>
      </c>
      <c r="W1429">
        <f>IF(J1429="","",YEAR(J1429))</f>
        <v/>
      </c>
      <c r="X1429" t="inlineStr"/>
      <c r="Y1429">
        <f>IFERROR(INDEX(Rastreio!$H$2:$H$200,MATCH(X1429&amp;"|"&amp;U1429,Rastreio!$A$2:$A$200,0)),"")</f>
        <v/>
      </c>
    </row>
    <row r="1430">
      <c r="A1430">
        <f>IFERROR(INDEX(STAs!$G$2:$G$61,MATCH(P1430,STAs!$F$2:$F$61,0))&amp;"","")</f>
        <v/>
      </c>
      <c r="B1430" t="n">
        <v>20032755</v>
      </c>
      <c r="C1430" t="inlineStr">
        <is>
          <t>Não</t>
        </is>
      </c>
      <c r="D1430" t="inlineStr">
        <is>
          <t>RR</t>
        </is>
      </c>
      <c r="E1430" t="inlineStr">
        <is>
          <t>NORTE</t>
        </is>
      </c>
      <c r="F1430" t="inlineStr">
        <is>
          <t>Cliente A - Refrigerador</t>
        </is>
      </c>
      <c r="G1430" t="inlineStr">
        <is>
          <t>Refrigeradores</t>
        </is>
      </c>
      <c r="H1430" s="10" t="n">
        <v>190</v>
      </c>
      <c r="I1430" s="10">
        <f>IFERROR(T1430*H1430,0)</f>
        <v/>
      </c>
      <c r="J1430" s="11" t="n">
        <v>46158</v>
      </c>
      <c r="K1430" s="11" t="n"/>
      <c r="L1430" t="inlineStr">
        <is>
          <t>Não Devolve-Norte</t>
        </is>
      </c>
      <c r="M1430">
        <f>IF(L1430="","",IFERROR(VLOOKUP(L1430,mapGrupoStatus,2,0),"Outros"))</f>
        <v/>
      </c>
      <c r="N1430">
        <f>IF(O1430="","",IF(O1430&lt;=30,"0-30 dias",IF(O1430&lt;=60,"31-60 dias",IF(O1430&lt;=90,"61-90 dias","Mais de 90 dias"))))</f>
        <v/>
      </c>
      <c r="O1430">
        <f>IF(OR(M1430="Pendente",M1430="Em andamento"),IF(J1430="","",TODAY()-J1430),"")</f>
        <v/>
      </c>
      <c r="P1430" t="n">
        <v>12422</v>
      </c>
      <c r="Q1430" t="inlineStr">
        <is>
          <t>Assistência Técnica Refrigeração (12422)</t>
        </is>
      </c>
      <c r="R1430" t="inlineStr">
        <is>
          <t>PC-0014</t>
        </is>
      </c>
      <c r="S1430" t="inlineStr">
        <is>
          <t>Placa eletrônica modelo 04</t>
        </is>
      </c>
      <c r="T1430" t="n">
        <v>1</v>
      </c>
      <c r="U1430" t="inlineStr"/>
      <c r="V1430">
        <f>IF(J1430="","",MONTH(J1430))</f>
        <v/>
      </c>
      <c r="W1430">
        <f>IF(J1430="","",YEAR(J1430))</f>
        <v/>
      </c>
      <c r="X1430" t="inlineStr"/>
      <c r="Y1430">
        <f>IFERROR(INDEX(Rastreio!$H$2:$H$200,MATCH(X1430&amp;"|"&amp;U1430,Rastreio!$A$2:$A$200,0)),"")</f>
        <v/>
      </c>
    </row>
    <row r="1431">
      <c r="A1431">
        <f>IFERROR(INDEX(STAs!$G$2:$G$61,MATCH(P1431,STAs!$F$2:$F$61,0))&amp;"","")</f>
        <v/>
      </c>
      <c r="B1431" t="n">
        <v>20001725</v>
      </c>
      <c r="C1431" t="inlineStr">
        <is>
          <t>Sim</t>
        </is>
      </c>
      <c r="D1431" t="inlineStr">
        <is>
          <t>GO</t>
        </is>
      </c>
      <c r="E1431" t="inlineStr">
        <is>
          <t>CENTRO OESTE</t>
        </is>
      </c>
      <c r="F1431" t="inlineStr">
        <is>
          <t>Cliente A - Refrigerador</t>
        </is>
      </c>
      <c r="G1431" t="inlineStr">
        <is>
          <t>Refrigeradores</t>
        </is>
      </c>
      <c r="H1431" s="10" t="n">
        <v>45</v>
      </c>
      <c r="I1431" s="10">
        <f>IFERROR(T1431*H1431,0)</f>
        <v/>
      </c>
      <c r="J1431" s="11" t="n">
        <v>46159</v>
      </c>
      <c r="K1431" s="11" t="n"/>
      <c r="L1431" t="inlineStr">
        <is>
          <t>Em transporte</t>
        </is>
      </c>
      <c r="M1431">
        <f>IF(L1431="","",IFERROR(VLOOKUP(L1431,mapGrupoStatus,2,0),"Outros"))</f>
        <v/>
      </c>
      <c r="N1431">
        <f>IF(O1431="","",IF(O1431&lt;=30,"0-30 dias",IF(O1431&lt;=60,"31-60 dias",IF(O1431&lt;=90,"61-90 dias","Mais de 90 dias"))))</f>
        <v/>
      </c>
      <c r="O1431">
        <f>IF(OR(M1431="Pendente",M1431="Em andamento"),IF(J1431="","",TODAY()-J1431),"")</f>
        <v/>
      </c>
      <c r="P1431" t="n">
        <v>11677</v>
      </c>
      <c r="Q1431" t="inlineStr">
        <is>
          <t>Cool Service Manutenção (11677)</t>
        </is>
      </c>
      <c r="R1431" t="inlineStr">
        <is>
          <t>PC-0019</t>
        </is>
      </c>
      <c r="S1431" t="inlineStr">
        <is>
          <t>Gaxeta da porta modelo 02</t>
        </is>
      </c>
      <c r="T1431" t="n">
        <v>2</v>
      </c>
      <c r="U1431" t="n">
        <v>103</v>
      </c>
      <c r="V1431">
        <f>IF(J1431="","",MONTH(J1431))</f>
        <v/>
      </c>
      <c r="W1431">
        <f>IF(J1431="","",YEAR(J1431))</f>
        <v/>
      </c>
      <c r="X1431" t="inlineStr">
        <is>
          <t>LogExpress</t>
        </is>
      </c>
      <c r="Y1431">
        <f>IFERROR(INDEX(Rastreio!$H$2:$H$200,MATCH(X1431&amp;"|"&amp;U1431,Rastreio!$A$2:$A$200,0)),"")</f>
        <v/>
      </c>
    </row>
    <row r="1432">
      <c r="A1432">
        <f>IFERROR(INDEX(STAs!$G$2:$G$61,MATCH(P1432,STAs!$F$2:$F$61,0))&amp;"","")</f>
        <v/>
      </c>
      <c r="B1432" t="n">
        <v>20002287</v>
      </c>
      <c r="C1432" t="inlineStr">
        <is>
          <t>Não</t>
        </is>
      </c>
      <c r="D1432" t="inlineStr">
        <is>
          <t>RR</t>
        </is>
      </c>
      <c r="E1432" t="inlineStr">
        <is>
          <t>NORTE</t>
        </is>
      </c>
      <c r="F1432" t="inlineStr">
        <is>
          <t>Cliente C - Misturador</t>
        </is>
      </c>
      <c r="G1432" t="inlineStr">
        <is>
          <t>Refrigeradores</t>
        </is>
      </c>
      <c r="H1432" s="10" t="n">
        <v>155</v>
      </c>
      <c r="I1432" s="10">
        <f>IFERROR(T1432*H1432,0)</f>
        <v/>
      </c>
      <c r="J1432" s="11" t="n">
        <v>46159</v>
      </c>
      <c r="K1432" s="11" t="n"/>
      <c r="L1432" t="inlineStr">
        <is>
          <t>Não Devolve-Norte</t>
        </is>
      </c>
      <c r="M1432">
        <f>IF(L1432="","",IFERROR(VLOOKUP(L1432,mapGrupoStatus,2,0),"Outros"))</f>
        <v/>
      </c>
      <c r="N1432">
        <f>IF(O1432="","",IF(O1432&lt;=30,"0-30 dias",IF(O1432&lt;=60,"31-60 dias",IF(O1432&lt;=90,"61-90 dias","Mais de 90 dias"))))</f>
        <v/>
      </c>
      <c r="O1432">
        <f>IF(OR(M1432="Pendente",M1432="Em andamento"),IF(J1432="","",TODAY()-J1432),"")</f>
        <v/>
      </c>
      <c r="P1432" t="n">
        <v>12422</v>
      </c>
      <c r="Q1432" t="inlineStr">
        <is>
          <t>Assistência Técnica Refrigeração (12422)</t>
        </is>
      </c>
      <c r="R1432" t="inlineStr">
        <is>
          <t>PC-0022</t>
        </is>
      </c>
      <c r="S1432" t="inlineStr">
        <is>
          <t>Controlador digital modelo 02</t>
        </is>
      </c>
      <c r="T1432" t="n">
        <v>1</v>
      </c>
      <c r="U1432" t="inlineStr"/>
      <c r="V1432">
        <f>IF(J1432="","",MONTH(J1432))</f>
        <v/>
      </c>
      <c r="W1432">
        <f>IF(J1432="","",YEAR(J1432))</f>
        <v/>
      </c>
      <c r="X1432" t="inlineStr"/>
      <c r="Y1432">
        <f>IFERROR(INDEX(Rastreio!$H$2:$H$200,MATCH(X1432&amp;"|"&amp;U1432,Rastreio!$A$2:$A$200,0)),"")</f>
        <v/>
      </c>
    </row>
    <row r="1433">
      <c r="A1433">
        <f>IFERROR(INDEX(STAs!$G$2:$G$61,MATCH(P1433,STAs!$F$2:$F$61,0))&amp;"","")</f>
        <v/>
      </c>
      <c r="B1433" t="n">
        <v>20017550</v>
      </c>
      <c r="C1433" t="inlineStr">
        <is>
          <t>Não</t>
        </is>
      </c>
      <c r="D1433" t="inlineStr">
        <is>
          <t>ES</t>
        </is>
      </c>
      <c r="E1433" t="inlineStr">
        <is>
          <t>SUDESTE RJ e ES</t>
        </is>
      </c>
      <c r="F1433" t="inlineStr">
        <is>
          <t>Cliente B - Chopeira</t>
        </is>
      </c>
      <c r="G1433" t="inlineStr">
        <is>
          <t>Refrigeradores</t>
        </is>
      </c>
      <c r="H1433" s="10" t="n">
        <v>40</v>
      </c>
      <c r="I1433" s="10">
        <f>IFERROR(T1433*H1433,0)</f>
        <v/>
      </c>
      <c r="J1433" s="11" t="n">
        <v>46159</v>
      </c>
      <c r="K1433" s="11" t="n"/>
      <c r="L1433" t="inlineStr">
        <is>
          <t>Aguardando devolução</t>
        </is>
      </c>
      <c r="M1433">
        <f>IF(L1433="","",IFERROR(VLOOKUP(L1433,mapGrupoStatus,2,0),"Outros"))</f>
        <v/>
      </c>
      <c r="N1433">
        <f>IF(O1433="","",IF(O1433&lt;=30,"0-30 dias",IF(O1433&lt;=60,"31-60 dias",IF(O1433&lt;=90,"61-90 dias","Mais de 90 dias"))))</f>
        <v/>
      </c>
      <c r="O1433">
        <f>IF(OR(M1433="Pendente",M1433="Em andamento"),IF(J1433="","",TODAY()-J1433),"")</f>
        <v/>
      </c>
      <c r="P1433" t="n">
        <v>11162</v>
      </c>
      <c r="Q1433" t="inlineStr">
        <is>
          <t>Ártico Refrigeração (11162)</t>
        </is>
      </c>
      <c r="R1433" t="inlineStr">
        <is>
          <t>PC-0005</t>
        </is>
      </c>
      <c r="S1433" t="inlineStr">
        <is>
          <t>Termostato modelo 02</t>
        </is>
      </c>
      <c r="T1433" t="n">
        <v>1</v>
      </c>
      <c r="U1433" t="inlineStr"/>
      <c r="V1433">
        <f>IF(J1433="","",MONTH(J1433))</f>
        <v/>
      </c>
      <c r="W1433">
        <f>IF(J1433="","",YEAR(J1433))</f>
        <v/>
      </c>
      <c r="X1433" t="inlineStr"/>
      <c r="Y1433">
        <f>IFERROR(INDEX(Rastreio!$H$2:$H$200,MATCH(X1433&amp;"|"&amp;U1433,Rastreio!$A$2:$A$200,0)),"")</f>
        <v/>
      </c>
    </row>
    <row r="1434">
      <c r="A1434">
        <f>IFERROR(INDEX(STAs!$G$2:$G$61,MATCH(P1434,STAs!$F$2:$F$61,0))&amp;"","")</f>
        <v/>
      </c>
      <c r="B1434" t="n">
        <v>20019911</v>
      </c>
      <c r="C1434" t="inlineStr">
        <is>
          <t>Não</t>
        </is>
      </c>
      <c r="D1434" t="inlineStr">
        <is>
          <t>SP</t>
        </is>
      </c>
      <c r="E1434" t="inlineStr">
        <is>
          <t>SUDESTE SP</t>
        </is>
      </c>
      <c r="F1434" t="inlineStr">
        <is>
          <t>Cliente C - Misturador</t>
        </is>
      </c>
      <c r="G1434" t="inlineStr">
        <is>
          <t>Refrigeradores</t>
        </is>
      </c>
      <c r="H1434" s="10" t="n">
        <v>190</v>
      </c>
      <c r="I1434" s="10">
        <f>IFERROR(T1434*H1434,0)</f>
        <v/>
      </c>
      <c r="J1434" s="11" t="n">
        <v>46159</v>
      </c>
      <c r="K1434" s="11" t="n">
        <v>46209</v>
      </c>
      <c r="L1434" t="inlineStr">
        <is>
          <t>Ok. Devolvida</t>
        </is>
      </c>
      <c r="M1434">
        <f>IF(L1434="","",IFERROR(VLOOKUP(L1434,mapGrupoStatus,2,0),"Outros"))</f>
        <v/>
      </c>
      <c r="N1434">
        <f>IF(O1434="","",IF(O1434&lt;=30,"0-30 dias",IF(O1434&lt;=60,"31-60 dias",IF(O1434&lt;=90,"61-90 dias","Mais de 90 dias"))))</f>
        <v/>
      </c>
      <c r="O1434">
        <f>IF(OR(M1434="Pendente",M1434="Em andamento"),IF(J1434="","",TODAY()-J1434),"")</f>
        <v/>
      </c>
      <c r="P1434" t="n">
        <v>11365</v>
      </c>
      <c r="Q1434" t="inlineStr">
        <is>
          <t>Ártico Express (11365)</t>
        </is>
      </c>
      <c r="R1434" t="inlineStr">
        <is>
          <t>PC-0011</t>
        </is>
      </c>
      <c r="S1434" t="inlineStr">
        <is>
          <t>Placa eletrônica modelo 01</t>
        </is>
      </c>
      <c r="T1434" t="n">
        <v>1</v>
      </c>
      <c r="U1434" t="n">
        <v>129</v>
      </c>
      <c r="V1434">
        <f>IF(J1434="","",MONTH(J1434))</f>
        <v/>
      </c>
      <c r="W1434">
        <f>IF(J1434="","",YEAR(J1434))</f>
        <v/>
      </c>
      <c r="X1434" t="inlineStr">
        <is>
          <t>RotaSul</t>
        </is>
      </c>
      <c r="Y1434">
        <f>IFERROR(INDEX(Rastreio!$H$2:$H$200,MATCH(X1434&amp;"|"&amp;U1434,Rastreio!$A$2:$A$200,0)),"")</f>
        <v/>
      </c>
    </row>
    <row r="1435">
      <c r="A1435">
        <f>IFERROR(INDEX(STAs!$G$2:$G$61,MATCH(P1435,STAs!$F$2:$F$61,0))&amp;"","")</f>
        <v/>
      </c>
      <c r="B1435" t="n">
        <v>20013920</v>
      </c>
      <c r="C1435" t="inlineStr">
        <is>
          <t>Não</t>
        </is>
      </c>
      <c r="D1435" t="inlineStr">
        <is>
          <t>SP</t>
        </is>
      </c>
      <c r="E1435" t="inlineStr">
        <is>
          <t>SUDESTE SP</t>
        </is>
      </c>
      <c r="F1435" t="inlineStr">
        <is>
          <t>Cliente B - Chopeira</t>
        </is>
      </c>
      <c r="G1435" t="inlineStr">
        <is>
          <t>Refrigeradores</t>
        </is>
      </c>
      <c r="H1435" s="10" t="n">
        <v>50</v>
      </c>
      <c r="I1435" s="10">
        <f>IFERROR(T1435*H1435,0)</f>
        <v/>
      </c>
      <c r="J1435" s="11" t="n">
        <v>46160</v>
      </c>
      <c r="K1435" s="11" t="n">
        <v>46195</v>
      </c>
      <c r="L1435" t="inlineStr">
        <is>
          <t>Ok. Devolvida</t>
        </is>
      </c>
      <c r="M1435">
        <f>IF(L1435="","",IFERROR(VLOOKUP(L1435,mapGrupoStatus,2,0),"Outros"))</f>
        <v/>
      </c>
      <c r="N1435">
        <f>IF(O1435="","",IF(O1435&lt;=30,"0-30 dias",IF(O1435&lt;=60,"31-60 dias",IF(O1435&lt;=90,"61-90 dias","Mais de 90 dias"))))</f>
        <v/>
      </c>
      <c r="O1435">
        <f>IF(OR(M1435="Pendente",M1435="Em andamento"),IF(J1435="","",TODAY()-J1435),"")</f>
        <v/>
      </c>
      <c r="P1435" t="n">
        <v>12901</v>
      </c>
      <c r="Q1435" t="inlineStr">
        <is>
          <t>Frio Serviços (12901)</t>
        </is>
      </c>
      <c r="R1435" t="inlineStr">
        <is>
          <t>PC-0006</t>
        </is>
      </c>
      <c r="S1435" t="inlineStr">
        <is>
          <t>Termostato modelo 03</t>
        </is>
      </c>
      <c r="T1435" t="n">
        <v>2</v>
      </c>
      <c r="U1435" t="n">
        <v>126</v>
      </c>
      <c r="V1435">
        <f>IF(J1435="","",MONTH(J1435))</f>
        <v/>
      </c>
      <c r="W1435">
        <f>IF(J1435="","",YEAR(J1435))</f>
        <v/>
      </c>
      <c r="X1435" t="inlineStr">
        <is>
          <t>CargoMax</t>
        </is>
      </c>
      <c r="Y1435">
        <f>IFERROR(INDEX(Rastreio!$H$2:$H$200,MATCH(X1435&amp;"|"&amp;U1435,Rastreio!$A$2:$A$200,0)),"")</f>
        <v/>
      </c>
    </row>
    <row r="1436">
      <c r="A1436">
        <f>IFERROR(INDEX(STAs!$G$2:$G$61,MATCH(P1436,STAs!$F$2:$F$61,0))&amp;"","")</f>
        <v/>
      </c>
      <c r="B1436" t="n">
        <v>20020983</v>
      </c>
      <c r="C1436" t="inlineStr">
        <is>
          <t>Não</t>
        </is>
      </c>
      <c r="D1436" t="inlineStr">
        <is>
          <t>RR</t>
        </is>
      </c>
      <c r="E1436" t="inlineStr">
        <is>
          <t>NORTE</t>
        </is>
      </c>
      <c r="F1436" t="inlineStr">
        <is>
          <t>Cliente A - Refrigerador</t>
        </is>
      </c>
      <c r="G1436" t="inlineStr">
        <is>
          <t>Refrigeradores</t>
        </is>
      </c>
      <c r="H1436" s="10" t="n">
        <v>40</v>
      </c>
      <c r="I1436" s="10">
        <f>IFERROR(T1436*H1436,0)</f>
        <v/>
      </c>
      <c r="J1436" s="11" t="n">
        <v>46160</v>
      </c>
      <c r="K1436" s="11" t="n"/>
      <c r="L1436" t="inlineStr">
        <is>
          <t>Aguardando devolução</t>
        </is>
      </c>
      <c r="M1436">
        <f>IF(L1436="","",IFERROR(VLOOKUP(L1436,mapGrupoStatus,2,0),"Outros"))</f>
        <v/>
      </c>
      <c r="N1436">
        <f>IF(O1436="","",IF(O1436&lt;=30,"0-30 dias",IF(O1436&lt;=60,"31-60 dias",IF(O1436&lt;=90,"61-90 dias","Mais de 90 dias"))))</f>
        <v/>
      </c>
      <c r="O1436">
        <f>IF(OR(M1436="Pendente",M1436="Em andamento"),IF(J1436="","",TODAY()-J1436),"")</f>
        <v/>
      </c>
      <c r="P1436" t="n">
        <v>10468</v>
      </c>
      <c r="Q1436" t="inlineStr">
        <is>
          <t>Clima Express (10468)</t>
        </is>
      </c>
      <c r="R1436" t="inlineStr">
        <is>
          <t>PC-0004</t>
        </is>
      </c>
      <c r="S1436" t="inlineStr">
        <is>
          <t>Termostato modelo 01</t>
        </is>
      </c>
      <c r="T1436" t="n">
        <v>1</v>
      </c>
      <c r="U1436" t="inlineStr"/>
      <c r="V1436">
        <f>IF(J1436="","",MONTH(J1436))</f>
        <v/>
      </c>
      <c r="W1436">
        <f>IF(J1436="","",YEAR(J1436))</f>
        <v/>
      </c>
      <c r="X1436" t="inlineStr"/>
      <c r="Y1436">
        <f>IFERROR(INDEX(Rastreio!$H$2:$H$200,MATCH(X1436&amp;"|"&amp;U1436,Rastreio!$A$2:$A$200,0)),"")</f>
        <v/>
      </c>
    </row>
    <row r="1437">
      <c r="A1437">
        <f>IFERROR(INDEX(STAs!$G$2:$G$61,MATCH(P1437,STAs!$F$2:$F$61,0))&amp;"","")</f>
        <v/>
      </c>
      <c r="B1437" t="n">
        <v>20028853</v>
      </c>
      <c r="C1437" t="inlineStr">
        <is>
          <t>Não</t>
        </is>
      </c>
      <c r="D1437" t="inlineStr">
        <is>
          <t>ES</t>
        </is>
      </c>
      <c r="E1437" t="inlineStr">
        <is>
          <t>SUDESTE RJ e ES</t>
        </is>
      </c>
      <c r="F1437" t="inlineStr">
        <is>
          <t>Cliente B - Chopeira</t>
        </is>
      </c>
      <c r="G1437" t="inlineStr">
        <is>
          <t>Refrigeradores</t>
        </is>
      </c>
      <c r="H1437" s="10" t="n">
        <v>55</v>
      </c>
      <c r="I1437" s="10">
        <f>IFERROR(T1437*H1437,0)</f>
        <v/>
      </c>
      <c r="J1437" s="11" t="n">
        <v>46160</v>
      </c>
      <c r="K1437" s="11" t="n">
        <v>46197</v>
      </c>
      <c r="L1437" t="inlineStr">
        <is>
          <t>Ok. Devolvida</t>
        </is>
      </c>
      <c r="M1437">
        <f>IF(L1437="","",IFERROR(VLOOKUP(L1437,mapGrupoStatus,2,0),"Outros"))</f>
        <v/>
      </c>
      <c r="N1437">
        <f>IF(O1437="","",IF(O1437&lt;=30,"0-30 dias",IF(O1437&lt;=60,"31-60 dias",IF(O1437&lt;=90,"61-90 dias","Mais de 90 dias"))))</f>
        <v/>
      </c>
      <c r="O1437">
        <f>IF(OR(M1437="Pendente",M1437="Em andamento"),IF(J1437="","",TODAY()-J1437),"")</f>
        <v/>
      </c>
      <c r="P1437" t="n">
        <v>11162</v>
      </c>
      <c r="Q1437" t="inlineStr">
        <is>
          <t>Ártico Refrigeração (11162)</t>
        </is>
      </c>
      <c r="R1437" t="inlineStr">
        <is>
          <t>PC-0007</t>
        </is>
      </c>
      <c r="S1437" t="inlineStr">
        <is>
          <t>Ventilador modelo 01</t>
        </is>
      </c>
      <c r="T1437" t="n">
        <v>1</v>
      </c>
      <c r="U1437" t="n">
        <v>154</v>
      </c>
      <c r="V1437">
        <f>IF(J1437="","",MONTH(J1437))</f>
        <v/>
      </c>
      <c r="W1437">
        <f>IF(J1437="","",YEAR(J1437))</f>
        <v/>
      </c>
      <c r="X1437" t="inlineStr">
        <is>
          <t>LogExpress</t>
        </is>
      </c>
      <c r="Y1437">
        <f>IFERROR(INDEX(Rastreio!$H$2:$H$200,MATCH(X1437&amp;"|"&amp;U1437,Rastreio!$A$2:$A$200,0)),"")</f>
        <v/>
      </c>
    </row>
    <row r="1438">
      <c r="A1438">
        <f>IFERROR(INDEX(STAs!$G$2:$G$61,MATCH(P1438,STAs!$F$2:$F$61,0))&amp;"","")</f>
        <v/>
      </c>
      <c r="B1438" t="n">
        <v>20029999</v>
      </c>
      <c r="C1438" t="inlineStr">
        <is>
          <t>Não</t>
        </is>
      </c>
      <c r="D1438" t="inlineStr">
        <is>
          <t>TO</t>
        </is>
      </c>
      <c r="E1438" t="inlineStr">
        <is>
          <t>NORTE</t>
        </is>
      </c>
      <c r="F1438" t="inlineStr">
        <is>
          <t>Cliente B - Chopeira</t>
        </is>
      </c>
      <c r="G1438" t="inlineStr">
        <is>
          <t>Misturadores</t>
        </is>
      </c>
      <c r="H1438" s="10" t="n">
        <v>50</v>
      </c>
      <c r="I1438" s="10">
        <f>IFERROR(T1438*H1438,0)</f>
        <v/>
      </c>
      <c r="J1438" s="11" t="n">
        <v>46160</v>
      </c>
      <c r="K1438" s="11" t="n"/>
      <c r="L1438" t="inlineStr">
        <is>
          <t>Não Devolve-Norte</t>
        </is>
      </c>
      <c r="M1438">
        <f>IF(L1438="","",IFERROR(VLOOKUP(L1438,mapGrupoStatus,2,0),"Outros"))</f>
        <v/>
      </c>
      <c r="N1438">
        <f>IF(O1438="","",IF(O1438&lt;=30,"0-30 dias",IF(O1438&lt;=60,"31-60 dias",IF(O1438&lt;=90,"61-90 dias","Mais de 90 dias"))))</f>
        <v/>
      </c>
      <c r="O1438">
        <f>IF(OR(M1438="Pendente",M1438="Em andamento"),IF(J1438="","",TODAY()-J1438),"")</f>
        <v/>
      </c>
      <c r="P1438" t="n">
        <v>10939</v>
      </c>
      <c r="Q1438" t="inlineStr">
        <is>
          <t>Zero Grau Manutenção (10939)</t>
        </is>
      </c>
      <c r="R1438" t="inlineStr">
        <is>
          <t>PC-0045</t>
        </is>
      </c>
      <c r="S1438" t="inlineStr">
        <is>
          <t>Sensor de nível modelo 01</t>
        </is>
      </c>
      <c r="T1438" t="n">
        <v>1</v>
      </c>
      <c r="U1438" t="inlineStr"/>
      <c r="V1438">
        <f>IF(J1438="","",MONTH(J1438))</f>
        <v/>
      </c>
      <c r="W1438">
        <f>IF(J1438="","",YEAR(J1438))</f>
        <v/>
      </c>
      <c r="X1438" t="inlineStr"/>
      <c r="Y1438">
        <f>IFERROR(INDEX(Rastreio!$H$2:$H$200,MATCH(X1438&amp;"|"&amp;U1438,Rastreio!$A$2:$A$200,0)),"")</f>
        <v/>
      </c>
    </row>
    <row r="1439">
      <c r="A1439">
        <f>IFERROR(INDEX(STAs!$G$2:$G$61,MATCH(P1439,STAs!$F$2:$F$61,0))&amp;"","")</f>
        <v/>
      </c>
      <c r="B1439" t="n">
        <v>20037581</v>
      </c>
      <c r="C1439" t="inlineStr">
        <is>
          <t>Não</t>
        </is>
      </c>
      <c r="D1439" t="inlineStr">
        <is>
          <t>PR</t>
        </is>
      </c>
      <c r="E1439" t="inlineStr">
        <is>
          <t>SUL</t>
        </is>
      </c>
      <c r="F1439" t="inlineStr">
        <is>
          <t>Cliente C - Misturador</t>
        </is>
      </c>
      <c r="G1439" t="inlineStr">
        <is>
          <t>Refrigeradores</t>
        </is>
      </c>
      <c r="H1439" s="10" t="n">
        <v>330</v>
      </c>
      <c r="I1439" s="10">
        <f>IFERROR(T1439*H1439,0)</f>
        <v/>
      </c>
      <c r="J1439" s="11" t="n">
        <v>46160</v>
      </c>
      <c r="K1439" s="11" t="n"/>
      <c r="L1439" t="inlineStr">
        <is>
          <t>Debitar do STA</t>
        </is>
      </c>
      <c r="M1439">
        <f>IF(L1439="","",IFERROR(VLOOKUP(L1439,mapGrupoStatus,2,0),"Outros"))</f>
        <v/>
      </c>
      <c r="N1439">
        <f>IF(O1439="","",IF(O1439&lt;=30,"0-30 dias",IF(O1439&lt;=60,"31-60 dias",IF(O1439&lt;=90,"61-90 dias","Mais de 90 dias"))))</f>
        <v/>
      </c>
      <c r="O1439">
        <f>IF(OR(M1439="Pendente",M1439="Em andamento"),IF(J1439="","",TODAY()-J1439),"")</f>
        <v/>
      </c>
      <c r="P1439" t="n">
        <v>10504</v>
      </c>
      <c r="Q1439" t="inlineStr">
        <is>
          <t>Zero Grau Ltda (10504)</t>
        </is>
      </c>
      <c r="R1439" t="inlineStr">
        <is>
          <t>PC-0003</t>
        </is>
      </c>
      <c r="S1439" t="inlineStr">
        <is>
          <t>Compressor modelo 03</t>
        </is>
      </c>
      <c r="T1439" t="n">
        <v>1</v>
      </c>
      <c r="U1439" t="inlineStr"/>
      <c r="V1439">
        <f>IF(J1439="","",MONTH(J1439))</f>
        <v/>
      </c>
      <c r="W1439">
        <f>IF(J1439="","",YEAR(J1439))</f>
        <v/>
      </c>
      <c r="X1439" t="inlineStr"/>
      <c r="Y1439">
        <f>IFERROR(INDEX(Rastreio!$H$2:$H$200,MATCH(X1439&amp;"|"&amp;U1439,Rastreio!$A$2:$A$200,0)),"")</f>
        <v/>
      </c>
    </row>
    <row r="1440">
      <c r="A1440">
        <f>IFERROR(INDEX(STAs!$G$2:$G$61,MATCH(P1440,STAs!$F$2:$F$61,0))&amp;"","")</f>
        <v/>
      </c>
      <c r="B1440" t="n">
        <v>20022526</v>
      </c>
      <c r="C1440" t="inlineStr">
        <is>
          <t>Não</t>
        </is>
      </c>
      <c r="D1440" t="inlineStr">
        <is>
          <t>AM</t>
        </is>
      </c>
      <c r="E1440" t="inlineStr">
        <is>
          <t>NORTE</t>
        </is>
      </c>
      <c r="F1440" t="inlineStr">
        <is>
          <t>Cliente C - Misturador</t>
        </is>
      </c>
      <c r="G1440" t="inlineStr">
        <is>
          <t>Misturadores</t>
        </is>
      </c>
      <c r="H1440" s="10" t="n">
        <v>50</v>
      </c>
      <c r="I1440" s="10">
        <f>IFERROR(T1440*H1440,0)</f>
        <v/>
      </c>
      <c r="J1440" s="11" t="n">
        <v>46161</v>
      </c>
      <c r="K1440" s="11" t="n"/>
      <c r="L1440" t="inlineStr">
        <is>
          <t>Aguardando Transporte</t>
        </is>
      </c>
      <c r="M1440">
        <f>IF(L1440="","",IFERROR(VLOOKUP(L1440,mapGrupoStatus,2,0),"Outros"))</f>
        <v/>
      </c>
      <c r="N1440">
        <f>IF(O1440="","",IF(O1440&lt;=30,"0-30 dias",IF(O1440&lt;=60,"31-60 dias",IF(O1440&lt;=90,"61-90 dias","Mais de 90 dias"))))</f>
        <v/>
      </c>
      <c r="O1440">
        <f>IF(OR(M1440="Pendente",M1440="Em andamento"),IF(J1440="","",TODAY()-J1440),"")</f>
        <v/>
      </c>
      <c r="P1440" t="n">
        <v>12269</v>
      </c>
      <c r="Q1440" t="inlineStr">
        <is>
          <t>Polar Técnica (12269)</t>
        </is>
      </c>
      <c r="R1440" t="inlineStr">
        <is>
          <t>PC-0047</t>
        </is>
      </c>
      <c r="S1440" t="inlineStr">
        <is>
          <t>Sensor de nível modelo 03</t>
        </is>
      </c>
      <c r="T1440" t="n">
        <v>1</v>
      </c>
      <c r="U1440" t="n">
        <v>137</v>
      </c>
      <c r="V1440">
        <f>IF(J1440="","",MONTH(J1440))</f>
        <v/>
      </c>
      <c r="W1440">
        <f>IF(J1440="","",YEAR(J1440))</f>
        <v/>
      </c>
      <c r="X1440" t="inlineStr">
        <is>
          <t>ViaCargo</t>
        </is>
      </c>
      <c r="Y1440">
        <f>IFERROR(INDEX(Rastreio!$H$2:$H$200,MATCH(X1440&amp;"|"&amp;U1440,Rastreio!$A$2:$A$200,0)),"")</f>
        <v/>
      </c>
    </row>
    <row r="1441">
      <c r="A1441">
        <f>IFERROR(INDEX(STAs!$G$2:$G$61,MATCH(P1441,STAs!$F$2:$F$61,0))&amp;"","")</f>
        <v/>
      </c>
      <c r="B1441" t="n">
        <v>20035142</v>
      </c>
      <c r="C1441" t="inlineStr">
        <is>
          <t>Não</t>
        </is>
      </c>
      <c r="D1441" t="inlineStr">
        <is>
          <t>MG</t>
        </is>
      </c>
      <c r="E1441" t="inlineStr">
        <is>
          <t>SUDESTE MG</t>
        </is>
      </c>
      <c r="F1441" t="inlineStr">
        <is>
          <t>Cliente C - Misturador</t>
        </is>
      </c>
      <c r="G1441" t="inlineStr">
        <is>
          <t>Misturadores</t>
        </is>
      </c>
      <c r="H1441" s="10" t="n">
        <v>50</v>
      </c>
      <c r="I1441" s="10">
        <f>IFERROR(T1441*H1441,0)</f>
        <v/>
      </c>
      <c r="J1441" s="11" t="n">
        <v>46161</v>
      </c>
      <c r="K1441" s="11" t="n">
        <v>46177</v>
      </c>
      <c r="L1441" t="inlineStr">
        <is>
          <t>Ok. Devolvida</t>
        </is>
      </c>
      <c r="M1441">
        <f>IF(L1441="","",IFERROR(VLOOKUP(L1441,mapGrupoStatus,2,0),"Outros"))</f>
        <v/>
      </c>
      <c r="N1441">
        <f>IF(O1441="","",IF(O1441&lt;=30,"0-30 dias",IF(O1441&lt;=60,"31-60 dias",IF(O1441&lt;=90,"61-90 dias","Mais de 90 dias"))))</f>
        <v/>
      </c>
      <c r="O1441">
        <f>IF(OR(M1441="Pendente",M1441="Em andamento"),IF(J1441="","",TODAY()-J1441),"")</f>
        <v/>
      </c>
      <c r="P1441" t="n">
        <v>12470</v>
      </c>
      <c r="Q1441" t="inlineStr">
        <is>
          <t>Cool Service Técnica (12470)</t>
        </is>
      </c>
      <c r="R1441" t="inlineStr">
        <is>
          <t>PC-0044</t>
        </is>
      </c>
      <c r="S1441" t="inlineStr">
        <is>
          <t>Bico dosador modelo 03</t>
        </is>
      </c>
      <c r="T1441" t="n">
        <v>1</v>
      </c>
      <c r="U1441" t="n">
        <v>161</v>
      </c>
      <c r="V1441">
        <f>IF(J1441="","",MONTH(J1441))</f>
        <v/>
      </c>
      <c r="W1441">
        <f>IF(J1441="","",YEAR(J1441))</f>
        <v/>
      </c>
      <c r="X1441" t="inlineStr">
        <is>
          <t>CargoMax</t>
        </is>
      </c>
      <c r="Y1441">
        <f>IFERROR(INDEX(Rastreio!$H$2:$H$200,MATCH(X1441&amp;"|"&amp;U1441,Rastreio!$A$2:$A$200,0)),"")</f>
        <v/>
      </c>
    </row>
    <row r="1442">
      <c r="A1442">
        <f>IFERROR(INDEX(STAs!$G$2:$G$61,MATCH(P1442,STAs!$F$2:$F$61,0))&amp;"","")</f>
        <v/>
      </c>
      <c r="B1442" t="n">
        <v>20039904</v>
      </c>
      <c r="C1442" t="inlineStr">
        <is>
          <t>Não</t>
        </is>
      </c>
      <c r="D1442" t="inlineStr">
        <is>
          <t>MG</t>
        </is>
      </c>
      <c r="E1442" t="inlineStr">
        <is>
          <t>SUDESTE MG</t>
        </is>
      </c>
      <c r="F1442" t="inlineStr">
        <is>
          <t>Cliente B - Chopeira</t>
        </is>
      </c>
      <c r="G1442" t="inlineStr">
        <is>
          <t>Chopeiras</t>
        </is>
      </c>
      <c r="H1442" s="10" t="n">
        <v>210</v>
      </c>
      <c r="I1442" s="10">
        <f>IFERROR(T1442*H1442,0)</f>
        <v/>
      </c>
      <c r="J1442" s="11" t="n">
        <v>46161</v>
      </c>
      <c r="K1442" s="11" t="n">
        <v>46207</v>
      </c>
      <c r="L1442" t="inlineStr">
        <is>
          <t>Ok. Devolvida</t>
        </is>
      </c>
      <c r="M1442">
        <f>IF(L1442="","",IFERROR(VLOOKUP(L1442,mapGrupoStatus,2,0),"Outros"))</f>
        <v/>
      </c>
      <c r="N1442">
        <f>IF(O1442="","",IF(O1442&lt;=30,"0-30 dias",IF(O1442&lt;=60,"31-60 dias",IF(O1442&lt;=90,"61-90 dias","Mais de 90 dias"))))</f>
        <v/>
      </c>
      <c r="O1442">
        <f>IF(OR(M1442="Pendente",M1442="Em andamento"),IF(J1442="","",TODAY()-J1442),"")</f>
        <v/>
      </c>
      <c r="P1442" t="n">
        <v>11494</v>
      </c>
      <c r="Q1442" t="inlineStr">
        <is>
          <t>Clima Técnica (11494)</t>
        </is>
      </c>
      <c r="R1442" t="inlineStr">
        <is>
          <t>PC-0029</t>
        </is>
      </c>
      <c r="S1442" t="inlineStr">
        <is>
          <t>Serpentina modelo 01</t>
        </is>
      </c>
      <c r="T1442" t="n">
        <v>2</v>
      </c>
      <c r="U1442" t="n">
        <v>157</v>
      </c>
      <c r="V1442">
        <f>IF(J1442="","",MONTH(J1442))</f>
        <v/>
      </c>
      <c r="W1442">
        <f>IF(J1442="","",YEAR(J1442))</f>
        <v/>
      </c>
      <c r="X1442" t="inlineStr">
        <is>
          <t>EntregaJá</t>
        </is>
      </c>
      <c r="Y1442">
        <f>IFERROR(INDEX(Rastreio!$H$2:$H$200,MATCH(X1442&amp;"|"&amp;U1442,Rastreio!$A$2:$A$200,0)),"")</f>
        <v/>
      </c>
    </row>
    <row r="1443">
      <c r="A1443">
        <f>IFERROR(INDEX(STAs!$G$2:$G$61,MATCH(P1443,STAs!$F$2:$F$61,0))&amp;"","")</f>
        <v/>
      </c>
      <c r="B1443" t="n">
        <v>20002116</v>
      </c>
      <c r="C1443" t="inlineStr">
        <is>
          <t>Não</t>
        </is>
      </c>
      <c r="D1443" t="inlineStr">
        <is>
          <t>MS</t>
        </is>
      </c>
      <c r="E1443" t="inlineStr">
        <is>
          <t>CENTRO OESTE</t>
        </is>
      </c>
      <c r="F1443" t="inlineStr">
        <is>
          <t>Cliente B - Chopeira</t>
        </is>
      </c>
      <c r="G1443" t="inlineStr">
        <is>
          <t>Refrigeradores</t>
        </is>
      </c>
      <c r="H1443" s="10" t="n">
        <v>190</v>
      </c>
      <c r="I1443" s="10">
        <f>IFERROR(T1443*H1443,0)</f>
        <v/>
      </c>
      <c r="J1443" s="11" t="n">
        <v>46162</v>
      </c>
      <c r="K1443" s="11" t="n"/>
      <c r="L1443" t="inlineStr">
        <is>
          <t>Em andamento</t>
        </is>
      </c>
      <c r="M1443">
        <f>IF(L1443="","",IFERROR(VLOOKUP(L1443,mapGrupoStatus,2,0),"Outros"))</f>
        <v/>
      </c>
      <c r="N1443">
        <f>IF(O1443="","",IF(O1443&lt;=30,"0-30 dias",IF(O1443&lt;=60,"31-60 dias",IF(O1443&lt;=90,"61-90 dias","Mais de 90 dias"))))</f>
        <v/>
      </c>
      <c r="O1443">
        <f>IF(OR(M1443="Pendente",M1443="Em andamento"),IF(J1443="","",TODAY()-J1443),"")</f>
        <v/>
      </c>
      <c r="P1443" t="n">
        <v>12280</v>
      </c>
      <c r="Q1443" t="inlineStr">
        <is>
          <t>Termotec &amp; Cia (12280)</t>
        </is>
      </c>
      <c r="R1443" t="inlineStr">
        <is>
          <t>PC-0011</t>
        </is>
      </c>
      <c r="S1443" t="inlineStr">
        <is>
          <t>Placa eletrônica modelo 01</t>
        </is>
      </c>
      <c r="T1443" t="n">
        <v>1</v>
      </c>
      <c r="U1443" t="n">
        <v>101</v>
      </c>
      <c r="V1443">
        <f>IF(J1443="","",MONTH(J1443))</f>
        <v/>
      </c>
      <c r="W1443">
        <f>IF(J1443="","",YEAR(J1443))</f>
        <v/>
      </c>
      <c r="X1443" t="inlineStr">
        <is>
          <t>CargoMax</t>
        </is>
      </c>
      <c r="Y1443">
        <f>IFERROR(INDEX(Rastreio!$H$2:$H$200,MATCH(X1443&amp;"|"&amp;U1443,Rastreio!$A$2:$A$200,0)),"")</f>
        <v/>
      </c>
    </row>
    <row r="1444">
      <c r="A1444">
        <f>IFERROR(INDEX(STAs!$G$2:$G$61,MATCH(P1444,STAs!$F$2:$F$61,0))&amp;"","")</f>
        <v/>
      </c>
      <c r="B1444" t="n">
        <v>20006091</v>
      </c>
      <c r="C1444" t="inlineStr">
        <is>
          <t>Não</t>
        </is>
      </c>
      <c r="D1444" t="inlineStr">
        <is>
          <t>MS</t>
        </is>
      </c>
      <c r="E1444" t="inlineStr">
        <is>
          <t>CENTRO OESTE</t>
        </is>
      </c>
      <c r="F1444" t="inlineStr">
        <is>
          <t>Cliente B - Chopeira</t>
        </is>
      </c>
      <c r="G1444" t="inlineStr">
        <is>
          <t>Chopeiras</t>
        </is>
      </c>
      <c r="H1444" s="10" t="n">
        <v>120</v>
      </c>
      <c r="I1444" s="10">
        <f>IFERROR(T1444*H1444,0)</f>
        <v/>
      </c>
      <c r="J1444" s="11" t="n">
        <v>46162</v>
      </c>
      <c r="K1444" s="11" t="n">
        <v>46174</v>
      </c>
      <c r="L1444" t="inlineStr">
        <is>
          <t>Ok. Devolvida</t>
        </is>
      </c>
      <c r="M1444">
        <f>IF(L1444="","",IFERROR(VLOOKUP(L1444,mapGrupoStatus,2,0),"Outros"))</f>
        <v/>
      </c>
      <c r="N1444">
        <f>IF(O1444="","",IF(O1444&lt;=30,"0-30 dias",IF(O1444&lt;=60,"31-60 dias",IF(O1444&lt;=90,"61-90 dias","Mais de 90 dias"))))</f>
        <v/>
      </c>
      <c r="O1444">
        <f>IF(OR(M1444="Pendente",M1444="Em andamento"),IF(J1444="","",TODAY()-J1444),"")</f>
        <v/>
      </c>
      <c r="P1444" t="n">
        <v>12280</v>
      </c>
      <c r="Q1444" t="inlineStr">
        <is>
          <t>Termotec &amp; Cia (12280)</t>
        </is>
      </c>
      <c r="R1444" t="inlineStr">
        <is>
          <t>PC-0032</t>
        </is>
      </c>
      <c r="S1444" t="inlineStr">
        <is>
          <t>Regulador de pressão modelo 01</t>
        </is>
      </c>
      <c r="T1444" t="n">
        <v>1</v>
      </c>
      <c r="U1444" t="n">
        <v>115</v>
      </c>
      <c r="V1444">
        <f>IF(J1444="","",MONTH(J1444))</f>
        <v/>
      </c>
      <c r="W1444">
        <f>IF(J1444="","",YEAR(J1444))</f>
        <v/>
      </c>
      <c r="X1444" t="inlineStr">
        <is>
          <t>ViaCargo</t>
        </is>
      </c>
      <c r="Y1444">
        <f>IFERROR(INDEX(Rastreio!$H$2:$H$200,MATCH(X1444&amp;"|"&amp;U1444,Rastreio!$A$2:$A$200,0)),"")</f>
        <v/>
      </c>
    </row>
    <row r="1445">
      <c r="A1445">
        <f>IFERROR(INDEX(STAs!$G$2:$G$61,MATCH(P1445,STAs!$F$2:$F$61,0))&amp;"","")</f>
        <v/>
      </c>
      <c r="B1445" t="n">
        <v>20016479</v>
      </c>
      <c r="C1445" t="inlineStr">
        <is>
          <t>Não</t>
        </is>
      </c>
      <c r="D1445" t="inlineStr">
        <is>
          <t>RJ</t>
        </is>
      </c>
      <c r="E1445" t="inlineStr">
        <is>
          <t>SUDESTE RJ e ES</t>
        </is>
      </c>
      <c r="F1445" t="inlineStr">
        <is>
          <t>Cliente C - Misturador</t>
        </is>
      </c>
      <c r="G1445" t="inlineStr">
        <is>
          <t>Misturadores</t>
        </is>
      </c>
      <c r="H1445" s="10" t="n">
        <v>255</v>
      </c>
      <c r="I1445" s="10">
        <f>IFERROR(T1445*H1445,0)</f>
        <v/>
      </c>
      <c r="J1445" s="11" t="n">
        <v>46162</v>
      </c>
      <c r="K1445" s="11" t="n"/>
      <c r="L1445" t="inlineStr">
        <is>
          <t>Debitar do STA</t>
        </is>
      </c>
      <c r="M1445">
        <f>IF(L1445="","",IFERROR(VLOOKUP(L1445,mapGrupoStatus,2,0),"Outros"))</f>
        <v/>
      </c>
      <c r="N1445">
        <f>IF(O1445="","",IF(O1445&lt;=30,"0-30 dias",IF(O1445&lt;=60,"31-60 dias",IF(O1445&lt;=90,"61-90 dias","Mais de 90 dias"))))</f>
        <v/>
      </c>
      <c r="O1445">
        <f>IF(OR(M1445="Pendente",M1445="Em andamento"),IF(J1445="","",TODAY()-J1445),"")</f>
        <v/>
      </c>
      <c r="P1445" t="n">
        <v>11059</v>
      </c>
      <c r="Q1445" t="inlineStr">
        <is>
          <t>Frio Ltda (11059)</t>
        </is>
      </c>
      <c r="R1445" t="inlineStr">
        <is>
          <t>PC-0039</t>
        </is>
      </c>
      <c r="S1445" t="inlineStr">
        <is>
          <t>Bomba de recirculação modelo 03</t>
        </is>
      </c>
      <c r="T1445" t="n">
        <v>1</v>
      </c>
      <c r="U1445" t="inlineStr"/>
      <c r="V1445">
        <f>IF(J1445="","",MONTH(J1445))</f>
        <v/>
      </c>
      <c r="W1445">
        <f>IF(J1445="","",YEAR(J1445))</f>
        <v/>
      </c>
      <c r="X1445" t="inlineStr"/>
      <c r="Y1445">
        <f>IFERROR(INDEX(Rastreio!$H$2:$H$200,MATCH(X1445&amp;"|"&amp;U1445,Rastreio!$A$2:$A$200,0)),"")</f>
        <v/>
      </c>
    </row>
    <row r="1446">
      <c r="A1446">
        <f>IFERROR(INDEX(STAs!$G$2:$G$61,MATCH(P1446,STAs!$F$2:$F$61,0))&amp;"","")</f>
        <v/>
      </c>
      <c r="B1446" t="n">
        <v>20019717</v>
      </c>
      <c r="C1446" t="inlineStr">
        <is>
          <t>Não</t>
        </is>
      </c>
      <c r="D1446" t="inlineStr">
        <is>
          <t>TO</t>
        </is>
      </c>
      <c r="E1446" t="inlineStr">
        <is>
          <t>NORTE</t>
        </is>
      </c>
      <c r="F1446" t="inlineStr">
        <is>
          <t>Cliente A - Refrigerador</t>
        </is>
      </c>
      <c r="G1446" t="inlineStr">
        <is>
          <t>Refrigeradores</t>
        </is>
      </c>
      <c r="H1446" s="10" t="n">
        <v>190</v>
      </c>
      <c r="I1446" s="10">
        <f>IFERROR(T1446*H1446,0)</f>
        <v/>
      </c>
      <c r="J1446" s="11" t="n">
        <v>46162</v>
      </c>
      <c r="K1446" s="11" t="n"/>
      <c r="L1446" t="inlineStr">
        <is>
          <t>Em transporte</t>
        </is>
      </c>
      <c r="M1446">
        <f>IF(L1446="","",IFERROR(VLOOKUP(L1446,mapGrupoStatus,2,0),"Outros"))</f>
        <v/>
      </c>
      <c r="N1446">
        <f>IF(O1446="","",IF(O1446&lt;=30,"0-30 dias",IF(O1446&lt;=60,"31-60 dias",IF(O1446&lt;=90,"61-90 dias","Mais de 90 dias"))))</f>
        <v/>
      </c>
      <c r="O1446">
        <f>IF(OR(M1446="Pendente",M1446="Em andamento"),IF(J1446="","",TODAY()-J1446),"")</f>
        <v/>
      </c>
      <c r="P1446" t="n">
        <v>10939</v>
      </c>
      <c r="Q1446" t="inlineStr">
        <is>
          <t>Zero Grau Manutenção (10939)</t>
        </is>
      </c>
      <c r="R1446" t="inlineStr">
        <is>
          <t>PC-0014</t>
        </is>
      </c>
      <c r="S1446" t="inlineStr">
        <is>
          <t>Placa eletrônica modelo 04</t>
        </is>
      </c>
      <c r="T1446" t="n">
        <v>2</v>
      </c>
      <c r="U1446" t="n">
        <v>129</v>
      </c>
      <c r="V1446">
        <f>IF(J1446="","",MONTH(J1446))</f>
        <v/>
      </c>
      <c r="W1446">
        <f>IF(J1446="","",YEAR(J1446))</f>
        <v/>
      </c>
      <c r="X1446" t="inlineStr">
        <is>
          <t>EntregaJá</t>
        </is>
      </c>
      <c r="Y1446">
        <f>IFERROR(INDEX(Rastreio!$H$2:$H$200,MATCH(X1446&amp;"|"&amp;U1446,Rastreio!$A$2:$A$200,0)),"")</f>
        <v/>
      </c>
    </row>
    <row r="1447">
      <c r="A1447">
        <f>IFERROR(INDEX(STAs!$G$2:$G$61,MATCH(P1447,STAs!$F$2:$F$61,0))&amp;"","")</f>
        <v/>
      </c>
      <c r="B1447" t="n">
        <v>20033679</v>
      </c>
      <c r="C1447" t="inlineStr">
        <is>
          <t>Não</t>
        </is>
      </c>
      <c r="D1447" t="inlineStr">
        <is>
          <t>MG</t>
        </is>
      </c>
      <c r="E1447" t="inlineStr">
        <is>
          <t>SUDESTE MG</t>
        </is>
      </c>
      <c r="F1447" t="inlineStr">
        <is>
          <t>Cliente A - Refrigerador</t>
        </is>
      </c>
      <c r="G1447" t="inlineStr">
        <is>
          <t>Refrigeradores</t>
        </is>
      </c>
      <c r="H1447" s="10" t="n">
        <v>175</v>
      </c>
      <c r="I1447" s="10">
        <f>IFERROR(T1447*H1447,0)</f>
        <v/>
      </c>
      <c r="J1447" s="11" t="n">
        <v>46162</v>
      </c>
      <c r="K1447" s="11" t="n">
        <v>46220</v>
      </c>
      <c r="L1447" t="inlineStr">
        <is>
          <t>Ok. Devolvida</t>
        </is>
      </c>
      <c r="M1447">
        <f>IF(L1447="","",IFERROR(VLOOKUP(L1447,mapGrupoStatus,2,0),"Outros"))</f>
        <v/>
      </c>
      <c r="N1447">
        <f>IF(O1447="","",IF(O1447&lt;=30,"0-30 dias",IF(O1447&lt;=60,"31-60 dias",IF(O1447&lt;=90,"61-90 dias","Mais de 90 dias"))))</f>
        <v/>
      </c>
      <c r="O1447">
        <f>IF(OR(M1447="Pendente",M1447="Em andamento"),IF(J1447="","",TODAY()-J1447),"")</f>
        <v/>
      </c>
      <c r="P1447" t="n">
        <v>11619</v>
      </c>
      <c r="Q1447" t="inlineStr">
        <is>
          <t>Refrigeração Ltda (11619)</t>
        </is>
      </c>
      <c r="R1447" t="inlineStr">
        <is>
          <t>PC-0012</t>
        </is>
      </c>
      <c r="S1447" t="inlineStr">
        <is>
          <t>Placa eletrônica modelo 02</t>
        </is>
      </c>
      <c r="T1447" t="n">
        <v>1</v>
      </c>
      <c r="U1447" t="n">
        <v>147</v>
      </c>
      <c r="V1447">
        <f>IF(J1447="","",MONTH(J1447))</f>
        <v/>
      </c>
      <c r="W1447">
        <f>IF(J1447="","",YEAR(J1447))</f>
        <v/>
      </c>
      <c r="X1447" t="inlineStr">
        <is>
          <t>EntregaJá</t>
        </is>
      </c>
      <c r="Y1447">
        <f>IFERROR(INDEX(Rastreio!$H$2:$H$200,MATCH(X1447&amp;"|"&amp;U1447,Rastreio!$A$2:$A$200,0)),"")</f>
        <v/>
      </c>
    </row>
    <row r="1448">
      <c r="A1448">
        <f>IFERROR(INDEX(STAs!$G$2:$G$61,MATCH(P1448,STAs!$F$2:$F$61,0))&amp;"","")</f>
        <v/>
      </c>
      <c r="B1448" t="n">
        <v>20036760</v>
      </c>
      <c r="C1448" t="inlineStr">
        <is>
          <t>Não</t>
        </is>
      </c>
      <c r="D1448" t="inlineStr">
        <is>
          <t>MG</t>
        </is>
      </c>
      <c r="E1448" t="inlineStr">
        <is>
          <t>SUDESTE MG</t>
        </is>
      </c>
      <c r="F1448" t="inlineStr">
        <is>
          <t>Cliente B - Chopeira</t>
        </is>
      </c>
      <c r="G1448" t="inlineStr">
        <is>
          <t>Refrigeradores</t>
        </is>
      </c>
      <c r="H1448" s="10" t="n">
        <v>315</v>
      </c>
      <c r="I1448" s="10">
        <f>IFERROR(T1448*H1448,0)</f>
        <v/>
      </c>
      <c r="J1448" s="11" t="n">
        <v>46162</v>
      </c>
      <c r="K1448" s="11" t="n"/>
      <c r="L1448" t="inlineStr">
        <is>
          <t>NF Vencida</t>
        </is>
      </c>
      <c r="M1448">
        <f>IF(L1448="","",IFERROR(VLOOKUP(L1448,mapGrupoStatus,2,0),"Outros"))</f>
        <v/>
      </c>
      <c r="N1448">
        <f>IF(O1448="","",IF(O1448&lt;=30,"0-30 dias",IF(O1448&lt;=60,"31-60 dias",IF(O1448&lt;=90,"61-90 dias","Mais de 90 dias"))))</f>
        <v/>
      </c>
      <c r="O1448">
        <f>IF(OR(M1448="Pendente",M1448="Em andamento"),IF(J1448="","",TODAY()-J1448),"")</f>
        <v/>
      </c>
      <c r="P1448" t="n">
        <v>11494</v>
      </c>
      <c r="Q1448" t="inlineStr">
        <is>
          <t>Clima Técnica (11494)</t>
        </is>
      </c>
      <c r="R1448" t="inlineStr">
        <is>
          <t>PC-0002</t>
        </is>
      </c>
      <c r="S1448" t="inlineStr">
        <is>
          <t>Compressor modelo 02</t>
        </is>
      </c>
      <c r="T1448" t="n">
        <v>1</v>
      </c>
      <c r="U1448" t="inlineStr"/>
      <c r="V1448">
        <f>IF(J1448="","",MONTH(J1448))</f>
        <v/>
      </c>
      <c r="W1448">
        <f>IF(J1448="","",YEAR(J1448))</f>
        <v/>
      </c>
      <c r="X1448" t="inlineStr"/>
      <c r="Y1448">
        <f>IFERROR(INDEX(Rastreio!$H$2:$H$200,MATCH(X1448&amp;"|"&amp;U1448,Rastreio!$A$2:$A$200,0)),"")</f>
        <v/>
      </c>
    </row>
    <row r="1449">
      <c r="A1449">
        <f>IFERROR(INDEX(STAs!$G$2:$G$61,MATCH(P1449,STAs!$F$2:$F$61,0))&amp;"","")</f>
        <v/>
      </c>
      <c r="B1449" t="n">
        <v>20037262</v>
      </c>
      <c r="C1449" t="inlineStr">
        <is>
          <t>Não</t>
        </is>
      </c>
      <c r="D1449" t="inlineStr">
        <is>
          <t>ES</t>
        </is>
      </c>
      <c r="E1449" t="inlineStr">
        <is>
          <t>SUDESTE RJ e ES</t>
        </is>
      </c>
      <c r="F1449" t="inlineStr">
        <is>
          <t>Cliente B - Chopeira</t>
        </is>
      </c>
      <c r="G1449" t="inlineStr">
        <is>
          <t>Refrigeradores</t>
        </is>
      </c>
      <c r="H1449" s="10" t="n">
        <v>30</v>
      </c>
      <c r="I1449" s="10">
        <f>IFERROR(T1449*H1449,0)</f>
        <v/>
      </c>
      <c r="J1449" s="11" t="n">
        <v>46162</v>
      </c>
      <c r="K1449" s="11" t="n">
        <v>46167</v>
      </c>
      <c r="L1449" t="inlineStr">
        <is>
          <t>Ok. Devolvida</t>
        </is>
      </c>
      <c r="M1449">
        <f>IF(L1449="","",IFERROR(VLOOKUP(L1449,mapGrupoStatus,2,0),"Outros"))</f>
        <v/>
      </c>
      <c r="N1449">
        <f>IF(O1449="","",IF(O1449&lt;=30,"0-30 dias",IF(O1449&lt;=60,"31-60 dias",IF(O1449&lt;=90,"61-90 dias","Mais de 90 dias"))))</f>
        <v/>
      </c>
      <c r="O1449">
        <f>IF(OR(M1449="Pendente",M1449="Em andamento"),IF(J1449="","",TODAY()-J1449),"")</f>
        <v/>
      </c>
      <c r="P1449" t="n">
        <v>12555</v>
      </c>
      <c r="Q1449" t="inlineStr">
        <is>
          <t>Cool Service Serviços (12555)</t>
        </is>
      </c>
      <c r="R1449" t="inlineStr">
        <is>
          <t>PC-0017</t>
        </is>
      </c>
      <c r="S1449" t="inlineStr">
        <is>
          <t>Filtro secador modelo 03</t>
        </is>
      </c>
      <c r="T1449" t="n">
        <v>1</v>
      </c>
      <c r="U1449" t="n">
        <v>165</v>
      </c>
      <c r="V1449">
        <f>IF(J1449="","",MONTH(J1449))</f>
        <v/>
      </c>
      <c r="W1449">
        <f>IF(J1449="","",YEAR(J1449))</f>
        <v/>
      </c>
      <c r="X1449" t="inlineStr">
        <is>
          <t>TransNorte</t>
        </is>
      </c>
      <c r="Y1449">
        <f>IFERROR(INDEX(Rastreio!$H$2:$H$200,MATCH(X1449&amp;"|"&amp;U1449,Rastreio!$A$2:$A$200,0)),"")</f>
        <v/>
      </c>
    </row>
    <row r="1450">
      <c r="A1450">
        <f>IFERROR(INDEX(STAs!$G$2:$G$61,MATCH(P1450,STAs!$F$2:$F$61,0))&amp;"","")</f>
        <v/>
      </c>
      <c r="B1450" t="n">
        <v>20038529</v>
      </c>
      <c r="C1450" t="inlineStr">
        <is>
          <t>Não</t>
        </is>
      </c>
      <c r="D1450" t="inlineStr">
        <is>
          <t>MS</t>
        </is>
      </c>
      <c r="E1450" t="inlineStr">
        <is>
          <t>CENTRO OESTE</t>
        </is>
      </c>
      <c r="F1450" t="inlineStr">
        <is>
          <t>Cliente B - Chopeira</t>
        </is>
      </c>
      <c r="G1450" t="inlineStr">
        <is>
          <t>Misturadores</t>
        </is>
      </c>
      <c r="H1450" s="10" t="n">
        <v>265</v>
      </c>
      <c r="I1450" s="10">
        <f>IFERROR(T1450*H1450,0)</f>
        <v/>
      </c>
      <c r="J1450" s="11" t="n">
        <v>46162</v>
      </c>
      <c r="K1450" s="11" t="n"/>
      <c r="L1450" t="inlineStr">
        <is>
          <t>Em transporte</t>
        </is>
      </c>
      <c r="M1450">
        <f>IF(L1450="","",IFERROR(VLOOKUP(L1450,mapGrupoStatus,2,0),"Outros"))</f>
        <v/>
      </c>
      <c r="N1450">
        <f>IF(O1450="","",IF(O1450&lt;=30,"0-30 dias",IF(O1450&lt;=60,"31-60 dias",IF(O1450&lt;=90,"61-90 dias","Mais de 90 dias"))))</f>
        <v/>
      </c>
      <c r="O1450">
        <f>IF(OR(M1450="Pendente",M1450="Em andamento"),IF(J1450="","",TODAY()-J1450),"")</f>
        <v/>
      </c>
      <c r="P1450" t="n">
        <v>11726</v>
      </c>
      <c r="Q1450" t="inlineStr">
        <is>
          <t>Norte Frio Refrigeração (11726)</t>
        </is>
      </c>
      <c r="R1450" t="inlineStr">
        <is>
          <t>PC-0038</t>
        </is>
      </c>
      <c r="S1450" t="inlineStr">
        <is>
          <t>Bomba de recirculação modelo 02</t>
        </is>
      </c>
      <c r="T1450" t="n">
        <v>1</v>
      </c>
      <c r="U1450" t="n">
        <v>167</v>
      </c>
      <c r="V1450">
        <f>IF(J1450="","",MONTH(J1450))</f>
        <v/>
      </c>
      <c r="W1450">
        <f>IF(J1450="","",YEAR(J1450))</f>
        <v/>
      </c>
      <c r="X1450" t="inlineStr">
        <is>
          <t>TransNorte</t>
        </is>
      </c>
      <c r="Y1450">
        <f>IFERROR(INDEX(Rastreio!$H$2:$H$200,MATCH(X1450&amp;"|"&amp;U1450,Rastreio!$A$2:$A$200,0)),"")</f>
        <v/>
      </c>
    </row>
    <row r="1451">
      <c r="A1451">
        <f>IFERROR(INDEX(STAs!$G$2:$G$61,MATCH(P1451,STAs!$F$2:$F$61,0))&amp;"","")</f>
        <v/>
      </c>
      <c r="B1451" t="n">
        <v>20002681</v>
      </c>
      <c r="C1451" t="inlineStr">
        <is>
          <t>Não</t>
        </is>
      </c>
      <c r="D1451" t="inlineStr">
        <is>
          <t>PR</t>
        </is>
      </c>
      <c r="E1451" t="inlineStr">
        <is>
          <t>SUL</t>
        </is>
      </c>
      <c r="F1451" t="inlineStr">
        <is>
          <t>Cliente A - Refrigerador</t>
        </is>
      </c>
      <c r="G1451" t="inlineStr">
        <is>
          <t>Refrigeradores</t>
        </is>
      </c>
      <c r="H1451" s="10" t="n">
        <v>45</v>
      </c>
      <c r="I1451" s="10">
        <f>IFERROR(T1451*H1451,0)</f>
        <v/>
      </c>
      <c r="J1451" s="11" t="n">
        <v>46163</v>
      </c>
      <c r="K1451" s="11" t="n">
        <v>46195</v>
      </c>
      <c r="L1451" t="inlineStr">
        <is>
          <t>Ok. Devolvida</t>
        </is>
      </c>
      <c r="M1451">
        <f>IF(L1451="","",IFERROR(VLOOKUP(L1451,mapGrupoStatus,2,0),"Outros"))</f>
        <v/>
      </c>
      <c r="N1451">
        <f>IF(O1451="","",IF(O1451&lt;=30,"0-30 dias",IF(O1451&lt;=60,"31-60 dias",IF(O1451&lt;=90,"61-90 dias","Mais de 90 dias"))))</f>
        <v/>
      </c>
      <c r="O1451">
        <f>IF(OR(M1451="Pendente",M1451="Em andamento"),IF(J1451="","",TODAY()-J1451),"")</f>
        <v/>
      </c>
      <c r="P1451" t="n">
        <v>10504</v>
      </c>
      <c r="Q1451" t="inlineStr">
        <is>
          <t>Zero Grau Ltda (10504)</t>
        </is>
      </c>
      <c r="R1451" t="inlineStr">
        <is>
          <t>PC-0018</t>
        </is>
      </c>
      <c r="S1451" t="inlineStr">
        <is>
          <t>Gaxeta da porta modelo 01</t>
        </is>
      </c>
      <c r="T1451" t="n">
        <v>2</v>
      </c>
      <c r="U1451" t="n">
        <v>103</v>
      </c>
      <c r="V1451">
        <f>IF(J1451="","",MONTH(J1451))</f>
        <v/>
      </c>
      <c r="W1451">
        <f>IF(J1451="","",YEAR(J1451))</f>
        <v/>
      </c>
      <c r="X1451" t="inlineStr">
        <is>
          <t>LogExpress</t>
        </is>
      </c>
      <c r="Y1451">
        <f>IFERROR(INDEX(Rastreio!$H$2:$H$200,MATCH(X1451&amp;"|"&amp;U1451,Rastreio!$A$2:$A$200,0)),"")</f>
        <v/>
      </c>
    </row>
    <row r="1452">
      <c r="A1452">
        <f>IFERROR(INDEX(STAs!$G$2:$G$61,MATCH(P1452,STAs!$F$2:$F$61,0))&amp;"","")</f>
        <v/>
      </c>
      <c r="B1452" t="n">
        <v>20005336</v>
      </c>
      <c r="C1452" t="inlineStr">
        <is>
          <t>Não</t>
        </is>
      </c>
      <c r="D1452" t="inlineStr">
        <is>
          <t>RS</t>
        </is>
      </c>
      <c r="E1452" t="inlineStr">
        <is>
          <t>SUL</t>
        </is>
      </c>
      <c r="F1452" t="inlineStr">
        <is>
          <t>Cliente A - Refrigerador</t>
        </is>
      </c>
      <c r="G1452" t="inlineStr">
        <is>
          <t>Chopeiras</t>
        </is>
      </c>
      <c r="H1452" s="10" t="n">
        <v>85</v>
      </c>
      <c r="I1452" s="10">
        <f>IFERROR(T1452*H1452,0)</f>
        <v/>
      </c>
      <c r="J1452" s="11" t="n">
        <v>46163</v>
      </c>
      <c r="K1452" s="11" t="n">
        <v>46169</v>
      </c>
      <c r="L1452" t="inlineStr">
        <is>
          <t>Ok. Devolvida</t>
        </is>
      </c>
      <c r="M1452">
        <f>IF(L1452="","",IFERROR(VLOOKUP(L1452,mapGrupoStatus,2,0),"Outros"))</f>
        <v/>
      </c>
      <c r="N1452">
        <f>IF(O1452="","",IF(O1452&lt;=30,"0-30 dias",IF(O1452&lt;=60,"31-60 dias",IF(O1452&lt;=90,"61-90 dias","Mais de 90 dias"))))</f>
        <v/>
      </c>
      <c r="O1452">
        <f>IF(OR(M1452="Pendente",M1452="Em andamento"),IF(J1452="","",TODAY()-J1452),"")</f>
        <v/>
      </c>
      <c r="P1452" t="n">
        <v>11459</v>
      </c>
      <c r="Q1452" t="inlineStr">
        <is>
          <t>Frio ME (11459)</t>
        </is>
      </c>
      <c r="R1452" t="inlineStr">
        <is>
          <t>PC-0036</t>
        </is>
      </c>
      <c r="S1452" t="inlineStr">
        <is>
          <t>Válvula extratora modelo 02</t>
        </is>
      </c>
      <c r="T1452" t="n">
        <v>1</v>
      </c>
      <c r="U1452" t="n">
        <v>107</v>
      </c>
      <c r="V1452">
        <f>IF(J1452="","",MONTH(J1452))</f>
        <v/>
      </c>
      <c r="W1452">
        <f>IF(J1452="","",YEAR(J1452))</f>
        <v/>
      </c>
      <c r="X1452" t="inlineStr">
        <is>
          <t>LogExpress</t>
        </is>
      </c>
      <c r="Y1452">
        <f>IFERROR(INDEX(Rastreio!$H$2:$H$200,MATCH(X1452&amp;"|"&amp;U1452,Rastreio!$A$2:$A$200,0)),"")</f>
        <v/>
      </c>
    </row>
    <row r="1453">
      <c r="A1453">
        <f>IFERROR(INDEX(STAs!$G$2:$G$61,MATCH(P1453,STAs!$F$2:$F$61,0))&amp;"","")</f>
        <v/>
      </c>
      <c r="B1453" t="n">
        <v>20024538</v>
      </c>
      <c r="C1453" t="inlineStr">
        <is>
          <t>Não</t>
        </is>
      </c>
      <c r="D1453" t="inlineStr">
        <is>
          <t>RR</t>
        </is>
      </c>
      <c r="E1453" t="inlineStr">
        <is>
          <t>NORTE</t>
        </is>
      </c>
      <c r="F1453" t="inlineStr">
        <is>
          <t>Cliente A - Refrigerador</t>
        </is>
      </c>
      <c r="G1453" t="inlineStr">
        <is>
          <t>Misturadores</t>
        </is>
      </c>
      <c r="H1453" s="10" t="n">
        <v>50</v>
      </c>
      <c r="I1453" s="10">
        <f>IFERROR(T1453*H1453,0)</f>
        <v/>
      </c>
      <c r="J1453" s="11" t="n">
        <v>46163</v>
      </c>
      <c r="K1453" s="11" t="n">
        <v>46201</v>
      </c>
      <c r="L1453" t="inlineStr">
        <is>
          <t>Ok. Devolvida</t>
        </is>
      </c>
      <c r="M1453">
        <f>IF(L1453="","",IFERROR(VLOOKUP(L1453,mapGrupoStatus,2,0),"Outros"))</f>
        <v/>
      </c>
      <c r="N1453">
        <f>IF(O1453="","",IF(O1453&lt;=30,"0-30 dias",IF(O1453&lt;=60,"31-60 dias",IF(O1453&lt;=90,"61-90 dias","Mais de 90 dias"))))</f>
        <v/>
      </c>
      <c r="O1453">
        <f>IF(OR(M1453="Pendente",M1453="Em andamento"),IF(J1453="","",TODAY()-J1453),"")</f>
        <v/>
      </c>
      <c r="P1453" t="n">
        <v>11818</v>
      </c>
      <c r="Q1453" t="inlineStr">
        <is>
          <t>Termotec Ltda (11818)</t>
        </is>
      </c>
      <c r="R1453" t="inlineStr">
        <is>
          <t>PC-0045</t>
        </is>
      </c>
      <c r="S1453" t="inlineStr">
        <is>
          <t>Sensor de nível modelo 01</t>
        </is>
      </c>
      <c r="T1453" t="n">
        <v>1</v>
      </c>
      <c r="U1453" t="n">
        <v>140</v>
      </c>
      <c r="V1453">
        <f>IF(J1453="","",MONTH(J1453))</f>
        <v/>
      </c>
      <c r="W1453">
        <f>IF(J1453="","",YEAR(J1453))</f>
        <v/>
      </c>
      <c r="X1453" t="inlineStr">
        <is>
          <t>ViaCargo</t>
        </is>
      </c>
      <c r="Y1453">
        <f>IFERROR(INDEX(Rastreio!$H$2:$H$200,MATCH(X1453&amp;"|"&amp;U1453,Rastreio!$A$2:$A$200,0)),"")</f>
        <v/>
      </c>
    </row>
    <row r="1454">
      <c r="A1454">
        <f>IFERROR(INDEX(STAs!$G$2:$G$61,MATCH(P1454,STAs!$F$2:$F$61,0))&amp;"","")</f>
        <v/>
      </c>
      <c r="B1454" t="n">
        <v>20027587</v>
      </c>
      <c r="C1454" t="inlineStr">
        <is>
          <t>Não</t>
        </is>
      </c>
      <c r="D1454" t="inlineStr">
        <is>
          <t>RJ</t>
        </is>
      </c>
      <c r="E1454" t="inlineStr">
        <is>
          <t>SUDESTE RJ e ES</t>
        </is>
      </c>
      <c r="F1454" t="inlineStr">
        <is>
          <t>Cliente B - Chopeira</t>
        </is>
      </c>
      <c r="G1454" t="inlineStr">
        <is>
          <t>Refrigeradores</t>
        </is>
      </c>
      <c r="H1454" s="10" t="n">
        <v>35</v>
      </c>
      <c r="I1454" s="10">
        <f>IFERROR(T1454*H1454,0)</f>
        <v/>
      </c>
      <c r="J1454" s="11" t="n">
        <v>46163</v>
      </c>
      <c r="K1454" s="11" t="n">
        <v>46207</v>
      </c>
      <c r="L1454" t="inlineStr">
        <is>
          <t>Ok. Devolvida</t>
        </is>
      </c>
      <c r="M1454">
        <f>IF(L1454="","",IFERROR(VLOOKUP(L1454,mapGrupoStatus,2,0),"Outros"))</f>
        <v/>
      </c>
      <c r="N1454">
        <f>IF(O1454="","",IF(O1454&lt;=30,"0-30 dias",IF(O1454&lt;=60,"31-60 dias",IF(O1454&lt;=90,"61-90 dias","Mais de 90 dias"))))</f>
        <v/>
      </c>
      <c r="O1454">
        <f>IF(OR(M1454="Pendente",M1454="Em andamento"),IF(J1454="","",TODAY()-J1454),"")</f>
        <v/>
      </c>
      <c r="P1454" t="n">
        <v>12336</v>
      </c>
      <c r="Q1454" t="inlineStr">
        <is>
          <t>Termotec ME (12336)</t>
        </is>
      </c>
      <c r="R1454" t="inlineStr">
        <is>
          <t>PC-0016</t>
        </is>
      </c>
      <c r="S1454" t="inlineStr">
        <is>
          <t>Filtro secador modelo 02</t>
        </is>
      </c>
      <c r="T1454" t="n">
        <v>1</v>
      </c>
      <c r="U1454" t="n">
        <v>147</v>
      </c>
      <c r="V1454">
        <f>IF(J1454="","",MONTH(J1454))</f>
        <v/>
      </c>
      <c r="W1454">
        <f>IF(J1454="","",YEAR(J1454))</f>
        <v/>
      </c>
      <c r="X1454" t="inlineStr">
        <is>
          <t>CargoMax</t>
        </is>
      </c>
      <c r="Y1454">
        <f>IFERROR(INDEX(Rastreio!$H$2:$H$200,MATCH(X1454&amp;"|"&amp;U1454,Rastreio!$A$2:$A$200,0)),"")</f>
        <v/>
      </c>
    </row>
    <row r="1455">
      <c r="A1455">
        <f>IFERROR(INDEX(STAs!$G$2:$G$61,MATCH(P1455,STAs!$F$2:$F$61,0))&amp;"","")</f>
        <v/>
      </c>
      <c r="B1455" t="n">
        <v>20029933</v>
      </c>
      <c r="C1455" t="inlineStr">
        <is>
          <t>Não</t>
        </is>
      </c>
      <c r="D1455" t="inlineStr">
        <is>
          <t>RJ</t>
        </is>
      </c>
      <c r="E1455" t="inlineStr">
        <is>
          <t>SUDESTE RJ e ES</t>
        </is>
      </c>
      <c r="F1455" t="inlineStr">
        <is>
          <t>Cliente A - Refrigerador</t>
        </is>
      </c>
      <c r="G1455" t="inlineStr">
        <is>
          <t>Refrigeradores</t>
        </is>
      </c>
      <c r="H1455" s="10" t="n">
        <v>155</v>
      </c>
      <c r="I1455" s="10">
        <f>IFERROR(T1455*H1455,0)</f>
        <v/>
      </c>
      <c r="J1455" s="11" t="n">
        <v>46163</v>
      </c>
      <c r="K1455" s="11" t="n"/>
      <c r="L1455" t="inlineStr">
        <is>
          <t>Aguardando Transporte</t>
        </is>
      </c>
      <c r="M1455">
        <f>IF(L1455="","",IFERROR(VLOOKUP(L1455,mapGrupoStatus,2,0),"Outros"))</f>
        <v/>
      </c>
      <c r="N1455">
        <f>IF(O1455="","",IF(O1455&lt;=30,"0-30 dias",IF(O1455&lt;=60,"31-60 dias",IF(O1455&lt;=90,"61-90 dias","Mais de 90 dias"))))</f>
        <v/>
      </c>
      <c r="O1455">
        <f>IF(OR(M1455="Pendente",M1455="Em andamento"),IF(J1455="","",TODAY()-J1455),"")</f>
        <v/>
      </c>
      <c r="P1455" t="n">
        <v>12336</v>
      </c>
      <c r="Q1455" t="inlineStr">
        <is>
          <t>Termotec ME (12336)</t>
        </is>
      </c>
      <c r="R1455" t="inlineStr">
        <is>
          <t>PC-0021</t>
        </is>
      </c>
      <c r="S1455" t="inlineStr">
        <is>
          <t>Controlador digital modelo 01</t>
        </is>
      </c>
      <c r="T1455" t="n">
        <v>1</v>
      </c>
      <c r="U1455" t="n">
        <v>147</v>
      </c>
      <c r="V1455">
        <f>IF(J1455="","",MONTH(J1455))</f>
        <v/>
      </c>
      <c r="W1455">
        <f>IF(J1455="","",YEAR(J1455))</f>
        <v/>
      </c>
      <c r="X1455" t="inlineStr">
        <is>
          <t>ViaCargo</t>
        </is>
      </c>
      <c r="Y1455">
        <f>IFERROR(INDEX(Rastreio!$H$2:$H$200,MATCH(X1455&amp;"|"&amp;U1455,Rastreio!$A$2:$A$200,0)),"")</f>
        <v/>
      </c>
    </row>
    <row r="1456">
      <c r="A1456">
        <f>IFERROR(INDEX(STAs!$G$2:$G$61,MATCH(P1456,STAs!$F$2:$F$61,0))&amp;"","")</f>
        <v/>
      </c>
      <c r="B1456" t="n">
        <v>20031443</v>
      </c>
      <c r="C1456" t="inlineStr">
        <is>
          <t>Sim</t>
        </is>
      </c>
      <c r="D1456" t="inlineStr">
        <is>
          <t>PR</t>
        </is>
      </c>
      <c r="E1456" t="inlineStr">
        <is>
          <t>SUL</t>
        </is>
      </c>
      <c r="F1456" t="inlineStr">
        <is>
          <t>Cliente A - Refrigerador</t>
        </is>
      </c>
      <c r="G1456" t="inlineStr">
        <is>
          <t>Refrigeradores</t>
        </is>
      </c>
      <c r="H1456" s="10" t="n">
        <v>55</v>
      </c>
      <c r="I1456" s="10">
        <f>IFERROR(T1456*H1456,0)</f>
        <v/>
      </c>
      <c r="J1456" s="11" t="n">
        <v>46163</v>
      </c>
      <c r="K1456" s="11" t="n"/>
      <c r="L1456" t="inlineStr">
        <is>
          <t>NPD</t>
        </is>
      </c>
      <c r="M1456">
        <f>IF(L1456="","",IFERROR(VLOOKUP(L1456,mapGrupoStatus,2,0),"Outros"))</f>
        <v/>
      </c>
      <c r="N1456">
        <f>IF(O1456="","",IF(O1456&lt;=30,"0-30 dias",IF(O1456&lt;=60,"31-60 dias",IF(O1456&lt;=90,"61-90 dias","Mais de 90 dias"))))</f>
        <v/>
      </c>
      <c r="O1456">
        <f>IF(OR(M1456="Pendente",M1456="Em andamento"),IF(J1456="","",TODAY()-J1456),"")</f>
        <v/>
      </c>
      <c r="P1456" t="n">
        <v>12724</v>
      </c>
      <c r="Q1456" t="inlineStr">
        <is>
          <t>Cool Service &amp; Cia (12724)</t>
        </is>
      </c>
      <c r="R1456" t="inlineStr">
        <is>
          <t>PC-0007</t>
        </is>
      </c>
      <c r="S1456" t="inlineStr">
        <is>
          <t>Ventilador modelo 01</t>
        </is>
      </c>
      <c r="T1456" t="n">
        <v>1</v>
      </c>
      <c r="U1456" t="inlineStr"/>
      <c r="V1456">
        <f>IF(J1456="","",MONTH(J1456))</f>
        <v/>
      </c>
      <c r="W1456">
        <f>IF(J1456="","",YEAR(J1456))</f>
        <v/>
      </c>
      <c r="X1456" t="inlineStr"/>
      <c r="Y1456">
        <f>IFERROR(INDEX(Rastreio!$H$2:$H$200,MATCH(X1456&amp;"|"&amp;U1456,Rastreio!$A$2:$A$200,0)),"")</f>
        <v/>
      </c>
    </row>
    <row r="1457">
      <c r="A1457">
        <f>IFERROR(INDEX(STAs!$G$2:$G$61,MATCH(P1457,STAs!$F$2:$F$61,0))&amp;"","")</f>
        <v/>
      </c>
      <c r="B1457" t="n">
        <v>20015140</v>
      </c>
      <c r="C1457" t="inlineStr">
        <is>
          <t>Não</t>
        </is>
      </c>
      <c r="D1457" t="inlineStr">
        <is>
          <t>PE</t>
        </is>
      </c>
      <c r="E1457" t="inlineStr">
        <is>
          <t>NORDESTE</t>
        </is>
      </c>
      <c r="F1457" t="inlineStr">
        <is>
          <t>Cliente B - Chopeira</t>
        </is>
      </c>
      <c r="G1457" t="inlineStr">
        <is>
          <t>Misturadores</t>
        </is>
      </c>
      <c r="H1457" s="10" t="n">
        <v>255</v>
      </c>
      <c r="I1457" s="10">
        <f>IFERROR(T1457*H1457,0)</f>
        <v/>
      </c>
      <c r="J1457" s="11" t="n">
        <v>46164</v>
      </c>
      <c r="K1457" s="11" t="n"/>
      <c r="L1457" t="inlineStr">
        <is>
          <t>Aguardando Transporte</t>
        </is>
      </c>
      <c r="M1457">
        <f>IF(L1457="","",IFERROR(VLOOKUP(L1457,mapGrupoStatus,2,0),"Outros"))</f>
        <v/>
      </c>
      <c r="N1457">
        <f>IF(O1457="","",IF(O1457&lt;=30,"0-30 dias",IF(O1457&lt;=60,"31-60 dias",IF(O1457&lt;=90,"61-90 dias","Mais de 90 dias"))))</f>
        <v/>
      </c>
      <c r="O1457">
        <f>IF(OR(M1457="Pendente",M1457="Em andamento"),IF(J1457="","",TODAY()-J1457),"")</f>
        <v/>
      </c>
      <c r="P1457" t="n">
        <v>11352</v>
      </c>
      <c r="Q1457" t="inlineStr">
        <is>
          <t>Frio Express (11352)</t>
        </is>
      </c>
      <c r="R1457" t="inlineStr">
        <is>
          <t>PC-0037</t>
        </is>
      </c>
      <c r="S1457" t="inlineStr">
        <is>
          <t>Bomba de recirculação modelo 01</t>
        </is>
      </c>
      <c r="T1457" t="n">
        <v>2</v>
      </c>
      <c r="U1457" t="n">
        <v>121</v>
      </c>
      <c r="V1457">
        <f>IF(J1457="","",MONTH(J1457))</f>
        <v/>
      </c>
      <c r="W1457">
        <f>IF(J1457="","",YEAR(J1457))</f>
        <v/>
      </c>
      <c r="X1457" t="inlineStr">
        <is>
          <t>RotaSul</t>
        </is>
      </c>
      <c r="Y1457">
        <f>IFERROR(INDEX(Rastreio!$H$2:$H$200,MATCH(X1457&amp;"|"&amp;U1457,Rastreio!$A$2:$A$200,0)),"")</f>
        <v/>
      </c>
    </row>
    <row r="1458">
      <c r="A1458">
        <f>IFERROR(INDEX(STAs!$G$2:$G$61,MATCH(P1458,STAs!$F$2:$F$61,0))&amp;"","")</f>
        <v/>
      </c>
      <c r="B1458" t="n">
        <v>20023904</v>
      </c>
      <c r="C1458" t="inlineStr">
        <is>
          <t>Não</t>
        </is>
      </c>
      <c r="D1458" t="inlineStr">
        <is>
          <t>SP</t>
        </is>
      </c>
      <c r="E1458" t="inlineStr">
        <is>
          <t>SUDESTE SP</t>
        </is>
      </c>
      <c r="F1458" t="inlineStr">
        <is>
          <t>Cliente C - Misturador</t>
        </is>
      </c>
      <c r="G1458" t="inlineStr">
        <is>
          <t>Chopeiras</t>
        </is>
      </c>
      <c r="H1458" s="10" t="n">
        <v>205</v>
      </c>
      <c r="I1458" s="10">
        <f>IFERROR(T1458*H1458,0)</f>
        <v/>
      </c>
      <c r="J1458" s="11" t="n">
        <v>46164</v>
      </c>
      <c r="K1458" s="11" t="n"/>
      <c r="L1458" t="inlineStr">
        <is>
          <t>Em andamento</t>
        </is>
      </c>
      <c r="M1458">
        <f>IF(L1458="","",IFERROR(VLOOKUP(L1458,mapGrupoStatus,2,0),"Outros"))</f>
        <v/>
      </c>
      <c r="N1458">
        <f>IF(O1458="","",IF(O1458&lt;=30,"0-30 dias",IF(O1458&lt;=60,"31-60 dias",IF(O1458&lt;=90,"61-90 dias","Mais de 90 dias"))))</f>
        <v/>
      </c>
      <c r="O1458">
        <f>IF(OR(M1458="Pendente",M1458="Em andamento"),IF(J1458="","",TODAY()-J1458),"")</f>
        <v/>
      </c>
      <c r="P1458" t="n">
        <v>10413</v>
      </c>
      <c r="Q1458" t="inlineStr">
        <is>
          <t>Polar Manutenção (10413)</t>
        </is>
      </c>
      <c r="R1458" t="inlineStr">
        <is>
          <t>PC-0031</t>
        </is>
      </c>
      <c r="S1458" t="inlineStr">
        <is>
          <t>Serpentina modelo 03</t>
        </is>
      </c>
      <c r="T1458" t="n">
        <v>1</v>
      </c>
      <c r="U1458" t="n">
        <v>136</v>
      </c>
      <c r="V1458">
        <f>IF(J1458="","",MONTH(J1458))</f>
        <v/>
      </c>
      <c r="W1458">
        <f>IF(J1458="","",YEAR(J1458))</f>
        <v/>
      </c>
      <c r="X1458" t="inlineStr">
        <is>
          <t>EntregaJá</t>
        </is>
      </c>
      <c r="Y1458">
        <f>IFERROR(INDEX(Rastreio!$H$2:$H$200,MATCH(X1458&amp;"|"&amp;U1458,Rastreio!$A$2:$A$200,0)),"")</f>
        <v/>
      </c>
    </row>
    <row r="1459">
      <c r="A1459">
        <f>IFERROR(INDEX(STAs!$G$2:$G$61,MATCH(P1459,STAs!$F$2:$F$61,0))&amp;"","")</f>
        <v/>
      </c>
      <c r="B1459" t="n">
        <v>20005848</v>
      </c>
      <c r="C1459" t="inlineStr">
        <is>
          <t>Não</t>
        </is>
      </c>
      <c r="D1459" t="inlineStr">
        <is>
          <t>SP</t>
        </is>
      </c>
      <c r="E1459" t="inlineStr">
        <is>
          <t>SUDESTE SP</t>
        </is>
      </c>
      <c r="F1459" t="inlineStr">
        <is>
          <t>Cliente B - Chopeira</t>
        </is>
      </c>
      <c r="G1459" t="inlineStr">
        <is>
          <t>Refrigeradores</t>
        </is>
      </c>
      <c r="H1459" s="10" t="n">
        <v>190</v>
      </c>
      <c r="I1459" s="10">
        <f>IFERROR(T1459*H1459,0)</f>
        <v/>
      </c>
      <c r="J1459" s="11" t="n">
        <v>46165</v>
      </c>
      <c r="K1459" s="11" t="n">
        <v>46180</v>
      </c>
      <c r="L1459" t="inlineStr">
        <is>
          <t>Ok. Devolvida</t>
        </is>
      </c>
      <c r="M1459">
        <f>IF(L1459="","",IFERROR(VLOOKUP(L1459,mapGrupoStatus,2,0),"Outros"))</f>
        <v/>
      </c>
      <c r="N1459">
        <f>IF(O1459="","",IF(O1459&lt;=30,"0-30 dias",IF(O1459&lt;=60,"31-60 dias",IF(O1459&lt;=90,"61-90 dias","Mais de 90 dias"))))</f>
        <v/>
      </c>
      <c r="O1459">
        <f>IF(OR(M1459="Pendente",M1459="Em andamento"),IF(J1459="","",TODAY()-J1459),"")</f>
        <v/>
      </c>
      <c r="P1459" t="n">
        <v>12052</v>
      </c>
      <c r="Q1459" t="inlineStr">
        <is>
          <t>Brisa Refrigeração (12052)</t>
        </is>
      </c>
      <c r="R1459" t="inlineStr">
        <is>
          <t>PC-0011</t>
        </is>
      </c>
      <c r="S1459" t="inlineStr">
        <is>
          <t>Placa eletrônica modelo 01</t>
        </is>
      </c>
      <c r="T1459" t="n">
        <v>1</v>
      </c>
      <c r="U1459" t="n">
        <v>114</v>
      </c>
      <c r="V1459">
        <f>IF(J1459="","",MONTH(J1459))</f>
        <v/>
      </c>
      <c r="W1459">
        <f>IF(J1459="","",YEAR(J1459))</f>
        <v/>
      </c>
      <c r="X1459" t="inlineStr">
        <is>
          <t>ViaCargo</t>
        </is>
      </c>
      <c r="Y1459">
        <f>IFERROR(INDEX(Rastreio!$H$2:$H$200,MATCH(X1459&amp;"|"&amp;U1459,Rastreio!$A$2:$A$200,0)),"")</f>
        <v/>
      </c>
    </row>
    <row r="1460">
      <c r="A1460">
        <f>IFERROR(INDEX(STAs!$G$2:$G$61,MATCH(P1460,STAs!$F$2:$F$61,0))&amp;"","")</f>
        <v/>
      </c>
      <c r="B1460" t="n">
        <v>20010956</v>
      </c>
      <c r="C1460" t="inlineStr">
        <is>
          <t>Não</t>
        </is>
      </c>
      <c r="D1460" t="inlineStr">
        <is>
          <t>SP</t>
        </is>
      </c>
      <c r="E1460" t="inlineStr">
        <is>
          <t>SUDESTE SP</t>
        </is>
      </c>
      <c r="F1460" t="inlineStr">
        <is>
          <t>Cliente A - Refrigerador</t>
        </is>
      </c>
      <c r="G1460" t="inlineStr">
        <is>
          <t>Misturadores</t>
        </is>
      </c>
      <c r="H1460" s="10" t="n">
        <v>255</v>
      </c>
      <c r="I1460" s="10">
        <f>IFERROR(T1460*H1460,0)</f>
        <v/>
      </c>
      <c r="J1460" s="11" t="n">
        <v>46165</v>
      </c>
      <c r="K1460" s="11" t="n"/>
      <c r="L1460" t="inlineStr">
        <is>
          <t>Em andamento</t>
        </is>
      </c>
      <c r="M1460">
        <f>IF(L1460="","",IFERROR(VLOOKUP(L1460,mapGrupoStatus,2,0),"Outros"))</f>
        <v/>
      </c>
      <c r="N1460">
        <f>IF(O1460="","",IF(O1460&lt;=30,"0-30 dias",IF(O1460&lt;=60,"31-60 dias",IF(O1460&lt;=90,"61-90 dias","Mais de 90 dias"))))</f>
        <v/>
      </c>
      <c r="O1460">
        <f>IF(OR(M1460="Pendente",M1460="Em andamento"),IF(J1460="","",TODAY()-J1460),"")</f>
        <v/>
      </c>
      <c r="P1460" t="n">
        <v>10111</v>
      </c>
      <c r="Q1460" t="inlineStr">
        <is>
          <t>Refrigel Manutenção (10111)</t>
        </is>
      </c>
      <c r="R1460" t="inlineStr">
        <is>
          <t>PC-0039</t>
        </is>
      </c>
      <c r="S1460" t="inlineStr">
        <is>
          <t>Bomba de recirculação modelo 03</t>
        </is>
      </c>
      <c r="T1460" t="n">
        <v>1</v>
      </c>
      <c r="U1460" t="n">
        <v>122</v>
      </c>
      <c r="V1460">
        <f>IF(J1460="","",MONTH(J1460))</f>
        <v/>
      </c>
      <c r="W1460">
        <f>IF(J1460="","",YEAR(J1460))</f>
        <v/>
      </c>
      <c r="X1460" t="inlineStr">
        <is>
          <t>CargoMax</t>
        </is>
      </c>
      <c r="Y1460">
        <f>IFERROR(INDEX(Rastreio!$H$2:$H$200,MATCH(X1460&amp;"|"&amp;U1460,Rastreio!$A$2:$A$200,0)),"")</f>
        <v/>
      </c>
    </row>
    <row r="1461">
      <c r="A1461">
        <f>IFERROR(INDEX(STAs!$G$2:$G$61,MATCH(P1461,STAs!$F$2:$F$61,0))&amp;"","")</f>
        <v/>
      </c>
      <c r="B1461" t="n">
        <v>20020876</v>
      </c>
      <c r="C1461" t="inlineStr">
        <is>
          <t>Não</t>
        </is>
      </c>
      <c r="D1461" t="inlineStr">
        <is>
          <t>SP</t>
        </is>
      </c>
      <c r="E1461" t="inlineStr">
        <is>
          <t>SUDESTE SP</t>
        </is>
      </c>
      <c r="F1461" t="inlineStr">
        <is>
          <t>Cliente C - Misturador</t>
        </is>
      </c>
      <c r="G1461" t="inlineStr">
        <is>
          <t>Refrigeradores</t>
        </is>
      </c>
      <c r="H1461" s="10" t="n">
        <v>315</v>
      </c>
      <c r="I1461" s="10">
        <f>IFERROR(T1461*H1461,0)</f>
        <v/>
      </c>
      <c r="J1461" s="11" t="n">
        <v>46165</v>
      </c>
      <c r="K1461" s="11" t="n">
        <v>46182</v>
      </c>
      <c r="L1461" t="inlineStr">
        <is>
          <t>Ok. Devolvida</t>
        </is>
      </c>
      <c r="M1461">
        <f>IF(L1461="","",IFERROR(VLOOKUP(L1461,mapGrupoStatus,2,0),"Outros"))</f>
        <v/>
      </c>
      <c r="N1461">
        <f>IF(O1461="","",IF(O1461&lt;=30,"0-30 dias",IF(O1461&lt;=60,"31-60 dias",IF(O1461&lt;=90,"61-90 dias","Mais de 90 dias"))))</f>
        <v/>
      </c>
      <c r="O1461">
        <f>IF(OR(M1461="Pendente",M1461="Em andamento"),IF(J1461="","",TODAY()-J1461),"")</f>
        <v/>
      </c>
      <c r="P1461" t="n">
        <v>12052</v>
      </c>
      <c r="Q1461" t="inlineStr">
        <is>
          <t>Brisa Refrigeração (12052)</t>
        </is>
      </c>
      <c r="R1461" t="inlineStr">
        <is>
          <t>PC-0002</t>
        </is>
      </c>
      <c r="S1461" t="inlineStr">
        <is>
          <t>Compressor modelo 02</t>
        </is>
      </c>
      <c r="T1461" t="n">
        <v>1</v>
      </c>
      <c r="U1461" t="n">
        <v>137</v>
      </c>
      <c r="V1461">
        <f>IF(J1461="","",MONTH(J1461))</f>
        <v/>
      </c>
      <c r="W1461">
        <f>IF(J1461="","",YEAR(J1461))</f>
        <v/>
      </c>
      <c r="X1461" t="inlineStr">
        <is>
          <t>LogExpress</t>
        </is>
      </c>
      <c r="Y1461">
        <f>IFERROR(INDEX(Rastreio!$H$2:$H$200,MATCH(X1461&amp;"|"&amp;U1461,Rastreio!$A$2:$A$200,0)),"")</f>
        <v/>
      </c>
    </row>
    <row r="1462">
      <c r="A1462">
        <f>IFERROR(INDEX(STAs!$G$2:$G$61,MATCH(P1462,STAs!$F$2:$F$61,0))&amp;"","")</f>
        <v/>
      </c>
      <c r="B1462" t="n">
        <v>20032180</v>
      </c>
      <c r="C1462" t="inlineStr">
        <is>
          <t>Não</t>
        </is>
      </c>
      <c r="D1462" t="inlineStr">
        <is>
          <t>AM</t>
        </is>
      </c>
      <c r="E1462" t="inlineStr">
        <is>
          <t>NORTE</t>
        </is>
      </c>
      <c r="F1462" t="inlineStr">
        <is>
          <t>Cliente C - Misturador</t>
        </is>
      </c>
      <c r="G1462" t="inlineStr">
        <is>
          <t>Refrigeradores</t>
        </is>
      </c>
      <c r="H1462" s="10" t="n">
        <v>35</v>
      </c>
      <c r="I1462" s="10">
        <f>IFERROR(T1462*H1462,0)</f>
        <v/>
      </c>
      <c r="J1462" s="11" t="n">
        <v>46165</v>
      </c>
      <c r="K1462" s="11" t="n">
        <v>46180</v>
      </c>
      <c r="L1462" t="inlineStr">
        <is>
          <t>Ok. Devolvida</t>
        </is>
      </c>
      <c r="M1462">
        <f>IF(L1462="","",IFERROR(VLOOKUP(L1462,mapGrupoStatus,2,0),"Outros"))</f>
        <v/>
      </c>
      <c r="N1462">
        <f>IF(O1462="","",IF(O1462&lt;=30,"0-30 dias",IF(O1462&lt;=60,"31-60 dias",IF(O1462&lt;=90,"61-90 dias","Mais de 90 dias"))))</f>
        <v/>
      </c>
      <c r="O1462">
        <f>IF(OR(M1462="Pendente",M1462="Em andamento"),IF(J1462="","",TODAY()-J1462),"")</f>
        <v/>
      </c>
      <c r="P1462" t="n">
        <v>10842</v>
      </c>
      <c r="Q1462" t="inlineStr">
        <is>
          <t>Frigo &amp; Cia (10842)</t>
        </is>
      </c>
      <c r="R1462" t="inlineStr">
        <is>
          <t>PC-0024</t>
        </is>
      </c>
      <c r="S1462" t="inlineStr">
        <is>
          <t>Relé de partida modelo 02</t>
        </is>
      </c>
      <c r="T1462" t="n">
        <v>2</v>
      </c>
      <c r="U1462" t="n">
        <v>151</v>
      </c>
      <c r="V1462">
        <f>IF(J1462="","",MONTH(J1462))</f>
        <v/>
      </c>
      <c r="W1462">
        <f>IF(J1462="","",YEAR(J1462))</f>
        <v/>
      </c>
      <c r="X1462" t="inlineStr">
        <is>
          <t>ViaCargo</t>
        </is>
      </c>
      <c r="Y1462">
        <f>IFERROR(INDEX(Rastreio!$H$2:$H$200,MATCH(X1462&amp;"|"&amp;U1462,Rastreio!$A$2:$A$200,0)),"")</f>
        <v/>
      </c>
    </row>
    <row r="1463">
      <c r="A1463">
        <f>IFERROR(INDEX(STAs!$G$2:$G$61,MATCH(P1463,STAs!$F$2:$F$61,0))&amp;"","")</f>
        <v/>
      </c>
      <c r="B1463" t="n">
        <v>20033533</v>
      </c>
      <c r="C1463" t="inlineStr">
        <is>
          <t>Não</t>
        </is>
      </c>
      <c r="D1463" t="inlineStr">
        <is>
          <t>RO</t>
        </is>
      </c>
      <c r="E1463" t="inlineStr">
        <is>
          <t>NORTE</t>
        </is>
      </c>
      <c r="F1463" t="inlineStr">
        <is>
          <t>Cliente B - Chopeira</t>
        </is>
      </c>
      <c r="G1463" t="inlineStr">
        <is>
          <t>Misturadores</t>
        </is>
      </c>
      <c r="H1463" s="10" t="n">
        <v>265</v>
      </c>
      <c r="I1463" s="10">
        <f>IFERROR(T1463*H1463,0)</f>
        <v/>
      </c>
      <c r="J1463" s="11" t="n">
        <v>46165</v>
      </c>
      <c r="K1463" s="11" t="n"/>
      <c r="L1463" t="inlineStr">
        <is>
          <t>Em transporte</t>
        </is>
      </c>
      <c r="M1463">
        <f>IF(L1463="","",IFERROR(VLOOKUP(L1463,mapGrupoStatus,2,0),"Outros"))</f>
        <v/>
      </c>
      <c r="N1463">
        <f>IF(O1463="","",IF(O1463&lt;=30,"0-30 dias",IF(O1463&lt;=60,"31-60 dias",IF(O1463&lt;=90,"61-90 dias","Mais de 90 dias"))))</f>
        <v/>
      </c>
      <c r="O1463">
        <f>IF(OR(M1463="Pendente",M1463="Em andamento"),IF(J1463="","",TODAY()-J1463),"")</f>
        <v/>
      </c>
      <c r="P1463" t="n">
        <v>12019</v>
      </c>
      <c r="Q1463" t="inlineStr">
        <is>
          <t>Ártico Serviços (12019)</t>
        </is>
      </c>
      <c r="R1463" t="inlineStr">
        <is>
          <t>PC-0038</t>
        </is>
      </c>
      <c r="S1463" t="inlineStr">
        <is>
          <t>Bomba de recirculação modelo 02</t>
        </is>
      </c>
      <c r="T1463" t="n">
        <v>1</v>
      </c>
      <c r="U1463" t="n">
        <v>160</v>
      </c>
      <c r="V1463">
        <f>IF(J1463="","",MONTH(J1463))</f>
        <v/>
      </c>
      <c r="W1463">
        <f>IF(J1463="","",YEAR(J1463))</f>
        <v/>
      </c>
      <c r="X1463" t="inlineStr">
        <is>
          <t>TransNorte</t>
        </is>
      </c>
      <c r="Y1463">
        <f>IFERROR(INDEX(Rastreio!$H$2:$H$200,MATCH(X1463&amp;"|"&amp;U1463,Rastreio!$A$2:$A$200,0)),"")</f>
        <v/>
      </c>
    </row>
    <row r="1464">
      <c r="A1464">
        <f>IFERROR(INDEX(STAs!$G$2:$G$61,MATCH(P1464,STAs!$F$2:$F$61,0))&amp;"","")</f>
        <v/>
      </c>
      <c r="B1464" t="n">
        <v>20026249</v>
      </c>
      <c r="C1464" t="inlineStr">
        <is>
          <t>Não</t>
        </is>
      </c>
      <c r="D1464" t="inlineStr">
        <is>
          <t>DF</t>
        </is>
      </c>
      <c r="E1464" t="inlineStr">
        <is>
          <t>CENTRO OESTE</t>
        </is>
      </c>
      <c r="F1464" t="inlineStr">
        <is>
          <t>Cliente A - Refrigerador</t>
        </is>
      </c>
      <c r="G1464" t="inlineStr">
        <is>
          <t>Chopeiras</t>
        </is>
      </c>
      <c r="H1464" s="10" t="n">
        <v>85</v>
      </c>
      <c r="I1464" s="10">
        <f>IFERROR(T1464*H1464,0)</f>
        <v/>
      </c>
      <c r="J1464" s="11" t="n">
        <v>46166</v>
      </c>
      <c r="K1464" s="11" t="n">
        <v>46180</v>
      </c>
      <c r="L1464" t="inlineStr">
        <is>
          <t>Ok. Devolvida</t>
        </is>
      </c>
      <c r="M1464">
        <f>IF(L1464="","",IFERROR(VLOOKUP(L1464,mapGrupoStatus,2,0),"Outros"))</f>
        <v/>
      </c>
      <c r="N1464">
        <f>IF(O1464="","",IF(O1464&lt;=30,"0-30 dias",IF(O1464&lt;=60,"31-60 dias",IF(O1464&lt;=90,"61-90 dias","Mais de 90 dias"))))</f>
        <v/>
      </c>
      <c r="O1464">
        <f>IF(OR(M1464="Pendente",M1464="Em andamento"),IF(J1464="","",TODAY()-J1464),"")</f>
        <v/>
      </c>
      <c r="P1464" t="n">
        <v>10021</v>
      </c>
      <c r="Q1464" t="inlineStr">
        <is>
          <t>Termotec Técnica (10021)</t>
        </is>
      </c>
      <c r="R1464" t="inlineStr">
        <is>
          <t>PC-0035</t>
        </is>
      </c>
      <c r="S1464" t="inlineStr">
        <is>
          <t>Válvula extratora modelo 01</t>
        </is>
      </c>
      <c r="T1464" t="n">
        <v>2</v>
      </c>
      <c r="U1464" t="n">
        <v>146</v>
      </c>
      <c r="V1464">
        <f>IF(J1464="","",MONTH(J1464))</f>
        <v/>
      </c>
      <c r="W1464">
        <f>IF(J1464="","",YEAR(J1464))</f>
        <v/>
      </c>
      <c r="X1464" t="inlineStr">
        <is>
          <t>TransNorte</t>
        </is>
      </c>
      <c r="Y1464">
        <f>IFERROR(INDEX(Rastreio!$H$2:$H$200,MATCH(X1464&amp;"|"&amp;U1464,Rastreio!$A$2:$A$200,0)),"")</f>
        <v/>
      </c>
    </row>
    <row r="1465">
      <c r="A1465">
        <f>IFERROR(INDEX(STAs!$G$2:$G$61,MATCH(P1465,STAs!$F$2:$F$61,0))&amp;"","")</f>
        <v/>
      </c>
      <c r="B1465" t="n">
        <v>20028744</v>
      </c>
      <c r="C1465" t="inlineStr">
        <is>
          <t>Não</t>
        </is>
      </c>
      <c r="D1465" t="inlineStr">
        <is>
          <t>PB</t>
        </is>
      </c>
      <c r="E1465" t="inlineStr">
        <is>
          <t>NORDESTE</t>
        </is>
      </c>
      <c r="F1465" t="inlineStr">
        <is>
          <t>Cliente A - Refrigerador</t>
        </is>
      </c>
      <c r="G1465" t="inlineStr">
        <is>
          <t>Misturadores</t>
        </is>
      </c>
      <c r="H1465" s="10" t="n">
        <v>50</v>
      </c>
      <c r="I1465" s="10">
        <f>IFERROR(T1465*H1465,0)</f>
        <v/>
      </c>
      <c r="J1465" s="11" t="n">
        <v>46166</v>
      </c>
      <c r="K1465" s="11" t="n">
        <v>46195</v>
      </c>
      <c r="L1465" t="inlineStr">
        <is>
          <t>Ok. Devolvida</t>
        </is>
      </c>
      <c r="M1465">
        <f>IF(L1465="","",IFERROR(VLOOKUP(L1465,mapGrupoStatus,2,0),"Outros"))</f>
        <v/>
      </c>
      <c r="N1465">
        <f>IF(O1465="","",IF(O1465&lt;=30,"0-30 dias",IF(O1465&lt;=60,"31-60 dias",IF(O1465&lt;=90,"61-90 dias","Mais de 90 dias"))))</f>
        <v/>
      </c>
      <c r="O1465">
        <f>IF(OR(M1465="Pendente",M1465="Em andamento"),IF(J1465="","",TODAY()-J1465),"")</f>
        <v/>
      </c>
      <c r="P1465" t="n">
        <v>11741</v>
      </c>
      <c r="Q1465" t="inlineStr">
        <is>
          <t>Clima Refrigeração (11741)</t>
        </is>
      </c>
      <c r="R1465" t="inlineStr">
        <is>
          <t>PC-0047</t>
        </is>
      </c>
      <c r="S1465" t="inlineStr">
        <is>
          <t>Sensor de nível modelo 03</t>
        </is>
      </c>
      <c r="T1465" t="n">
        <v>1</v>
      </c>
      <c r="U1465" t="n">
        <v>149</v>
      </c>
      <c r="V1465">
        <f>IF(J1465="","",MONTH(J1465))</f>
        <v/>
      </c>
      <c r="W1465">
        <f>IF(J1465="","",YEAR(J1465))</f>
        <v/>
      </c>
      <c r="X1465" t="inlineStr">
        <is>
          <t>RotaSul</t>
        </is>
      </c>
      <c r="Y1465">
        <f>IFERROR(INDEX(Rastreio!$H$2:$H$200,MATCH(X1465&amp;"|"&amp;U1465,Rastreio!$A$2:$A$200,0)),"")</f>
        <v/>
      </c>
    </row>
    <row r="1466">
      <c r="A1466">
        <f>IFERROR(INDEX(STAs!$G$2:$G$61,MATCH(P1466,STAs!$F$2:$F$61,0))&amp;"","")</f>
        <v/>
      </c>
      <c r="B1466" t="n">
        <v>20030221</v>
      </c>
      <c r="C1466" t="inlineStr">
        <is>
          <t>Sim</t>
        </is>
      </c>
      <c r="D1466" t="inlineStr">
        <is>
          <t>CE</t>
        </is>
      </c>
      <c r="E1466" t="inlineStr">
        <is>
          <t>NORDESTE</t>
        </is>
      </c>
      <c r="F1466" t="inlineStr">
        <is>
          <t>Cliente B - Chopeira</t>
        </is>
      </c>
      <c r="G1466" t="inlineStr">
        <is>
          <t>Misturadores</t>
        </is>
      </c>
      <c r="H1466" s="10" t="n">
        <v>200</v>
      </c>
      <c r="I1466" s="10">
        <f>IFERROR(T1466*H1466,0)</f>
        <v/>
      </c>
      <c r="J1466" s="11" t="n">
        <v>46166</v>
      </c>
      <c r="K1466" s="11" t="n"/>
      <c r="L1466" t="inlineStr">
        <is>
          <t>Em transporte</t>
        </is>
      </c>
      <c r="M1466">
        <f>IF(L1466="","",IFERROR(VLOOKUP(L1466,mapGrupoStatus,2,0),"Outros"))</f>
        <v/>
      </c>
      <c r="N1466">
        <f>IF(O1466="","",IF(O1466&lt;=30,"0-30 dias",IF(O1466&lt;=60,"31-60 dias",IF(O1466&lt;=90,"61-90 dias","Mais de 90 dias"))))</f>
        <v/>
      </c>
      <c r="O1466">
        <f>IF(OR(M1466="Pendente",M1466="Em andamento"),IF(J1466="","",TODAY()-J1466),"")</f>
        <v/>
      </c>
      <c r="P1466" t="n">
        <v>10615</v>
      </c>
      <c r="Q1466" t="inlineStr">
        <is>
          <t>Brisa Técnica (10615)</t>
        </is>
      </c>
      <c r="R1466" t="inlineStr">
        <is>
          <t>PC-0040</t>
        </is>
      </c>
      <c r="S1466" t="inlineStr">
        <is>
          <t>Motor agitador modelo 01</t>
        </is>
      </c>
      <c r="T1466" t="n">
        <v>2</v>
      </c>
      <c r="U1466" t="n">
        <v>153</v>
      </c>
      <c r="V1466">
        <f>IF(J1466="","",MONTH(J1466))</f>
        <v/>
      </c>
      <c r="W1466">
        <f>IF(J1466="","",YEAR(J1466))</f>
        <v/>
      </c>
      <c r="X1466" t="inlineStr">
        <is>
          <t>RotaSul</t>
        </is>
      </c>
      <c r="Y1466">
        <f>IFERROR(INDEX(Rastreio!$H$2:$H$200,MATCH(X1466&amp;"|"&amp;U1466,Rastreio!$A$2:$A$200,0)),"")</f>
        <v/>
      </c>
    </row>
    <row r="1467">
      <c r="A1467">
        <f>IFERROR(INDEX(STAs!$G$2:$G$61,MATCH(P1467,STAs!$F$2:$F$61,0))&amp;"","")</f>
        <v/>
      </c>
      <c r="B1467" t="n">
        <v>20035537</v>
      </c>
      <c r="C1467" t="inlineStr">
        <is>
          <t>Não</t>
        </is>
      </c>
      <c r="D1467" t="inlineStr">
        <is>
          <t>SP</t>
        </is>
      </c>
      <c r="E1467" t="inlineStr">
        <is>
          <t>SUDESTE SP</t>
        </is>
      </c>
      <c r="F1467" t="inlineStr">
        <is>
          <t>Cliente B - Chopeira</t>
        </is>
      </c>
      <c r="G1467" t="inlineStr">
        <is>
          <t>Refrigeradores</t>
        </is>
      </c>
      <c r="H1467" s="10" t="n">
        <v>40</v>
      </c>
      <c r="I1467" s="10">
        <f>IFERROR(T1467*H1467,0)</f>
        <v/>
      </c>
      <c r="J1467" s="11" t="n">
        <v>46166</v>
      </c>
      <c r="K1467" s="11" t="n">
        <v>46210</v>
      </c>
      <c r="L1467" t="inlineStr">
        <is>
          <t>Ok. Devolvida</t>
        </is>
      </c>
      <c r="M1467">
        <f>IF(L1467="","",IFERROR(VLOOKUP(L1467,mapGrupoStatus,2,0),"Outros"))</f>
        <v/>
      </c>
      <c r="N1467">
        <f>IF(O1467="","",IF(O1467&lt;=30,"0-30 dias",IF(O1467&lt;=60,"31-60 dias",IF(O1467&lt;=90,"61-90 dias","Mais de 90 dias"))))</f>
        <v/>
      </c>
      <c r="O1467">
        <f>IF(OR(M1467="Pendente",M1467="Em andamento"),IF(J1467="","",TODAY()-J1467),"")</f>
        <v/>
      </c>
      <c r="P1467" t="n">
        <v>12052</v>
      </c>
      <c r="Q1467" t="inlineStr">
        <is>
          <t>Brisa Refrigeração (12052)</t>
        </is>
      </c>
      <c r="R1467" t="inlineStr">
        <is>
          <t>PC-0005</t>
        </is>
      </c>
      <c r="S1467" t="inlineStr">
        <is>
          <t>Termostato modelo 02</t>
        </is>
      </c>
      <c r="T1467" t="n">
        <v>1</v>
      </c>
      <c r="U1467" t="n">
        <v>149</v>
      </c>
      <c r="V1467">
        <f>IF(J1467="","",MONTH(J1467))</f>
        <v/>
      </c>
      <c r="W1467">
        <f>IF(J1467="","",YEAR(J1467))</f>
        <v/>
      </c>
      <c r="X1467" t="inlineStr">
        <is>
          <t>EntregaJá</t>
        </is>
      </c>
      <c r="Y1467">
        <f>IFERROR(INDEX(Rastreio!$H$2:$H$200,MATCH(X1467&amp;"|"&amp;U1467,Rastreio!$A$2:$A$200,0)),"")</f>
        <v/>
      </c>
    </row>
    <row r="1468">
      <c r="A1468">
        <f>IFERROR(INDEX(STAs!$G$2:$G$61,MATCH(P1468,STAs!$F$2:$F$61,0))&amp;"","")</f>
        <v/>
      </c>
      <c r="B1468" t="n">
        <v>20036622</v>
      </c>
      <c r="C1468" t="inlineStr">
        <is>
          <t>Não</t>
        </is>
      </c>
      <c r="D1468" t="inlineStr">
        <is>
          <t>TO</t>
        </is>
      </c>
      <c r="E1468" t="inlineStr">
        <is>
          <t>NORTE</t>
        </is>
      </c>
      <c r="F1468" t="inlineStr">
        <is>
          <t>Cliente B - Chopeira</t>
        </is>
      </c>
      <c r="G1468" t="inlineStr">
        <is>
          <t>Refrigeradores</t>
        </is>
      </c>
      <c r="H1468" s="10" t="n">
        <v>65</v>
      </c>
      <c r="I1468" s="10">
        <f>IFERROR(T1468*H1468,0)</f>
        <v/>
      </c>
      <c r="J1468" s="11" t="n">
        <v>46166</v>
      </c>
      <c r="K1468" s="11" t="n"/>
      <c r="L1468" t="inlineStr">
        <is>
          <t>Debitar do STA</t>
        </is>
      </c>
      <c r="M1468">
        <f>IF(L1468="","",IFERROR(VLOOKUP(L1468,mapGrupoStatus,2,0),"Outros"))</f>
        <v/>
      </c>
      <c r="N1468">
        <f>IF(O1468="","",IF(O1468&lt;=30,"0-30 dias",IF(O1468&lt;=60,"31-60 dias",IF(O1468&lt;=90,"61-90 dias","Mais de 90 dias"))))</f>
        <v/>
      </c>
      <c r="O1468">
        <f>IF(OR(M1468="Pendente",M1468="Em andamento"),IF(J1468="","",TODAY()-J1468),"")</f>
        <v/>
      </c>
      <c r="P1468" t="n">
        <v>10939</v>
      </c>
      <c r="Q1468" t="inlineStr">
        <is>
          <t>Zero Grau Manutenção (10939)</t>
        </is>
      </c>
      <c r="R1468" t="inlineStr">
        <is>
          <t>PC-0010</t>
        </is>
      </c>
      <c r="S1468" t="inlineStr">
        <is>
          <t>Ventilador modelo 04</t>
        </is>
      </c>
      <c r="T1468" t="n">
        <v>1</v>
      </c>
      <c r="U1468" t="inlineStr"/>
      <c r="V1468">
        <f>IF(J1468="","",MONTH(J1468))</f>
        <v/>
      </c>
      <c r="W1468">
        <f>IF(J1468="","",YEAR(J1468))</f>
        <v/>
      </c>
      <c r="X1468" t="inlineStr"/>
      <c r="Y1468">
        <f>IFERROR(INDEX(Rastreio!$H$2:$H$200,MATCH(X1468&amp;"|"&amp;U1468,Rastreio!$A$2:$A$200,0)),"")</f>
        <v/>
      </c>
    </row>
    <row r="1469">
      <c r="A1469">
        <f>IFERROR(INDEX(STAs!$G$2:$G$61,MATCH(P1469,STAs!$F$2:$F$61,0))&amp;"","")</f>
        <v/>
      </c>
      <c r="B1469" t="n">
        <v>20013320</v>
      </c>
      <c r="C1469" t="inlineStr">
        <is>
          <t>Sim</t>
        </is>
      </c>
      <c r="D1469" t="inlineStr">
        <is>
          <t>PR</t>
        </is>
      </c>
      <c r="E1469" t="inlineStr">
        <is>
          <t>SUL</t>
        </is>
      </c>
      <c r="F1469" t="inlineStr">
        <is>
          <t>Cliente A - Refrigerador</t>
        </is>
      </c>
      <c r="G1469" t="inlineStr">
        <is>
          <t>Misturadores</t>
        </is>
      </c>
      <c r="H1469" s="10" t="n">
        <v>60</v>
      </c>
      <c r="I1469" s="10">
        <f>IFERROR(T1469*H1469,0)</f>
        <v/>
      </c>
      <c r="J1469" s="11" t="n">
        <v>46167</v>
      </c>
      <c r="K1469" s="11" t="n">
        <v>46201</v>
      </c>
      <c r="L1469" t="inlineStr">
        <is>
          <t>Ok. Devolvida</t>
        </is>
      </c>
      <c r="M1469">
        <f>IF(L1469="","",IFERROR(VLOOKUP(L1469,mapGrupoStatus,2,0),"Outros"))</f>
        <v/>
      </c>
      <c r="N1469">
        <f>IF(O1469="","",IF(O1469&lt;=30,"0-30 dias",IF(O1469&lt;=60,"31-60 dias",IF(O1469&lt;=90,"61-90 dias","Mais de 90 dias"))))</f>
        <v/>
      </c>
      <c r="O1469">
        <f>IF(OR(M1469="Pendente",M1469="Em andamento"),IF(J1469="","",TODAY()-J1469),"")</f>
        <v/>
      </c>
      <c r="P1469" t="n">
        <v>12724</v>
      </c>
      <c r="Q1469" t="inlineStr">
        <is>
          <t>Cool Service &amp; Cia (12724)</t>
        </is>
      </c>
      <c r="R1469" t="inlineStr">
        <is>
          <t>PC-0046</t>
        </is>
      </c>
      <c r="S1469" t="inlineStr">
        <is>
          <t>Sensor de nível modelo 02</t>
        </is>
      </c>
      <c r="T1469" t="n">
        <v>1</v>
      </c>
      <c r="U1469" t="n">
        <v>124</v>
      </c>
      <c r="V1469">
        <f>IF(J1469="","",MONTH(J1469))</f>
        <v/>
      </c>
      <c r="W1469">
        <f>IF(J1469="","",YEAR(J1469))</f>
        <v/>
      </c>
      <c r="X1469" t="inlineStr">
        <is>
          <t>LogExpress</t>
        </is>
      </c>
      <c r="Y1469">
        <f>IFERROR(INDEX(Rastreio!$H$2:$H$200,MATCH(X1469&amp;"|"&amp;U1469,Rastreio!$A$2:$A$200,0)),"")</f>
        <v/>
      </c>
    </row>
    <row r="1470">
      <c r="A1470">
        <f>IFERROR(INDEX(STAs!$G$2:$G$61,MATCH(P1470,STAs!$F$2:$F$61,0))&amp;"","")</f>
        <v/>
      </c>
      <c r="B1470" t="n">
        <v>20013817</v>
      </c>
      <c r="C1470" t="inlineStr">
        <is>
          <t>Não</t>
        </is>
      </c>
      <c r="D1470" t="inlineStr">
        <is>
          <t>SP</t>
        </is>
      </c>
      <c r="E1470" t="inlineStr">
        <is>
          <t>SUDESTE SP</t>
        </is>
      </c>
      <c r="F1470" t="inlineStr">
        <is>
          <t>Cliente C - Misturador</t>
        </is>
      </c>
      <c r="G1470" t="inlineStr">
        <is>
          <t>Misturadores</t>
        </is>
      </c>
      <c r="H1470" s="10" t="n">
        <v>60</v>
      </c>
      <c r="I1470" s="10">
        <f>IFERROR(T1470*H1470,0)</f>
        <v/>
      </c>
      <c r="J1470" s="11" t="n">
        <v>46167</v>
      </c>
      <c r="K1470" s="11" t="n">
        <v>46218</v>
      </c>
      <c r="L1470" t="inlineStr">
        <is>
          <t>Ok. Devolvida</t>
        </is>
      </c>
      <c r="M1470">
        <f>IF(L1470="","",IFERROR(VLOOKUP(L1470,mapGrupoStatus,2,0),"Outros"))</f>
        <v/>
      </c>
      <c r="N1470">
        <f>IF(O1470="","",IF(O1470&lt;=30,"0-30 dias",IF(O1470&lt;=60,"31-60 dias",IF(O1470&lt;=90,"61-90 dias","Mais de 90 dias"))))</f>
        <v/>
      </c>
      <c r="O1470">
        <f>IF(OR(M1470="Pendente",M1470="Em andamento"),IF(J1470="","",TODAY()-J1470),"")</f>
        <v/>
      </c>
      <c r="P1470" t="n">
        <v>11365</v>
      </c>
      <c r="Q1470" t="inlineStr">
        <is>
          <t>Ártico Express (11365)</t>
        </is>
      </c>
      <c r="R1470" t="inlineStr">
        <is>
          <t>PC-0048</t>
        </is>
      </c>
      <c r="S1470" t="inlineStr">
        <is>
          <t>Sensor de nível modelo 04</t>
        </is>
      </c>
      <c r="T1470" t="n">
        <v>1</v>
      </c>
      <c r="U1470" t="n">
        <v>124</v>
      </c>
      <c r="V1470">
        <f>IF(J1470="","",MONTH(J1470))</f>
        <v/>
      </c>
      <c r="W1470">
        <f>IF(J1470="","",YEAR(J1470))</f>
        <v/>
      </c>
      <c r="X1470" t="inlineStr">
        <is>
          <t>EntregaJá</t>
        </is>
      </c>
      <c r="Y1470">
        <f>IFERROR(INDEX(Rastreio!$H$2:$H$200,MATCH(X1470&amp;"|"&amp;U1470,Rastreio!$A$2:$A$200,0)),"")</f>
        <v/>
      </c>
    </row>
    <row r="1471">
      <c r="A1471">
        <f>IFERROR(INDEX(STAs!$G$2:$G$61,MATCH(P1471,STAs!$F$2:$F$61,0))&amp;"","")</f>
        <v/>
      </c>
      <c r="B1471" t="n">
        <v>20029409</v>
      </c>
      <c r="C1471" t="inlineStr">
        <is>
          <t>Não</t>
        </is>
      </c>
      <c r="D1471" t="inlineStr">
        <is>
          <t>PB</t>
        </is>
      </c>
      <c r="E1471" t="inlineStr">
        <is>
          <t>NORDESTE</t>
        </is>
      </c>
      <c r="F1471" t="inlineStr">
        <is>
          <t>Cliente C - Misturador</t>
        </is>
      </c>
      <c r="G1471" t="inlineStr">
        <is>
          <t>Chopeiras</t>
        </is>
      </c>
      <c r="H1471" s="10" t="n">
        <v>85</v>
      </c>
      <c r="I1471" s="10">
        <f>IFERROR(T1471*H1471,0)</f>
        <v/>
      </c>
      <c r="J1471" s="11" t="n">
        <v>46167</v>
      </c>
      <c r="K1471" s="11" t="n">
        <v>46201</v>
      </c>
      <c r="L1471" t="inlineStr">
        <is>
          <t>Ok. Devolvida</t>
        </is>
      </c>
      <c r="M1471">
        <f>IF(L1471="","",IFERROR(VLOOKUP(L1471,mapGrupoStatus,2,0),"Outros"))</f>
        <v/>
      </c>
      <c r="N1471">
        <f>IF(O1471="","",IF(O1471&lt;=30,"0-30 dias",IF(O1471&lt;=60,"31-60 dias",IF(O1471&lt;=90,"61-90 dias","Mais de 90 dias"))))</f>
        <v/>
      </c>
      <c r="O1471">
        <f>IF(OR(M1471="Pendente",M1471="Em andamento"),IF(J1471="","",TODAY()-J1471),"")</f>
        <v/>
      </c>
      <c r="P1471" t="n">
        <v>11741</v>
      </c>
      <c r="Q1471" t="inlineStr">
        <is>
          <t>Clima Refrigeração (11741)</t>
        </is>
      </c>
      <c r="R1471" t="inlineStr">
        <is>
          <t>PC-0028</t>
        </is>
      </c>
      <c r="S1471" t="inlineStr">
        <is>
          <t>Torneira de chopp modelo 03</t>
        </is>
      </c>
      <c r="T1471" t="n">
        <v>1</v>
      </c>
      <c r="U1471" t="n">
        <v>145</v>
      </c>
      <c r="V1471">
        <f>IF(J1471="","",MONTH(J1471))</f>
        <v/>
      </c>
      <c r="W1471">
        <f>IF(J1471="","",YEAR(J1471))</f>
        <v/>
      </c>
      <c r="X1471" t="inlineStr">
        <is>
          <t>ViaCargo</t>
        </is>
      </c>
      <c r="Y1471">
        <f>IFERROR(INDEX(Rastreio!$H$2:$H$200,MATCH(X1471&amp;"|"&amp;U1471,Rastreio!$A$2:$A$200,0)),"")</f>
        <v/>
      </c>
    </row>
    <row r="1472">
      <c r="A1472">
        <f>IFERROR(INDEX(STAs!$G$2:$G$61,MATCH(P1472,STAs!$F$2:$F$61,0))&amp;"","")</f>
        <v/>
      </c>
      <c r="B1472" t="n">
        <v>20040541</v>
      </c>
      <c r="C1472" t="inlineStr">
        <is>
          <t>Não</t>
        </is>
      </c>
      <c r="D1472" t="inlineStr">
        <is>
          <t>ES</t>
        </is>
      </c>
      <c r="E1472" t="inlineStr">
        <is>
          <t>SUDESTE RJ e ES</t>
        </is>
      </c>
      <c r="F1472" t="inlineStr">
        <is>
          <t>Cliente B - Chopeira</t>
        </is>
      </c>
      <c r="G1472" t="inlineStr">
        <is>
          <t>Refrigeradores</t>
        </is>
      </c>
      <c r="H1472" s="10" t="n">
        <v>55</v>
      </c>
      <c r="I1472" s="10">
        <f>IFERROR(T1472*H1472,0)</f>
        <v/>
      </c>
      <c r="J1472" s="11" t="n">
        <v>46167</v>
      </c>
      <c r="K1472" s="11" t="n"/>
      <c r="L1472" t="inlineStr">
        <is>
          <t>Em transporte</t>
        </is>
      </c>
      <c r="M1472">
        <f>IF(L1472="","",IFERROR(VLOOKUP(L1472,mapGrupoStatus,2,0),"Outros"))</f>
        <v/>
      </c>
      <c r="N1472">
        <f>IF(O1472="","",IF(O1472&lt;=30,"0-30 dias",IF(O1472&lt;=60,"31-60 dias",IF(O1472&lt;=90,"61-90 dias","Mais de 90 dias"))))</f>
        <v/>
      </c>
      <c r="O1472">
        <f>IF(OR(M1472="Pendente",M1472="Em andamento"),IF(J1472="","",TODAY()-J1472),"")</f>
        <v/>
      </c>
      <c r="P1472" t="n">
        <v>12555</v>
      </c>
      <c r="Q1472" t="inlineStr">
        <is>
          <t>Cool Service Serviços (12555)</t>
        </is>
      </c>
      <c r="R1472" t="inlineStr">
        <is>
          <t>PC-0007</t>
        </is>
      </c>
      <c r="S1472" t="inlineStr">
        <is>
          <t>Ventilador modelo 01</t>
        </is>
      </c>
      <c r="T1472" t="n">
        <v>1</v>
      </c>
      <c r="U1472" t="n">
        <v>174</v>
      </c>
      <c r="V1472">
        <f>IF(J1472="","",MONTH(J1472))</f>
        <v/>
      </c>
      <c r="W1472">
        <f>IF(J1472="","",YEAR(J1472))</f>
        <v/>
      </c>
      <c r="X1472" t="inlineStr">
        <is>
          <t>LogExpress</t>
        </is>
      </c>
      <c r="Y1472">
        <f>IFERROR(INDEX(Rastreio!$H$2:$H$200,MATCH(X1472&amp;"|"&amp;U1472,Rastreio!$A$2:$A$200,0)),"")</f>
        <v/>
      </c>
    </row>
    <row r="1473">
      <c r="A1473">
        <f>IFERROR(INDEX(STAs!$G$2:$G$61,MATCH(P1473,STAs!$F$2:$F$61,0))&amp;"","")</f>
        <v/>
      </c>
      <c r="B1473" t="n">
        <v>20011684</v>
      </c>
      <c r="C1473" t="inlineStr">
        <is>
          <t>Não</t>
        </is>
      </c>
      <c r="D1473" t="inlineStr">
        <is>
          <t>AC</t>
        </is>
      </c>
      <c r="E1473" t="inlineStr">
        <is>
          <t>NORTE</t>
        </is>
      </c>
      <c r="F1473" t="inlineStr">
        <is>
          <t>Cliente B - Chopeira</t>
        </is>
      </c>
      <c r="G1473" t="inlineStr">
        <is>
          <t>Refrigeradores</t>
        </is>
      </c>
      <c r="H1473" s="10" t="n">
        <v>325</v>
      </c>
      <c r="I1473" s="10">
        <f>IFERROR(T1473*H1473,0)</f>
        <v/>
      </c>
      <c r="J1473" s="11" t="n">
        <v>46168</v>
      </c>
      <c r="K1473" s="11" t="n"/>
      <c r="L1473" t="inlineStr">
        <is>
          <t>Aguardando devolução</t>
        </is>
      </c>
      <c r="M1473">
        <f>IF(L1473="","",IFERROR(VLOOKUP(L1473,mapGrupoStatus,2,0),"Outros"))</f>
        <v/>
      </c>
      <c r="N1473">
        <f>IF(O1473="","",IF(O1473&lt;=30,"0-30 dias",IF(O1473&lt;=60,"31-60 dias",IF(O1473&lt;=90,"61-90 dias","Mais de 90 dias"))))</f>
        <v/>
      </c>
      <c r="O1473">
        <f>IF(OR(M1473="Pendente",M1473="Em andamento"),IF(J1473="","",TODAY()-J1473),"")</f>
        <v/>
      </c>
      <c r="P1473" t="n">
        <v>11022</v>
      </c>
      <c r="Q1473" t="inlineStr">
        <is>
          <t>Brisa Ltda (11022)</t>
        </is>
      </c>
      <c r="R1473" t="inlineStr">
        <is>
          <t>PC-0001</t>
        </is>
      </c>
      <c r="S1473" t="inlineStr">
        <is>
          <t>Compressor modelo 01</t>
        </is>
      </c>
      <c r="T1473" t="n">
        <v>1</v>
      </c>
      <c r="U1473" t="inlineStr"/>
      <c r="V1473">
        <f>IF(J1473="","",MONTH(J1473))</f>
        <v/>
      </c>
      <c r="W1473">
        <f>IF(J1473="","",YEAR(J1473))</f>
        <v/>
      </c>
      <c r="X1473" t="inlineStr"/>
      <c r="Y1473">
        <f>IFERROR(INDEX(Rastreio!$H$2:$H$200,MATCH(X1473&amp;"|"&amp;U1473,Rastreio!$A$2:$A$200,0)),"")</f>
        <v/>
      </c>
    </row>
    <row r="1474">
      <c r="A1474">
        <f>IFERROR(INDEX(STAs!$G$2:$G$61,MATCH(P1474,STAs!$F$2:$F$61,0))&amp;"","")</f>
        <v/>
      </c>
      <c r="B1474" t="n">
        <v>20015524</v>
      </c>
      <c r="C1474" t="inlineStr">
        <is>
          <t>Sim</t>
        </is>
      </c>
      <c r="D1474" t="inlineStr">
        <is>
          <t>CE</t>
        </is>
      </c>
      <c r="E1474" t="inlineStr">
        <is>
          <t>NORDESTE</t>
        </is>
      </c>
      <c r="F1474" t="inlineStr">
        <is>
          <t>Cliente A - Refrigerador</t>
        </is>
      </c>
      <c r="G1474" t="inlineStr">
        <is>
          <t>Refrigeradores</t>
        </is>
      </c>
      <c r="H1474" s="10" t="n">
        <v>65</v>
      </c>
      <c r="I1474" s="10">
        <f>IFERROR(T1474*H1474,0)</f>
        <v/>
      </c>
      <c r="J1474" s="11" t="n">
        <v>46168</v>
      </c>
      <c r="K1474" s="11" t="n">
        <v>46188</v>
      </c>
      <c r="L1474" t="inlineStr">
        <is>
          <t>Ok. Devolvida</t>
        </is>
      </c>
      <c r="M1474">
        <f>IF(L1474="","",IFERROR(VLOOKUP(L1474,mapGrupoStatus,2,0),"Outros"))</f>
        <v/>
      </c>
      <c r="N1474">
        <f>IF(O1474="","",IF(O1474&lt;=30,"0-30 dias",IF(O1474&lt;=60,"31-60 dias",IF(O1474&lt;=90,"61-90 dias","Mais de 90 dias"))))</f>
        <v/>
      </c>
      <c r="O1474">
        <f>IF(OR(M1474="Pendente",M1474="Em andamento"),IF(J1474="","",TODAY()-J1474),"")</f>
        <v/>
      </c>
      <c r="P1474" t="n">
        <v>10615</v>
      </c>
      <c r="Q1474" t="inlineStr">
        <is>
          <t>Brisa Técnica (10615)</t>
        </is>
      </c>
      <c r="R1474" t="inlineStr">
        <is>
          <t>PC-0010</t>
        </is>
      </c>
      <c r="S1474" t="inlineStr">
        <is>
          <t>Ventilador modelo 04</t>
        </is>
      </c>
      <c r="T1474" t="n">
        <v>1</v>
      </c>
      <c r="U1474" t="n">
        <v>124</v>
      </c>
      <c r="V1474">
        <f>IF(J1474="","",MONTH(J1474))</f>
        <v/>
      </c>
      <c r="W1474">
        <f>IF(J1474="","",YEAR(J1474))</f>
        <v/>
      </c>
      <c r="X1474" t="inlineStr">
        <is>
          <t>TransNorte</t>
        </is>
      </c>
      <c r="Y1474">
        <f>IFERROR(INDEX(Rastreio!$H$2:$H$200,MATCH(X1474&amp;"|"&amp;U1474,Rastreio!$A$2:$A$200,0)),"")</f>
        <v/>
      </c>
    </row>
    <row r="1475">
      <c r="A1475">
        <f>IFERROR(INDEX(STAs!$G$2:$G$61,MATCH(P1475,STAs!$F$2:$F$61,0))&amp;"","")</f>
        <v/>
      </c>
      <c r="B1475" t="n">
        <v>20017650</v>
      </c>
      <c r="C1475" t="inlineStr">
        <is>
          <t>Não</t>
        </is>
      </c>
      <c r="D1475" t="inlineStr">
        <is>
          <t>MG</t>
        </is>
      </c>
      <c r="E1475" t="inlineStr">
        <is>
          <t>SUDESTE MG</t>
        </is>
      </c>
      <c r="F1475" t="inlineStr">
        <is>
          <t>Cliente C - Misturador</t>
        </is>
      </c>
      <c r="G1475" t="inlineStr">
        <is>
          <t>Misturadores</t>
        </is>
      </c>
      <c r="H1475" s="10" t="n">
        <v>185</v>
      </c>
      <c r="I1475" s="10">
        <f>IFERROR(T1475*H1475,0)</f>
        <v/>
      </c>
      <c r="J1475" s="11" t="n">
        <v>46168</v>
      </c>
      <c r="K1475" s="11" t="n">
        <v>46202</v>
      </c>
      <c r="L1475" t="inlineStr">
        <is>
          <t>Ok. Devolvida</t>
        </is>
      </c>
      <c r="M1475">
        <f>IF(L1475="","",IFERROR(VLOOKUP(L1475,mapGrupoStatus,2,0),"Outros"))</f>
        <v/>
      </c>
      <c r="N1475">
        <f>IF(O1475="","",IF(O1475&lt;=30,"0-30 dias",IF(O1475&lt;=60,"31-60 dias",IF(O1475&lt;=90,"61-90 dias","Mais de 90 dias"))))</f>
        <v/>
      </c>
      <c r="O1475">
        <f>IF(OR(M1475="Pendente",M1475="Em andamento"),IF(J1475="","",TODAY()-J1475),"")</f>
        <v/>
      </c>
      <c r="P1475" t="n">
        <v>12158</v>
      </c>
      <c r="Q1475" t="inlineStr">
        <is>
          <t>Gelo Serviços (12158)</t>
        </is>
      </c>
      <c r="R1475" t="inlineStr">
        <is>
          <t>PC-0041</t>
        </is>
      </c>
      <c r="S1475" t="inlineStr">
        <is>
          <t>Motor agitador modelo 02</t>
        </is>
      </c>
      <c r="T1475" t="n">
        <v>1</v>
      </c>
      <c r="U1475" t="n">
        <v>129</v>
      </c>
      <c r="V1475">
        <f>IF(J1475="","",MONTH(J1475))</f>
        <v/>
      </c>
      <c r="W1475">
        <f>IF(J1475="","",YEAR(J1475))</f>
        <v/>
      </c>
      <c r="X1475" t="inlineStr">
        <is>
          <t>TransNorte</t>
        </is>
      </c>
      <c r="Y1475">
        <f>IFERROR(INDEX(Rastreio!$H$2:$H$200,MATCH(X1475&amp;"|"&amp;U1475,Rastreio!$A$2:$A$200,0)),"")</f>
        <v/>
      </c>
    </row>
    <row r="1476">
      <c r="A1476">
        <f>IFERROR(INDEX(STAs!$G$2:$G$61,MATCH(P1476,STAs!$F$2:$F$61,0))&amp;"","")</f>
        <v/>
      </c>
      <c r="B1476" t="n">
        <v>20023518</v>
      </c>
      <c r="C1476" t="inlineStr">
        <is>
          <t>Não</t>
        </is>
      </c>
      <c r="D1476" t="inlineStr">
        <is>
          <t>BA</t>
        </is>
      </c>
      <c r="E1476" t="inlineStr">
        <is>
          <t>NORDESTE</t>
        </is>
      </c>
      <c r="F1476" t="inlineStr">
        <is>
          <t>Cliente B - Chopeira</t>
        </is>
      </c>
      <c r="G1476" t="inlineStr">
        <is>
          <t>Misturadores</t>
        </is>
      </c>
      <c r="H1476" s="10" t="n">
        <v>50</v>
      </c>
      <c r="I1476" s="10">
        <f>IFERROR(T1476*H1476,0)</f>
        <v/>
      </c>
      <c r="J1476" s="11" t="n">
        <v>46168</v>
      </c>
      <c r="K1476" s="11" t="n"/>
      <c r="L1476" t="inlineStr">
        <is>
          <t>Debitar do STA</t>
        </is>
      </c>
      <c r="M1476">
        <f>IF(L1476="","",IFERROR(VLOOKUP(L1476,mapGrupoStatus,2,0),"Outros"))</f>
        <v/>
      </c>
      <c r="N1476">
        <f>IF(O1476="","",IF(O1476&lt;=30,"0-30 dias",IF(O1476&lt;=60,"31-60 dias",IF(O1476&lt;=90,"61-90 dias","Mais de 90 dias"))))</f>
        <v/>
      </c>
      <c r="O1476">
        <f>IF(OR(M1476="Pendente",M1476="Em andamento"),IF(J1476="","",TODAY()-J1476),"")</f>
        <v/>
      </c>
      <c r="P1476" t="n">
        <v>11538</v>
      </c>
      <c r="Q1476" t="inlineStr">
        <is>
          <t>Clima Manutenção (11538)</t>
        </is>
      </c>
      <c r="R1476" t="inlineStr">
        <is>
          <t>PC-0045</t>
        </is>
      </c>
      <c r="S1476" t="inlineStr">
        <is>
          <t>Sensor de nível modelo 01</t>
        </is>
      </c>
      <c r="T1476" t="n">
        <v>1</v>
      </c>
      <c r="U1476" t="inlineStr"/>
      <c r="V1476">
        <f>IF(J1476="","",MONTH(J1476))</f>
        <v/>
      </c>
      <c r="W1476">
        <f>IF(J1476="","",YEAR(J1476))</f>
        <v/>
      </c>
      <c r="X1476" t="inlineStr"/>
      <c r="Y1476">
        <f>IFERROR(INDEX(Rastreio!$H$2:$H$200,MATCH(X1476&amp;"|"&amp;U1476,Rastreio!$A$2:$A$200,0)),"")</f>
        <v/>
      </c>
    </row>
    <row r="1477">
      <c r="A1477">
        <f>IFERROR(INDEX(STAs!$G$2:$G$61,MATCH(P1477,STAs!$F$2:$F$61,0))&amp;"","")</f>
        <v/>
      </c>
      <c r="B1477" t="n">
        <v>20030197</v>
      </c>
      <c r="C1477" t="inlineStr">
        <is>
          <t>Não</t>
        </is>
      </c>
      <c r="D1477" t="inlineStr">
        <is>
          <t>TO</t>
        </is>
      </c>
      <c r="E1477" t="inlineStr">
        <is>
          <t>NORTE</t>
        </is>
      </c>
      <c r="F1477" t="inlineStr">
        <is>
          <t>Cliente B - Chopeira</t>
        </is>
      </c>
      <c r="G1477" t="inlineStr">
        <is>
          <t>Misturadores</t>
        </is>
      </c>
      <c r="H1477" s="10" t="n">
        <v>50</v>
      </c>
      <c r="I1477" s="10">
        <f>IFERROR(T1477*H1477,0)</f>
        <v/>
      </c>
      <c r="J1477" s="11" t="n">
        <v>46168</v>
      </c>
      <c r="K1477" s="11" t="n">
        <v>46209</v>
      </c>
      <c r="L1477" t="inlineStr">
        <is>
          <t>Ok. Devolvida</t>
        </is>
      </c>
      <c r="M1477">
        <f>IF(L1477="","",IFERROR(VLOOKUP(L1477,mapGrupoStatus,2,0),"Outros"))</f>
        <v/>
      </c>
      <c r="N1477">
        <f>IF(O1477="","",IF(O1477&lt;=30,"0-30 dias",IF(O1477&lt;=60,"31-60 dias",IF(O1477&lt;=90,"61-90 dias","Mais de 90 dias"))))</f>
        <v/>
      </c>
      <c r="O1477">
        <f>IF(OR(M1477="Pendente",M1477="Em andamento"),IF(J1477="","",TODAY()-J1477),"")</f>
        <v/>
      </c>
      <c r="P1477" t="n">
        <v>10939</v>
      </c>
      <c r="Q1477" t="inlineStr">
        <is>
          <t>Zero Grau Manutenção (10939)</t>
        </is>
      </c>
      <c r="R1477" t="inlineStr">
        <is>
          <t>PC-0047</t>
        </is>
      </c>
      <c r="S1477" t="inlineStr">
        <is>
          <t>Sensor de nível modelo 03</t>
        </is>
      </c>
      <c r="T1477" t="n">
        <v>1</v>
      </c>
      <c r="U1477" t="n">
        <v>144</v>
      </c>
      <c r="V1477">
        <f>IF(J1477="","",MONTH(J1477))</f>
        <v/>
      </c>
      <c r="W1477">
        <f>IF(J1477="","",YEAR(J1477))</f>
        <v/>
      </c>
      <c r="X1477" t="inlineStr">
        <is>
          <t>EntregaJá</t>
        </is>
      </c>
      <c r="Y1477">
        <f>IFERROR(INDEX(Rastreio!$H$2:$H$200,MATCH(X1477&amp;"|"&amp;U1477,Rastreio!$A$2:$A$200,0)),"")</f>
        <v/>
      </c>
    </row>
    <row r="1478">
      <c r="A1478">
        <f>IFERROR(INDEX(STAs!$G$2:$G$61,MATCH(P1478,STAs!$F$2:$F$61,0))&amp;"","")</f>
        <v/>
      </c>
      <c r="B1478" t="n">
        <v>20033980</v>
      </c>
      <c r="C1478" t="inlineStr">
        <is>
          <t>Não</t>
        </is>
      </c>
      <c r="D1478" t="inlineStr">
        <is>
          <t>BA</t>
        </is>
      </c>
      <c r="E1478" t="inlineStr">
        <is>
          <t>NORDESTE</t>
        </is>
      </c>
      <c r="F1478" t="inlineStr">
        <is>
          <t>Cliente B - Chopeira</t>
        </is>
      </c>
      <c r="G1478" t="inlineStr">
        <is>
          <t>Refrigeradores</t>
        </is>
      </c>
      <c r="H1478" s="10" t="n">
        <v>45</v>
      </c>
      <c r="I1478" s="10">
        <f>IFERROR(T1478*H1478,0)</f>
        <v/>
      </c>
      <c r="J1478" s="11" t="n">
        <v>46168</v>
      </c>
      <c r="K1478" s="11" t="n">
        <v>46219</v>
      </c>
      <c r="L1478" t="inlineStr">
        <is>
          <t>Ok. Devolvida</t>
        </is>
      </c>
      <c r="M1478">
        <f>IF(L1478="","",IFERROR(VLOOKUP(L1478,mapGrupoStatus,2,0),"Outros"))</f>
        <v/>
      </c>
      <c r="N1478">
        <f>IF(O1478="","",IF(O1478&lt;=30,"0-30 dias",IF(O1478&lt;=60,"31-60 dias",IF(O1478&lt;=90,"61-90 dias","Mais de 90 dias"))))</f>
        <v/>
      </c>
      <c r="O1478">
        <f>IF(OR(M1478="Pendente",M1478="Em andamento"),IF(J1478="","",TODAY()-J1478),"")</f>
        <v/>
      </c>
      <c r="P1478" t="n">
        <v>11538</v>
      </c>
      <c r="Q1478" t="inlineStr">
        <is>
          <t>Clima Manutenção (11538)</t>
        </is>
      </c>
      <c r="R1478" t="inlineStr">
        <is>
          <t>PC-0019</t>
        </is>
      </c>
      <c r="S1478" t="inlineStr">
        <is>
          <t>Gaxeta da porta modelo 02</t>
        </is>
      </c>
      <c r="T1478" t="n">
        <v>1</v>
      </c>
      <c r="U1478" t="n">
        <v>158</v>
      </c>
      <c r="V1478">
        <f>IF(J1478="","",MONTH(J1478))</f>
        <v/>
      </c>
      <c r="W1478">
        <f>IF(J1478="","",YEAR(J1478))</f>
        <v/>
      </c>
      <c r="X1478" t="inlineStr">
        <is>
          <t>CargoMax</t>
        </is>
      </c>
      <c r="Y1478">
        <f>IFERROR(INDEX(Rastreio!$H$2:$H$200,MATCH(X1478&amp;"|"&amp;U1478,Rastreio!$A$2:$A$200,0)),"")</f>
        <v/>
      </c>
    </row>
    <row r="1479">
      <c r="A1479">
        <f>IFERROR(INDEX(STAs!$G$2:$G$61,MATCH(P1479,STAs!$F$2:$F$61,0))&amp;"","")</f>
        <v/>
      </c>
      <c r="B1479" t="n">
        <v>20005001</v>
      </c>
      <c r="C1479" t="inlineStr">
        <is>
          <t>Não</t>
        </is>
      </c>
      <c r="D1479" t="inlineStr">
        <is>
          <t>SP</t>
        </is>
      </c>
      <c r="E1479" t="inlineStr">
        <is>
          <t>SUDESTE SP</t>
        </is>
      </c>
      <c r="F1479" t="inlineStr">
        <is>
          <t>Cliente C - Misturador</t>
        </is>
      </c>
      <c r="G1479" t="inlineStr">
        <is>
          <t>Chopeiras</t>
        </is>
      </c>
      <c r="H1479" s="10" t="n">
        <v>85</v>
      </c>
      <c r="I1479" s="10">
        <f>IFERROR(T1479*H1479,0)</f>
        <v/>
      </c>
      <c r="J1479" s="11" t="n">
        <v>46169</v>
      </c>
      <c r="K1479" s="11" t="n">
        <v>46228</v>
      </c>
      <c r="L1479" t="inlineStr">
        <is>
          <t>Ok. Devolvida</t>
        </is>
      </c>
      <c r="M1479">
        <f>IF(L1479="","",IFERROR(VLOOKUP(L1479,mapGrupoStatus,2,0),"Outros"))</f>
        <v/>
      </c>
      <c r="N1479">
        <f>IF(O1479="","",IF(O1479&lt;=30,"0-30 dias",IF(O1479&lt;=60,"31-60 dias",IF(O1479&lt;=90,"61-90 dias","Mais de 90 dias"))))</f>
        <v/>
      </c>
      <c r="O1479">
        <f>IF(OR(M1479="Pendente",M1479="Em andamento"),IF(J1479="","",TODAY()-J1479),"")</f>
        <v/>
      </c>
      <c r="P1479" t="n">
        <v>10538</v>
      </c>
      <c r="Q1479" t="inlineStr">
        <is>
          <t>Frio Refrigeração (10538)</t>
        </is>
      </c>
      <c r="R1479" t="inlineStr">
        <is>
          <t>PC-0035</t>
        </is>
      </c>
      <c r="S1479" t="inlineStr">
        <is>
          <t>Válvula extratora modelo 01</t>
        </is>
      </c>
      <c r="T1479" t="n">
        <v>1</v>
      </c>
      <c r="U1479" t="n">
        <v>107</v>
      </c>
      <c r="V1479">
        <f>IF(J1479="","",MONTH(J1479))</f>
        <v/>
      </c>
      <c r="W1479">
        <f>IF(J1479="","",YEAR(J1479))</f>
        <v/>
      </c>
      <c r="X1479" t="inlineStr">
        <is>
          <t>LogExpress</t>
        </is>
      </c>
      <c r="Y1479">
        <f>IFERROR(INDEX(Rastreio!$H$2:$H$200,MATCH(X1479&amp;"|"&amp;U1479,Rastreio!$A$2:$A$200,0)),"")</f>
        <v/>
      </c>
    </row>
    <row r="1480">
      <c r="A1480">
        <f>IFERROR(INDEX(STAs!$G$2:$G$61,MATCH(P1480,STAs!$F$2:$F$61,0))&amp;"","")</f>
        <v/>
      </c>
      <c r="B1480" t="n">
        <v>20030232</v>
      </c>
      <c r="C1480" t="inlineStr">
        <is>
          <t>Não</t>
        </is>
      </c>
      <c r="D1480" t="inlineStr">
        <is>
          <t>MG</t>
        </is>
      </c>
      <c r="E1480" t="inlineStr">
        <is>
          <t>SUDESTE MG</t>
        </is>
      </c>
      <c r="F1480" t="inlineStr">
        <is>
          <t>Cliente B - Chopeira</t>
        </is>
      </c>
      <c r="G1480" t="inlineStr">
        <is>
          <t>Refrigeradores</t>
        </is>
      </c>
      <c r="H1480" s="10" t="n">
        <v>70</v>
      </c>
      <c r="I1480" s="10">
        <f>IFERROR(T1480*H1480,0)</f>
        <v/>
      </c>
      <c r="J1480" s="11" t="n">
        <v>46169</v>
      </c>
      <c r="K1480" s="11" t="n"/>
      <c r="L1480" t="inlineStr">
        <is>
          <t>Aguardando Transporte</t>
        </is>
      </c>
      <c r="M1480">
        <f>IF(L1480="","",IFERROR(VLOOKUP(L1480,mapGrupoStatus,2,0),"Outros"))</f>
        <v/>
      </c>
      <c r="N1480">
        <f>IF(O1480="","",IF(O1480&lt;=30,"0-30 dias",IF(O1480&lt;=60,"31-60 dias",IF(O1480&lt;=90,"61-90 dias","Mais de 90 dias"))))</f>
        <v/>
      </c>
      <c r="O1480">
        <f>IF(OR(M1480="Pendente",M1480="Em andamento"),IF(J1480="","",TODAY()-J1480),"")</f>
        <v/>
      </c>
      <c r="P1480" t="n">
        <v>12158</v>
      </c>
      <c r="Q1480" t="inlineStr">
        <is>
          <t>Gelo Serviços (12158)</t>
        </is>
      </c>
      <c r="R1480" t="inlineStr">
        <is>
          <t>PC-0009</t>
        </is>
      </c>
      <c r="S1480" t="inlineStr">
        <is>
          <t>Ventilador modelo 03</t>
        </is>
      </c>
      <c r="T1480" t="n">
        <v>1</v>
      </c>
      <c r="U1480" t="n">
        <v>154</v>
      </c>
      <c r="V1480">
        <f>IF(J1480="","",MONTH(J1480))</f>
        <v/>
      </c>
      <c r="W1480">
        <f>IF(J1480="","",YEAR(J1480))</f>
        <v/>
      </c>
      <c r="X1480" t="inlineStr">
        <is>
          <t>RotaSul</t>
        </is>
      </c>
      <c r="Y1480">
        <f>IFERROR(INDEX(Rastreio!$H$2:$H$200,MATCH(X1480&amp;"|"&amp;U1480,Rastreio!$A$2:$A$200,0)),"")</f>
        <v/>
      </c>
    </row>
    <row r="1481">
      <c r="A1481">
        <f>IFERROR(INDEX(STAs!$G$2:$G$61,MATCH(P1481,STAs!$F$2:$F$61,0))&amp;"","")</f>
        <v/>
      </c>
      <c r="B1481" t="n">
        <v>20032251</v>
      </c>
      <c r="C1481" t="inlineStr">
        <is>
          <t>Não</t>
        </is>
      </c>
      <c r="D1481" t="inlineStr">
        <is>
          <t>PB</t>
        </is>
      </c>
      <c r="E1481" t="inlineStr">
        <is>
          <t>NORDESTE</t>
        </is>
      </c>
      <c r="F1481" t="inlineStr">
        <is>
          <t>Cliente C - Misturador</t>
        </is>
      </c>
      <c r="G1481" t="inlineStr">
        <is>
          <t>Misturadores</t>
        </is>
      </c>
      <c r="H1481" s="10" t="n">
        <v>185</v>
      </c>
      <c r="I1481" s="10">
        <f>IFERROR(T1481*H1481,0)</f>
        <v/>
      </c>
      <c r="J1481" s="11" t="n">
        <v>46169</v>
      </c>
      <c r="K1481" s="11" t="n"/>
      <c r="L1481" t="inlineStr">
        <is>
          <t>NF Vencida</t>
        </is>
      </c>
      <c r="M1481">
        <f>IF(L1481="","",IFERROR(VLOOKUP(L1481,mapGrupoStatus,2,0),"Outros"))</f>
        <v/>
      </c>
      <c r="N1481">
        <f>IF(O1481="","",IF(O1481&lt;=30,"0-30 dias",IF(O1481&lt;=60,"31-60 dias",IF(O1481&lt;=90,"61-90 dias","Mais de 90 dias"))))</f>
        <v/>
      </c>
      <c r="O1481">
        <f>IF(OR(M1481="Pendente",M1481="Em andamento"),IF(J1481="","",TODAY()-J1481),"")</f>
        <v/>
      </c>
      <c r="P1481" t="n">
        <v>11741</v>
      </c>
      <c r="Q1481" t="inlineStr">
        <is>
          <t>Clima Refrigeração (11741)</t>
        </is>
      </c>
      <c r="R1481" t="inlineStr">
        <is>
          <t>PC-0041</t>
        </is>
      </c>
      <c r="S1481" t="inlineStr">
        <is>
          <t>Motor agitador modelo 02</t>
        </is>
      </c>
      <c r="T1481" t="n">
        <v>1</v>
      </c>
      <c r="U1481" t="inlineStr"/>
      <c r="V1481">
        <f>IF(J1481="","",MONTH(J1481))</f>
        <v/>
      </c>
      <c r="W1481">
        <f>IF(J1481="","",YEAR(J1481))</f>
        <v/>
      </c>
      <c r="X1481" t="inlineStr"/>
      <c r="Y1481">
        <f>IFERROR(INDEX(Rastreio!$H$2:$H$200,MATCH(X1481&amp;"|"&amp;U1481,Rastreio!$A$2:$A$200,0)),"")</f>
        <v/>
      </c>
    </row>
    <row r="1482">
      <c r="A1482">
        <f>IFERROR(INDEX(STAs!$G$2:$G$61,MATCH(P1482,STAs!$F$2:$F$61,0))&amp;"","")</f>
        <v/>
      </c>
      <c r="B1482" t="n">
        <v>20001029</v>
      </c>
      <c r="C1482" t="inlineStr">
        <is>
          <t>Não</t>
        </is>
      </c>
      <c r="D1482" t="inlineStr">
        <is>
          <t>MG</t>
        </is>
      </c>
      <c r="E1482" t="inlineStr">
        <is>
          <t>SUDESTE MG</t>
        </is>
      </c>
      <c r="F1482" t="inlineStr">
        <is>
          <t>Cliente A - Refrigerador</t>
        </is>
      </c>
      <c r="G1482" t="inlineStr">
        <is>
          <t>Chopeiras</t>
        </is>
      </c>
      <c r="H1482" s="10" t="n">
        <v>210</v>
      </c>
      <c r="I1482" s="10">
        <f>IFERROR(T1482*H1482,0)</f>
        <v/>
      </c>
      <c r="J1482" s="11" t="n">
        <v>46170</v>
      </c>
      <c r="K1482" s="11" t="n"/>
      <c r="L1482" t="inlineStr">
        <is>
          <t>Debitar do STA</t>
        </is>
      </c>
      <c r="M1482">
        <f>IF(L1482="","",IFERROR(VLOOKUP(L1482,mapGrupoStatus,2,0),"Outros"))</f>
        <v/>
      </c>
      <c r="N1482">
        <f>IF(O1482="","",IF(O1482&lt;=30,"0-30 dias",IF(O1482&lt;=60,"31-60 dias",IF(O1482&lt;=90,"61-90 dias","Mais de 90 dias"))))</f>
        <v/>
      </c>
      <c r="O1482">
        <f>IF(OR(M1482="Pendente",M1482="Em andamento"),IF(J1482="","",TODAY()-J1482),"")</f>
        <v/>
      </c>
      <c r="P1482" t="n">
        <v>12689</v>
      </c>
      <c r="Q1482" t="inlineStr">
        <is>
          <t>Norte Frio Manutenção (12689)</t>
        </is>
      </c>
      <c r="R1482" t="inlineStr">
        <is>
          <t>PC-0029</t>
        </is>
      </c>
      <c r="S1482" t="inlineStr">
        <is>
          <t>Serpentina modelo 01</t>
        </is>
      </c>
      <c r="T1482" t="n">
        <v>1</v>
      </c>
      <c r="U1482" t="inlineStr"/>
      <c r="V1482">
        <f>IF(J1482="","",MONTH(J1482))</f>
        <v/>
      </c>
      <c r="W1482">
        <f>IF(J1482="","",YEAR(J1482))</f>
        <v/>
      </c>
      <c r="X1482" t="inlineStr"/>
      <c r="Y1482">
        <f>IFERROR(INDEX(Rastreio!$H$2:$H$200,MATCH(X1482&amp;"|"&amp;U1482,Rastreio!$A$2:$A$200,0)),"")</f>
        <v/>
      </c>
    </row>
    <row r="1483">
      <c r="A1483">
        <f>IFERROR(INDEX(STAs!$G$2:$G$61,MATCH(P1483,STAs!$F$2:$F$61,0))&amp;"","")</f>
        <v/>
      </c>
      <c r="B1483" t="n">
        <v>20001639</v>
      </c>
      <c r="C1483" t="inlineStr">
        <is>
          <t>Não</t>
        </is>
      </c>
      <c r="D1483" t="inlineStr">
        <is>
          <t>RO</t>
        </is>
      </c>
      <c r="E1483" t="inlineStr">
        <is>
          <t>NORTE</t>
        </is>
      </c>
      <c r="F1483" t="inlineStr">
        <is>
          <t>Cliente B - Chopeira</t>
        </is>
      </c>
      <c r="G1483" t="inlineStr">
        <is>
          <t>Refrigeradores</t>
        </is>
      </c>
      <c r="H1483" s="10" t="n">
        <v>70</v>
      </c>
      <c r="I1483" s="10">
        <f>IFERROR(T1483*H1483,0)</f>
        <v/>
      </c>
      <c r="J1483" s="11" t="n">
        <v>46170</v>
      </c>
      <c r="K1483" s="11" t="n"/>
      <c r="L1483" t="inlineStr">
        <is>
          <t>Não Devolve-Norte</t>
        </is>
      </c>
      <c r="M1483">
        <f>IF(L1483="","",IFERROR(VLOOKUP(L1483,mapGrupoStatus,2,0),"Outros"))</f>
        <v/>
      </c>
      <c r="N1483">
        <f>IF(O1483="","",IF(O1483&lt;=30,"0-30 dias",IF(O1483&lt;=60,"31-60 dias",IF(O1483&lt;=90,"61-90 dias","Mais de 90 dias"))))</f>
        <v/>
      </c>
      <c r="O1483">
        <f>IF(OR(M1483="Pendente",M1483="Em andamento"),IF(J1483="","",TODAY()-J1483),"")</f>
        <v/>
      </c>
      <c r="P1483" t="n">
        <v>10172</v>
      </c>
      <c r="Q1483" t="inlineStr">
        <is>
          <t>Frigo Serviços (10172)</t>
        </is>
      </c>
      <c r="R1483" t="inlineStr">
        <is>
          <t>PC-0009</t>
        </is>
      </c>
      <c r="S1483" t="inlineStr">
        <is>
          <t>Ventilador modelo 03</t>
        </is>
      </c>
      <c r="T1483" t="n">
        <v>1</v>
      </c>
      <c r="U1483" t="inlineStr"/>
      <c r="V1483">
        <f>IF(J1483="","",MONTH(J1483))</f>
        <v/>
      </c>
      <c r="W1483">
        <f>IF(J1483="","",YEAR(J1483))</f>
        <v/>
      </c>
      <c r="X1483" t="inlineStr"/>
      <c r="Y1483">
        <f>IFERROR(INDEX(Rastreio!$H$2:$H$200,MATCH(X1483&amp;"|"&amp;U1483,Rastreio!$A$2:$A$200,0)),"")</f>
        <v/>
      </c>
    </row>
    <row r="1484">
      <c r="A1484">
        <f>IFERROR(INDEX(STAs!$G$2:$G$61,MATCH(P1484,STAs!$F$2:$F$61,0))&amp;"","")</f>
        <v/>
      </c>
      <c r="B1484" t="n">
        <v>20018180</v>
      </c>
      <c r="C1484" t="inlineStr">
        <is>
          <t>Não</t>
        </is>
      </c>
      <c r="D1484" t="inlineStr">
        <is>
          <t>PB</t>
        </is>
      </c>
      <c r="E1484" t="inlineStr">
        <is>
          <t>NORDESTE</t>
        </is>
      </c>
      <c r="F1484" t="inlineStr">
        <is>
          <t>Cliente A - Refrigerador</t>
        </is>
      </c>
      <c r="G1484" t="inlineStr">
        <is>
          <t>Refrigeradores</t>
        </is>
      </c>
      <c r="H1484" s="10" t="n">
        <v>55</v>
      </c>
      <c r="I1484" s="10">
        <f>IFERROR(T1484*H1484,0)</f>
        <v/>
      </c>
      <c r="J1484" s="11" t="n">
        <v>46170</v>
      </c>
      <c r="K1484" s="11" t="n">
        <v>46204</v>
      </c>
      <c r="L1484" t="inlineStr">
        <is>
          <t>Ok. Devolvida</t>
        </is>
      </c>
      <c r="M1484">
        <f>IF(L1484="","",IFERROR(VLOOKUP(L1484,mapGrupoStatus,2,0),"Outros"))</f>
        <v/>
      </c>
      <c r="N1484">
        <f>IF(O1484="","",IF(O1484&lt;=30,"0-30 dias",IF(O1484&lt;=60,"31-60 dias",IF(O1484&lt;=90,"61-90 dias","Mais de 90 dias"))))</f>
        <v/>
      </c>
      <c r="O1484">
        <f>IF(OR(M1484="Pendente",M1484="Em andamento"),IF(J1484="","",TODAY()-J1484),"")</f>
        <v/>
      </c>
      <c r="P1484" t="n">
        <v>11741</v>
      </c>
      <c r="Q1484" t="inlineStr">
        <is>
          <t>Clima Refrigeração (11741)</t>
        </is>
      </c>
      <c r="R1484" t="inlineStr">
        <is>
          <t>PC-0008</t>
        </is>
      </c>
      <c r="S1484" t="inlineStr">
        <is>
          <t>Ventilador modelo 02</t>
        </is>
      </c>
      <c r="T1484" t="n">
        <v>1</v>
      </c>
      <c r="U1484" t="n">
        <v>127</v>
      </c>
      <c r="V1484">
        <f>IF(J1484="","",MONTH(J1484))</f>
        <v/>
      </c>
      <c r="W1484">
        <f>IF(J1484="","",YEAR(J1484))</f>
        <v/>
      </c>
      <c r="X1484" t="inlineStr">
        <is>
          <t>EntregaJá</t>
        </is>
      </c>
      <c r="Y1484">
        <f>IFERROR(INDEX(Rastreio!$H$2:$H$200,MATCH(X1484&amp;"|"&amp;U1484,Rastreio!$A$2:$A$200,0)),"")</f>
        <v/>
      </c>
    </row>
    <row r="1485">
      <c r="A1485">
        <f>IFERROR(INDEX(STAs!$G$2:$G$61,MATCH(P1485,STAs!$F$2:$F$61,0))&amp;"","")</f>
        <v/>
      </c>
      <c r="B1485" t="n">
        <v>20002760</v>
      </c>
      <c r="C1485" t="inlineStr">
        <is>
          <t>Não</t>
        </is>
      </c>
      <c r="D1485" t="inlineStr">
        <is>
          <t>MS</t>
        </is>
      </c>
      <c r="E1485" t="inlineStr">
        <is>
          <t>CENTRO OESTE</t>
        </is>
      </c>
      <c r="F1485" t="inlineStr">
        <is>
          <t>Cliente A - Refrigerador</t>
        </is>
      </c>
      <c r="G1485" t="inlineStr">
        <is>
          <t>Misturadores</t>
        </is>
      </c>
      <c r="H1485" s="10" t="n">
        <v>50</v>
      </c>
      <c r="I1485" s="10">
        <f>IFERROR(T1485*H1485,0)</f>
        <v/>
      </c>
      <c r="J1485" s="11" t="n">
        <v>46171</v>
      </c>
      <c r="K1485" s="11" t="n">
        <v>46225</v>
      </c>
      <c r="L1485" t="inlineStr">
        <is>
          <t>Ok. Devolvida</t>
        </is>
      </c>
      <c r="M1485">
        <f>IF(L1485="","",IFERROR(VLOOKUP(L1485,mapGrupoStatus,2,0),"Outros"))</f>
        <v/>
      </c>
      <c r="N1485">
        <f>IF(O1485="","",IF(O1485&lt;=30,"0-30 dias",IF(O1485&lt;=60,"31-60 dias",IF(O1485&lt;=90,"61-90 dias","Mais de 90 dias"))))</f>
        <v/>
      </c>
      <c r="O1485">
        <f>IF(OR(M1485="Pendente",M1485="Em andamento"),IF(J1485="","",TODAY()-J1485),"")</f>
        <v/>
      </c>
      <c r="P1485" t="n">
        <v>11726</v>
      </c>
      <c r="Q1485" t="inlineStr">
        <is>
          <t>Norte Frio Refrigeração (11726)</t>
        </is>
      </c>
      <c r="R1485" t="inlineStr">
        <is>
          <t>PC-0047</t>
        </is>
      </c>
      <c r="S1485" t="inlineStr">
        <is>
          <t>Sensor de nível modelo 03</t>
        </is>
      </c>
      <c r="T1485" t="n">
        <v>1</v>
      </c>
      <c r="U1485" t="n">
        <v>108</v>
      </c>
      <c r="V1485">
        <f>IF(J1485="","",MONTH(J1485))</f>
        <v/>
      </c>
      <c r="W1485">
        <f>IF(J1485="","",YEAR(J1485))</f>
        <v/>
      </c>
      <c r="X1485" t="inlineStr">
        <is>
          <t>ViaCargo</t>
        </is>
      </c>
      <c r="Y1485">
        <f>IFERROR(INDEX(Rastreio!$H$2:$H$200,MATCH(X1485&amp;"|"&amp;U1485,Rastreio!$A$2:$A$200,0)),"")</f>
        <v/>
      </c>
    </row>
    <row r="1486">
      <c r="A1486">
        <f>IFERROR(INDEX(STAs!$G$2:$G$61,MATCH(P1486,STAs!$F$2:$F$61,0))&amp;"","")</f>
        <v/>
      </c>
      <c r="B1486" t="n">
        <v>20006519</v>
      </c>
      <c r="C1486" t="inlineStr">
        <is>
          <t>Não</t>
        </is>
      </c>
      <c r="D1486" t="inlineStr">
        <is>
          <t>PA</t>
        </is>
      </c>
      <c r="E1486" t="inlineStr">
        <is>
          <t>NORTE</t>
        </is>
      </c>
      <c r="F1486" t="inlineStr">
        <is>
          <t>Cliente B - Chopeira</t>
        </is>
      </c>
      <c r="G1486" t="inlineStr">
        <is>
          <t>Misturadores</t>
        </is>
      </c>
      <c r="H1486" s="10" t="n">
        <v>255</v>
      </c>
      <c r="I1486" s="10">
        <f>IFERROR(T1486*H1486,0)</f>
        <v/>
      </c>
      <c r="J1486" s="11" t="n">
        <v>46171</v>
      </c>
      <c r="K1486" s="11" t="n"/>
      <c r="L1486" t="inlineStr">
        <is>
          <t>Não Devolve-Norte</t>
        </is>
      </c>
      <c r="M1486">
        <f>IF(L1486="","",IFERROR(VLOOKUP(L1486,mapGrupoStatus,2,0),"Outros"))</f>
        <v/>
      </c>
      <c r="N1486">
        <f>IF(O1486="","",IF(O1486&lt;=30,"0-30 dias",IF(O1486&lt;=60,"31-60 dias",IF(O1486&lt;=90,"61-90 dias","Mais de 90 dias"))))</f>
        <v/>
      </c>
      <c r="O1486">
        <f>IF(OR(M1486="Pendente",M1486="Em andamento"),IF(J1486="","",TODAY()-J1486),"")</f>
        <v/>
      </c>
      <c r="P1486" t="n">
        <v>11986</v>
      </c>
      <c r="Q1486" t="inlineStr">
        <is>
          <t>Polar Serviços (11986)</t>
        </is>
      </c>
      <c r="R1486" t="inlineStr">
        <is>
          <t>PC-0039</t>
        </is>
      </c>
      <c r="S1486" t="inlineStr">
        <is>
          <t>Bomba de recirculação modelo 03</t>
        </is>
      </c>
      <c r="T1486" t="n">
        <v>2</v>
      </c>
      <c r="U1486" t="inlineStr"/>
      <c r="V1486">
        <f>IF(J1486="","",MONTH(J1486))</f>
        <v/>
      </c>
      <c r="W1486">
        <f>IF(J1486="","",YEAR(J1486))</f>
        <v/>
      </c>
      <c r="X1486" t="inlineStr"/>
      <c r="Y1486">
        <f>IFERROR(INDEX(Rastreio!$H$2:$H$200,MATCH(X1486&amp;"|"&amp;U1486,Rastreio!$A$2:$A$200,0)),"")</f>
        <v/>
      </c>
    </row>
    <row r="1487">
      <c r="A1487">
        <f>IFERROR(INDEX(STAs!$G$2:$G$61,MATCH(P1487,STAs!$F$2:$F$61,0))&amp;"","")</f>
        <v/>
      </c>
      <c r="B1487" t="n">
        <v>20024390</v>
      </c>
      <c r="C1487" t="inlineStr">
        <is>
          <t>Não</t>
        </is>
      </c>
      <c r="D1487" t="inlineStr">
        <is>
          <t>BA</t>
        </is>
      </c>
      <c r="E1487" t="inlineStr">
        <is>
          <t>NORDESTE</t>
        </is>
      </c>
      <c r="F1487" t="inlineStr">
        <is>
          <t>Cliente A - Refrigerador</t>
        </is>
      </c>
      <c r="G1487" t="inlineStr">
        <is>
          <t>Refrigeradores</t>
        </is>
      </c>
      <c r="H1487" s="10" t="n">
        <v>35</v>
      </c>
      <c r="I1487" s="10">
        <f>IFERROR(T1487*H1487,0)</f>
        <v/>
      </c>
      <c r="J1487" s="11" t="n">
        <v>46171</v>
      </c>
      <c r="K1487" s="11" t="n"/>
      <c r="L1487" t="inlineStr">
        <is>
          <t>Em transporte</t>
        </is>
      </c>
      <c r="M1487">
        <f>IF(L1487="","",IFERROR(VLOOKUP(L1487,mapGrupoStatus,2,0),"Outros"))</f>
        <v/>
      </c>
      <c r="N1487">
        <f>IF(O1487="","",IF(O1487&lt;=30,"0-30 dias",IF(O1487&lt;=60,"31-60 dias",IF(O1487&lt;=90,"61-90 dias","Mais de 90 dias"))))</f>
        <v/>
      </c>
      <c r="O1487">
        <f>IF(OR(M1487="Pendente",M1487="Em andamento"),IF(J1487="","",TODAY()-J1487),"")</f>
        <v/>
      </c>
      <c r="P1487" t="n">
        <v>12194</v>
      </c>
      <c r="Q1487" t="inlineStr">
        <is>
          <t>Polar &amp; Cia (12194)</t>
        </is>
      </c>
      <c r="R1487" t="inlineStr">
        <is>
          <t>PC-0024</t>
        </is>
      </c>
      <c r="S1487" t="inlineStr">
        <is>
          <t>Relé de partida modelo 02</t>
        </is>
      </c>
      <c r="T1487" t="n">
        <v>1</v>
      </c>
      <c r="U1487" t="n">
        <v>139</v>
      </c>
      <c r="V1487">
        <f>IF(J1487="","",MONTH(J1487))</f>
        <v/>
      </c>
      <c r="W1487">
        <f>IF(J1487="","",YEAR(J1487))</f>
        <v/>
      </c>
      <c r="X1487" t="inlineStr">
        <is>
          <t>TransNorte</t>
        </is>
      </c>
      <c r="Y1487">
        <f>IFERROR(INDEX(Rastreio!$H$2:$H$200,MATCH(X1487&amp;"|"&amp;U1487,Rastreio!$A$2:$A$200,0)),"")</f>
        <v/>
      </c>
    </row>
    <row r="1488">
      <c r="A1488">
        <f>IFERROR(INDEX(STAs!$G$2:$G$61,MATCH(P1488,STAs!$F$2:$F$61,0))&amp;"","")</f>
        <v/>
      </c>
      <c r="B1488" t="n">
        <v>20025040</v>
      </c>
      <c r="C1488" t="inlineStr">
        <is>
          <t>Não</t>
        </is>
      </c>
      <c r="D1488" t="inlineStr">
        <is>
          <t>SP</t>
        </is>
      </c>
      <c r="E1488" t="inlineStr">
        <is>
          <t>SUDESTE SP</t>
        </is>
      </c>
      <c r="F1488" t="inlineStr">
        <is>
          <t>Cliente C - Misturador</t>
        </is>
      </c>
      <c r="G1488" t="inlineStr">
        <is>
          <t>Chopeiras</t>
        </is>
      </c>
      <c r="H1488" s="10" t="n">
        <v>205</v>
      </c>
      <c r="I1488" s="10">
        <f>IFERROR(T1488*H1488,0)</f>
        <v/>
      </c>
      <c r="J1488" s="11" t="n">
        <v>46171</v>
      </c>
      <c r="K1488" s="11" t="n"/>
      <c r="L1488" t="inlineStr">
        <is>
          <t>Em andamento</t>
        </is>
      </c>
      <c r="M1488">
        <f>IF(L1488="","",IFERROR(VLOOKUP(L1488,mapGrupoStatus,2,0),"Outros"))</f>
        <v/>
      </c>
      <c r="N1488">
        <f>IF(O1488="","",IF(O1488&lt;=30,"0-30 dias",IF(O1488&lt;=60,"31-60 dias",IF(O1488&lt;=90,"61-90 dias","Mais de 90 dias"))))</f>
        <v/>
      </c>
      <c r="O1488">
        <f>IF(OR(M1488="Pendente",M1488="Em andamento"),IF(J1488="","",TODAY()-J1488),"")</f>
        <v/>
      </c>
      <c r="P1488" t="n">
        <v>10538</v>
      </c>
      <c r="Q1488" t="inlineStr">
        <is>
          <t>Frio Refrigeração (10538)</t>
        </is>
      </c>
      <c r="R1488" t="inlineStr">
        <is>
          <t>PC-0031</t>
        </is>
      </c>
      <c r="S1488" t="inlineStr">
        <is>
          <t>Serpentina modelo 03</t>
        </is>
      </c>
      <c r="T1488" t="n">
        <v>1</v>
      </c>
      <c r="U1488" t="n">
        <v>140</v>
      </c>
      <c r="V1488">
        <f>IF(J1488="","",MONTH(J1488))</f>
        <v/>
      </c>
      <c r="W1488">
        <f>IF(J1488="","",YEAR(J1488))</f>
        <v/>
      </c>
      <c r="X1488" t="inlineStr">
        <is>
          <t>ViaCargo</t>
        </is>
      </c>
      <c r="Y1488">
        <f>IFERROR(INDEX(Rastreio!$H$2:$H$200,MATCH(X1488&amp;"|"&amp;U1488,Rastreio!$A$2:$A$200,0)),"")</f>
        <v/>
      </c>
    </row>
    <row r="1489">
      <c r="A1489">
        <f>IFERROR(INDEX(STAs!$G$2:$G$61,MATCH(P1489,STAs!$F$2:$F$61,0))&amp;"","")</f>
        <v/>
      </c>
      <c r="B1489" t="n">
        <v>20029013</v>
      </c>
      <c r="C1489" t="inlineStr">
        <is>
          <t>Não</t>
        </is>
      </c>
      <c r="D1489" t="inlineStr">
        <is>
          <t>SP</t>
        </is>
      </c>
      <c r="E1489" t="inlineStr">
        <is>
          <t>SUDESTE SP</t>
        </is>
      </c>
      <c r="F1489" t="inlineStr">
        <is>
          <t>Cliente C - Misturador</t>
        </is>
      </c>
      <c r="G1489" t="inlineStr">
        <is>
          <t>Chopeiras</t>
        </is>
      </c>
      <c r="H1489" s="10" t="n">
        <v>85</v>
      </c>
      <c r="I1489" s="10">
        <f>IFERROR(T1489*H1489,0)</f>
        <v/>
      </c>
      <c r="J1489" s="11" t="n">
        <v>46171</v>
      </c>
      <c r="K1489" s="11" t="n"/>
      <c r="L1489" t="inlineStr">
        <is>
          <t>Aguardando devolução</t>
        </is>
      </c>
      <c r="M1489">
        <f>IF(L1489="","",IFERROR(VLOOKUP(L1489,mapGrupoStatus,2,0),"Outros"))</f>
        <v/>
      </c>
      <c r="N1489">
        <f>IF(O1489="","",IF(O1489&lt;=30,"0-30 dias",IF(O1489&lt;=60,"31-60 dias",IF(O1489&lt;=90,"61-90 dias","Mais de 90 dias"))))</f>
        <v/>
      </c>
      <c r="O1489">
        <f>IF(OR(M1489="Pendente",M1489="Em andamento"),IF(J1489="","",TODAY()-J1489),"")</f>
        <v/>
      </c>
      <c r="P1489" t="n">
        <v>11365</v>
      </c>
      <c r="Q1489" t="inlineStr">
        <is>
          <t>Ártico Express (11365)</t>
        </is>
      </c>
      <c r="R1489" t="inlineStr">
        <is>
          <t>PC-0035</t>
        </is>
      </c>
      <c r="S1489" t="inlineStr">
        <is>
          <t>Válvula extratora modelo 01</t>
        </is>
      </c>
      <c r="T1489" t="n">
        <v>1</v>
      </c>
      <c r="U1489" t="inlineStr"/>
      <c r="V1489">
        <f>IF(J1489="","",MONTH(J1489))</f>
        <v/>
      </c>
      <c r="W1489">
        <f>IF(J1489="","",YEAR(J1489))</f>
        <v/>
      </c>
      <c r="X1489" t="inlineStr"/>
      <c r="Y1489">
        <f>IFERROR(INDEX(Rastreio!$H$2:$H$200,MATCH(X1489&amp;"|"&amp;U1489,Rastreio!$A$2:$A$200,0)),"")</f>
        <v/>
      </c>
    </row>
    <row r="1490">
      <c r="A1490">
        <f>IFERROR(INDEX(STAs!$G$2:$G$61,MATCH(P1490,STAs!$F$2:$F$61,0))&amp;"","")</f>
        <v/>
      </c>
      <c r="B1490" t="n">
        <v>20033071</v>
      </c>
      <c r="C1490" t="inlineStr">
        <is>
          <t>Não</t>
        </is>
      </c>
      <c r="D1490" t="inlineStr">
        <is>
          <t>PB</t>
        </is>
      </c>
      <c r="E1490" t="inlineStr">
        <is>
          <t>NORDESTE</t>
        </is>
      </c>
      <c r="F1490" t="inlineStr">
        <is>
          <t>Cliente C - Misturador</t>
        </is>
      </c>
      <c r="G1490" t="inlineStr">
        <is>
          <t>Refrigeradores</t>
        </is>
      </c>
      <c r="H1490" s="10" t="n">
        <v>155</v>
      </c>
      <c r="I1490" s="10">
        <f>IFERROR(T1490*H1490,0)</f>
        <v/>
      </c>
      <c r="J1490" s="11" t="n">
        <v>46171</v>
      </c>
      <c r="K1490" s="11" t="n"/>
      <c r="L1490" t="inlineStr">
        <is>
          <t>Aguardando devolução</t>
        </is>
      </c>
      <c r="M1490">
        <f>IF(L1490="","",IFERROR(VLOOKUP(L1490,mapGrupoStatus,2,0),"Outros"))</f>
        <v/>
      </c>
      <c r="N1490">
        <f>IF(O1490="","",IF(O1490&lt;=30,"0-30 dias",IF(O1490&lt;=60,"31-60 dias",IF(O1490&lt;=90,"61-90 dias","Mais de 90 dias"))))</f>
        <v/>
      </c>
      <c r="O1490">
        <f>IF(OR(M1490="Pendente",M1490="Em andamento"),IF(J1490="","",TODAY()-J1490),"")</f>
        <v/>
      </c>
      <c r="P1490" t="n">
        <v>11741</v>
      </c>
      <c r="Q1490" t="inlineStr">
        <is>
          <t>Clima Refrigeração (11741)</t>
        </is>
      </c>
      <c r="R1490" t="inlineStr">
        <is>
          <t>PC-0022</t>
        </is>
      </c>
      <c r="S1490" t="inlineStr">
        <is>
          <t>Controlador digital modelo 02</t>
        </is>
      </c>
      <c r="T1490" t="n">
        <v>2</v>
      </c>
      <c r="U1490" t="inlineStr"/>
      <c r="V1490">
        <f>IF(J1490="","",MONTH(J1490))</f>
        <v/>
      </c>
      <c r="W1490">
        <f>IF(J1490="","",YEAR(J1490))</f>
        <v/>
      </c>
      <c r="X1490" t="inlineStr"/>
      <c r="Y1490">
        <f>IFERROR(INDEX(Rastreio!$H$2:$H$200,MATCH(X1490&amp;"|"&amp;U1490,Rastreio!$A$2:$A$200,0)),"")</f>
        <v/>
      </c>
    </row>
    <row r="1491">
      <c r="A1491">
        <f>IFERROR(INDEX(STAs!$G$2:$G$61,MATCH(P1491,STAs!$F$2:$F$61,0))&amp;"","")</f>
        <v/>
      </c>
      <c r="B1491" t="n">
        <v>20036766</v>
      </c>
      <c r="C1491" t="inlineStr">
        <is>
          <t>Não</t>
        </is>
      </c>
      <c r="D1491" t="inlineStr">
        <is>
          <t>PR</t>
        </is>
      </c>
      <c r="E1491" t="inlineStr">
        <is>
          <t>SUL</t>
        </is>
      </c>
      <c r="F1491" t="inlineStr">
        <is>
          <t>Cliente B - Chopeira</t>
        </is>
      </c>
      <c r="G1491" t="inlineStr">
        <is>
          <t>Refrigeradores</t>
        </is>
      </c>
      <c r="H1491" s="10" t="n">
        <v>155</v>
      </c>
      <c r="I1491" s="10">
        <f>IFERROR(T1491*H1491,0)</f>
        <v/>
      </c>
      <c r="J1491" s="11" t="n">
        <v>46171</v>
      </c>
      <c r="K1491" s="11" t="n">
        <v>46214</v>
      </c>
      <c r="L1491" t="inlineStr">
        <is>
          <t>Ok. Devolvida</t>
        </is>
      </c>
      <c r="M1491">
        <f>IF(L1491="","",IFERROR(VLOOKUP(L1491,mapGrupoStatus,2,0),"Outros"))</f>
        <v/>
      </c>
      <c r="N1491">
        <f>IF(O1491="","",IF(O1491&lt;=30,"0-30 dias",IF(O1491&lt;=60,"31-60 dias",IF(O1491&lt;=90,"61-90 dias","Mais de 90 dias"))))</f>
        <v/>
      </c>
      <c r="O1491">
        <f>IF(OR(M1491="Pendente",M1491="Em andamento"),IF(J1491="","",TODAY()-J1491),"")</f>
        <v/>
      </c>
      <c r="P1491" t="n">
        <v>11898</v>
      </c>
      <c r="Q1491" t="inlineStr">
        <is>
          <t>Refrigel Express (11898)</t>
        </is>
      </c>
      <c r="R1491" t="inlineStr">
        <is>
          <t>PC-0021</t>
        </is>
      </c>
      <c r="S1491" t="inlineStr">
        <is>
          <t>Controlador digital modelo 01</t>
        </is>
      </c>
      <c r="T1491" t="n">
        <v>1</v>
      </c>
      <c r="U1491" t="n">
        <v>152</v>
      </c>
      <c r="V1491">
        <f>IF(J1491="","",MONTH(J1491))</f>
        <v/>
      </c>
      <c r="W1491">
        <f>IF(J1491="","",YEAR(J1491))</f>
        <v/>
      </c>
      <c r="X1491" t="inlineStr">
        <is>
          <t>EntregaJá</t>
        </is>
      </c>
      <c r="Y1491">
        <f>IFERROR(INDEX(Rastreio!$H$2:$H$200,MATCH(X1491&amp;"|"&amp;U1491,Rastreio!$A$2:$A$200,0)),"")</f>
        <v/>
      </c>
    </row>
    <row r="1492">
      <c r="A1492">
        <f>IFERROR(INDEX(STAs!$G$2:$G$61,MATCH(P1492,STAs!$F$2:$F$61,0))&amp;"","")</f>
        <v/>
      </c>
      <c r="B1492" t="n">
        <v>20012121</v>
      </c>
      <c r="C1492" t="inlineStr">
        <is>
          <t>Não</t>
        </is>
      </c>
      <c r="D1492" t="inlineStr">
        <is>
          <t>MS</t>
        </is>
      </c>
      <c r="E1492" t="inlineStr">
        <is>
          <t>CENTRO OESTE</t>
        </is>
      </c>
      <c r="F1492" t="inlineStr">
        <is>
          <t>Cliente B - Chopeira</t>
        </is>
      </c>
      <c r="G1492" t="inlineStr">
        <is>
          <t>Refrigeradores</t>
        </is>
      </c>
      <c r="H1492" s="10" t="n">
        <v>190</v>
      </c>
      <c r="I1492" s="10">
        <f>IFERROR(T1492*H1492,0)</f>
        <v/>
      </c>
      <c r="J1492" s="11" t="n">
        <v>46172</v>
      </c>
      <c r="K1492" s="11" t="n">
        <v>46195</v>
      </c>
      <c r="L1492" t="inlineStr">
        <is>
          <t>Ok. Devolvida</t>
        </is>
      </c>
      <c r="M1492">
        <f>IF(L1492="","",IFERROR(VLOOKUP(L1492,mapGrupoStatus,2,0),"Outros"))</f>
        <v/>
      </c>
      <c r="N1492">
        <f>IF(O1492="","",IF(O1492&lt;=30,"0-30 dias",IF(O1492&lt;=60,"31-60 dias",IF(O1492&lt;=90,"61-90 dias","Mais de 90 dias"))))</f>
        <v/>
      </c>
      <c r="O1492">
        <f>IF(OR(M1492="Pendente",M1492="Em andamento"),IF(J1492="","",TODAY()-J1492),"")</f>
        <v/>
      </c>
      <c r="P1492" t="n">
        <v>11726</v>
      </c>
      <c r="Q1492" t="inlineStr">
        <is>
          <t>Norte Frio Refrigeração (11726)</t>
        </is>
      </c>
      <c r="R1492" t="inlineStr">
        <is>
          <t>PC-0011</t>
        </is>
      </c>
      <c r="S1492" t="inlineStr">
        <is>
          <t>Placa eletrônica modelo 01</t>
        </is>
      </c>
      <c r="T1492" t="n">
        <v>1</v>
      </c>
      <c r="U1492" t="n">
        <v>125</v>
      </c>
      <c r="V1492">
        <f>IF(J1492="","",MONTH(J1492))</f>
        <v/>
      </c>
      <c r="W1492">
        <f>IF(J1492="","",YEAR(J1492))</f>
        <v/>
      </c>
      <c r="X1492" t="inlineStr">
        <is>
          <t>ViaCargo</t>
        </is>
      </c>
      <c r="Y1492">
        <f>IFERROR(INDEX(Rastreio!$H$2:$H$200,MATCH(X1492&amp;"|"&amp;U1492,Rastreio!$A$2:$A$200,0)),"")</f>
        <v/>
      </c>
    </row>
    <row r="1493">
      <c r="A1493">
        <f>IFERROR(INDEX(STAs!$G$2:$G$61,MATCH(P1493,STAs!$F$2:$F$61,0))&amp;"","")</f>
        <v/>
      </c>
      <c r="B1493" t="n">
        <v>20032906</v>
      </c>
      <c r="C1493" t="inlineStr">
        <is>
          <t>Não</t>
        </is>
      </c>
      <c r="D1493" t="inlineStr">
        <is>
          <t>RO</t>
        </is>
      </c>
      <c r="E1493" t="inlineStr">
        <is>
          <t>NORTE</t>
        </is>
      </c>
      <c r="F1493" t="inlineStr">
        <is>
          <t>Cliente A - Refrigerador</t>
        </is>
      </c>
      <c r="G1493" t="inlineStr">
        <is>
          <t>Refrigeradores</t>
        </is>
      </c>
      <c r="H1493" s="10" t="n">
        <v>30</v>
      </c>
      <c r="I1493" s="10">
        <f>IFERROR(T1493*H1493,0)</f>
        <v/>
      </c>
      <c r="J1493" s="11" t="n">
        <v>46172</v>
      </c>
      <c r="K1493" s="11" t="n"/>
      <c r="L1493" t="inlineStr">
        <is>
          <t>Aguardando devolução</t>
        </is>
      </c>
      <c r="M1493">
        <f>IF(L1493="","",IFERROR(VLOOKUP(L1493,mapGrupoStatus,2,0),"Outros"))</f>
        <v/>
      </c>
      <c r="N1493">
        <f>IF(O1493="","",IF(O1493&lt;=30,"0-30 dias",IF(O1493&lt;=60,"31-60 dias",IF(O1493&lt;=90,"61-90 dias","Mais de 90 dias"))))</f>
        <v/>
      </c>
      <c r="O1493">
        <f>IF(OR(M1493="Pendente",M1493="Em andamento"),IF(J1493="","",TODAY()-J1493),"")</f>
        <v/>
      </c>
      <c r="P1493" t="n">
        <v>12019</v>
      </c>
      <c r="Q1493" t="inlineStr">
        <is>
          <t>Ártico Serviços (12019)</t>
        </is>
      </c>
      <c r="R1493" t="inlineStr">
        <is>
          <t>PC-0017</t>
        </is>
      </c>
      <c r="S1493" t="inlineStr">
        <is>
          <t>Filtro secador modelo 03</t>
        </is>
      </c>
      <c r="T1493" t="n">
        <v>1</v>
      </c>
      <c r="U1493" t="inlineStr"/>
      <c r="V1493">
        <f>IF(J1493="","",MONTH(J1493))</f>
        <v/>
      </c>
      <c r="W1493">
        <f>IF(J1493="","",YEAR(J1493))</f>
        <v/>
      </c>
      <c r="X1493" t="inlineStr"/>
      <c r="Y1493">
        <f>IFERROR(INDEX(Rastreio!$H$2:$H$200,MATCH(X1493&amp;"|"&amp;U1493,Rastreio!$A$2:$A$200,0)),"")</f>
        <v/>
      </c>
    </row>
    <row r="1494">
      <c r="A1494">
        <f>IFERROR(INDEX(STAs!$G$2:$G$61,MATCH(P1494,STAs!$F$2:$F$61,0))&amp;"","")</f>
        <v/>
      </c>
      <c r="B1494" t="n">
        <v>20028638</v>
      </c>
      <c r="C1494" t="inlineStr">
        <is>
          <t>Não</t>
        </is>
      </c>
      <c r="D1494" t="inlineStr">
        <is>
          <t>GO</t>
        </is>
      </c>
      <c r="E1494" t="inlineStr">
        <is>
          <t>CENTRO OESTE</t>
        </is>
      </c>
      <c r="F1494" t="inlineStr">
        <is>
          <t>Cliente B - Chopeira</t>
        </is>
      </c>
      <c r="G1494" t="inlineStr">
        <is>
          <t>Refrigeradores</t>
        </is>
      </c>
      <c r="H1494" s="10" t="n">
        <v>175</v>
      </c>
      <c r="I1494" s="10">
        <f>IFERROR(T1494*H1494,0)</f>
        <v/>
      </c>
      <c r="J1494" s="11" t="n">
        <v>46173</v>
      </c>
      <c r="K1494" s="11" t="n">
        <v>46197</v>
      </c>
      <c r="L1494" t="inlineStr">
        <is>
          <t>Ok. Devolvida</t>
        </is>
      </c>
      <c r="M1494">
        <f>IF(L1494="","",IFERROR(VLOOKUP(L1494,mapGrupoStatus,2,0),"Outros"))</f>
        <v/>
      </c>
      <c r="N1494">
        <f>IF(O1494="","",IF(O1494&lt;=30,"0-30 dias",IF(O1494&lt;=60,"31-60 dias",IF(O1494&lt;=90,"61-90 dias","Mais de 90 dias"))))</f>
        <v/>
      </c>
      <c r="O1494">
        <f>IF(OR(M1494="Pendente",M1494="Em andamento"),IF(J1494="","",TODAY()-J1494),"")</f>
        <v/>
      </c>
      <c r="P1494" t="n">
        <v>11293</v>
      </c>
      <c r="Q1494" t="inlineStr">
        <is>
          <t>Assistência Técnica Ltda (11293)</t>
        </is>
      </c>
      <c r="R1494" t="inlineStr">
        <is>
          <t>PC-0012</t>
        </is>
      </c>
      <c r="S1494" t="inlineStr">
        <is>
          <t>Placa eletrônica modelo 02</t>
        </is>
      </c>
      <c r="T1494" t="n">
        <v>2</v>
      </c>
      <c r="U1494" t="n">
        <v>153</v>
      </c>
      <c r="V1494">
        <f>IF(J1494="","",MONTH(J1494))</f>
        <v/>
      </c>
      <c r="W1494">
        <f>IF(J1494="","",YEAR(J1494))</f>
        <v/>
      </c>
      <c r="X1494" t="inlineStr">
        <is>
          <t>LogExpress</t>
        </is>
      </c>
      <c r="Y1494">
        <f>IFERROR(INDEX(Rastreio!$H$2:$H$200,MATCH(X1494&amp;"|"&amp;U1494,Rastreio!$A$2:$A$200,0)),"")</f>
        <v/>
      </c>
    </row>
    <row r="1495">
      <c r="A1495">
        <f>IFERROR(INDEX(STAs!$G$2:$G$61,MATCH(P1495,STAs!$F$2:$F$61,0))&amp;"","")</f>
        <v/>
      </c>
      <c r="B1495" t="n">
        <v>20031789</v>
      </c>
      <c r="C1495" t="inlineStr">
        <is>
          <t>Não</t>
        </is>
      </c>
      <c r="D1495" t="inlineStr">
        <is>
          <t>RJ</t>
        </is>
      </c>
      <c r="E1495" t="inlineStr">
        <is>
          <t>SUDESTE RJ e ES</t>
        </is>
      </c>
      <c r="F1495" t="inlineStr">
        <is>
          <t>Cliente B - Chopeira</t>
        </is>
      </c>
      <c r="G1495" t="inlineStr">
        <is>
          <t>Chopeiras</t>
        </is>
      </c>
      <c r="H1495" s="10" t="n">
        <v>115</v>
      </c>
      <c r="I1495" s="10">
        <f>IFERROR(T1495*H1495,0)</f>
        <v/>
      </c>
      <c r="J1495" s="11" t="n">
        <v>46173</v>
      </c>
      <c r="K1495" s="11" t="n">
        <v>46232</v>
      </c>
      <c r="L1495" t="inlineStr">
        <is>
          <t>Ok. Devolvida</t>
        </is>
      </c>
      <c r="M1495">
        <f>IF(L1495="","",IFERROR(VLOOKUP(L1495,mapGrupoStatus,2,0),"Outros"))</f>
        <v/>
      </c>
      <c r="N1495">
        <f>IF(O1495="","",IF(O1495&lt;=30,"0-30 dias",IF(O1495&lt;=60,"31-60 dias",IF(O1495&lt;=90,"61-90 dias","Mais de 90 dias"))))</f>
        <v/>
      </c>
      <c r="O1495">
        <f>IF(OR(M1495="Pendente",M1495="Em andamento"),IF(J1495="","",TODAY()-J1495),"")</f>
        <v/>
      </c>
      <c r="P1495" t="n">
        <v>11059</v>
      </c>
      <c r="Q1495" t="inlineStr">
        <is>
          <t>Frio Ltda (11059)</t>
        </is>
      </c>
      <c r="R1495" t="inlineStr">
        <is>
          <t>PC-0033</t>
        </is>
      </c>
      <c r="S1495" t="inlineStr">
        <is>
          <t>Regulador de pressão modelo 02</t>
        </is>
      </c>
      <c r="T1495" t="n">
        <v>1</v>
      </c>
      <c r="U1495" t="n">
        <v>155</v>
      </c>
      <c r="V1495">
        <f>IF(J1495="","",MONTH(J1495))</f>
        <v/>
      </c>
      <c r="W1495">
        <f>IF(J1495="","",YEAR(J1495))</f>
        <v/>
      </c>
      <c r="X1495" t="inlineStr">
        <is>
          <t>RotaSul</t>
        </is>
      </c>
      <c r="Y1495">
        <f>IFERROR(INDEX(Rastreio!$H$2:$H$200,MATCH(X1495&amp;"|"&amp;U1495,Rastreio!$A$2:$A$200,0)),"")</f>
        <v/>
      </c>
    </row>
    <row r="1496">
      <c r="A1496">
        <f>IFERROR(INDEX(STAs!$G$2:$G$61,MATCH(P1496,STAs!$F$2:$F$61,0))&amp;"","")</f>
        <v/>
      </c>
      <c r="B1496" t="n">
        <v>20033013</v>
      </c>
      <c r="C1496" t="inlineStr">
        <is>
          <t>Não</t>
        </is>
      </c>
      <c r="D1496" t="inlineStr">
        <is>
          <t>MS</t>
        </is>
      </c>
      <c r="E1496" t="inlineStr">
        <is>
          <t>CENTRO OESTE</t>
        </is>
      </c>
      <c r="F1496" t="inlineStr">
        <is>
          <t>Cliente B - Chopeira</t>
        </is>
      </c>
      <c r="G1496" t="inlineStr">
        <is>
          <t>Chopeiras</t>
        </is>
      </c>
      <c r="H1496" s="10" t="n">
        <v>85</v>
      </c>
      <c r="I1496" s="10">
        <f>IFERROR(T1496*H1496,0)</f>
        <v/>
      </c>
      <c r="J1496" s="11" t="n">
        <v>46173</v>
      </c>
      <c r="K1496" s="11" t="n">
        <v>46210</v>
      </c>
      <c r="L1496" t="inlineStr">
        <is>
          <t>Ok. Devolvida</t>
        </is>
      </c>
      <c r="M1496">
        <f>IF(L1496="","",IFERROR(VLOOKUP(L1496,mapGrupoStatus,2,0),"Outros"))</f>
        <v/>
      </c>
      <c r="N1496">
        <f>IF(O1496="","",IF(O1496&lt;=30,"0-30 dias",IF(O1496&lt;=60,"31-60 dias",IF(O1496&lt;=90,"61-90 dias","Mais de 90 dias"))))</f>
        <v/>
      </c>
      <c r="O1496">
        <f>IF(OR(M1496="Pendente",M1496="Em andamento"),IF(J1496="","",TODAY()-J1496),"")</f>
        <v/>
      </c>
      <c r="P1496" t="n">
        <v>10302</v>
      </c>
      <c r="Q1496" t="inlineStr">
        <is>
          <t>Ice Tech Express (10302)</t>
        </is>
      </c>
      <c r="R1496" t="inlineStr">
        <is>
          <t>PC-0036</t>
        </is>
      </c>
      <c r="S1496" t="inlineStr">
        <is>
          <t>Válvula extratora modelo 02</t>
        </is>
      </c>
      <c r="T1496" t="n">
        <v>1</v>
      </c>
      <c r="U1496" t="n">
        <v>158</v>
      </c>
      <c r="V1496">
        <f>IF(J1496="","",MONTH(J1496))</f>
        <v/>
      </c>
      <c r="W1496">
        <f>IF(J1496="","",YEAR(J1496))</f>
        <v/>
      </c>
      <c r="X1496" t="inlineStr">
        <is>
          <t>LogExpress</t>
        </is>
      </c>
      <c r="Y1496">
        <f>IFERROR(INDEX(Rastreio!$H$2:$H$200,MATCH(X1496&amp;"|"&amp;U1496,Rastreio!$A$2:$A$200,0)),"")</f>
        <v/>
      </c>
    </row>
    <row r="1497">
      <c r="A1497">
        <f>IFERROR(INDEX(STAs!$G$2:$G$61,MATCH(P1497,STAs!$F$2:$F$61,0))&amp;"","")</f>
        <v/>
      </c>
      <c r="B1497" t="n">
        <v>20006263</v>
      </c>
      <c r="C1497" t="inlineStr">
        <is>
          <t>Não</t>
        </is>
      </c>
      <c r="D1497" t="inlineStr">
        <is>
          <t>PR</t>
        </is>
      </c>
      <c r="E1497" t="inlineStr">
        <is>
          <t>SUL</t>
        </is>
      </c>
      <c r="F1497" t="inlineStr">
        <is>
          <t>Cliente B - Chopeira</t>
        </is>
      </c>
      <c r="G1497" t="inlineStr">
        <is>
          <t>Refrigeradores</t>
        </is>
      </c>
      <c r="H1497" s="10" t="n">
        <v>35</v>
      </c>
      <c r="I1497" s="10">
        <f>IFERROR(T1497*H1497,0)</f>
        <v/>
      </c>
      <c r="J1497" s="11" t="n">
        <v>46174</v>
      </c>
      <c r="K1497" s="11" t="n">
        <v>46206</v>
      </c>
      <c r="L1497" t="inlineStr">
        <is>
          <t>Ok. Devolvida</t>
        </is>
      </c>
      <c r="M1497">
        <f>IF(L1497="","",IFERROR(VLOOKUP(L1497,mapGrupoStatus,2,0),"Outros"))</f>
        <v/>
      </c>
      <c r="N1497">
        <f>IF(O1497="","",IF(O1497&lt;=30,"0-30 dias",IF(O1497&lt;=60,"31-60 dias",IF(O1497&lt;=90,"61-90 dias","Mais de 90 dias"))))</f>
        <v/>
      </c>
      <c r="O1497">
        <f>IF(OR(M1497="Pendente",M1497="Em andamento"),IF(J1497="","",TODAY()-J1497),"")</f>
        <v/>
      </c>
      <c r="P1497" t="n">
        <v>12089</v>
      </c>
      <c r="Q1497" t="inlineStr">
        <is>
          <t>Termotec Serviços (12089)</t>
        </is>
      </c>
      <c r="R1497" t="inlineStr">
        <is>
          <t>PC-0023</t>
        </is>
      </c>
      <c r="S1497" t="inlineStr">
        <is>
          <t>Relé de partida modelo 01</t>
        </is>
      </c>
      <c r="T1497" t="n">
        <v>2</v>
      </c>
      <c r="U1497" t="n">
        <v>110</v>
      </c>
      <c r="V1497">
        <f>IF(J1497="","",MONTH(J1497))</f>
        <v/>
      </c>
      <c r="W1497">
        <f>IF(J1497="","",YEAR(J1497))</f>
        <v/>
      </c>
      <c r="X1497" t="inlineStr">
        <is>
          <t>TransNorte</t>
        </is>
      </c>
      <c r="Y1497">
        <f>IFERROR(INDEX(Rastreio!$H$2:$H$200,MATCH(X1497&amp;"|"&amp;U1497,Rastreio!$A$2:$A$200,0)),"")</f>
        <v/>
      </c>
    </row>
    <row r="1498">
      <c r="A1498">
        <f>IFERROR(INDEX(STAs!$G$2:$G$61,MATCH(P1498,STAs!$F$2:$F$61,0))&amp;"","")</f>
        <v/>
      </c>
      <c r="B1498" t="n">
        <v>20007374</v>
      </c>
      <c r="C1498" t="inlineStr">
        <is>
          <t>Não</t>
        </is>
      </c>
      <c r="D1498" t="inlineStr">
        <is>
          <t>RO</t>
        </is>
      </c>
      <c r="E1498" t="inlineStr">
        <is>
          <t>NORTE</t>
        </is>
      </c>
      <c r="F1498" t="inlineStr">
        <is>
          <t>Cliente A - Refrigerador</t>
        </is>
      </c>
      <c r="G1498" t="inlineStr">
        <is>
          <t>Refrigeradores</t>
        </is>
      </c>
      <c r="H1498" s="10" t="n">
        <v>35</v>
      </c>
      <c r="I1498" s="10">
        <f>IFERROR(T1498*H1498,0)</f>
        <v/>
      </c>
      <c r="J1498" s="11" t="n">
        <v>46174</v>
      </c>
      <c r="K1498" s="11" t="n"/>
      <c r="L1498" t="inlineStr">
        <is>
          <t>Aguardando devolução</t>
        </is>
      </c>
      <c r="M1498">
        <f>IF(L1498="","",IFERROR(VLOOKUP(L1498,mapGrupoStatus,2,0),"Outros"))</f>
        <v/>
      </c>
      <c r="N1498">
        <f>IF(O1498="","",IF(O1498&lt;=30,"0-30 dias",IF(O1498&lt;=60,"31-60 dias",IF(O1498&lt;=90,"61-90 dias","Mais de 90 dias"))))</f>
        <v/>
      </c>
      <c r="O1498">
        <f>IF(OR(M1498="Pendente",M1498="Em andamento"),IF(J1498="","",TODAY()-J1498),"")</f>
        <v/>
      </c>
      <c r="P1498" t="n">
        <v>12019</v>
      </c>
      <c r="Q1498" t="inlineStr">
        <is>
          <t>Ártico Serviços (12019)</t>
        </is>
      </c>
      <c r="R1498" t="inlineStr">
        <is>
          <t>PC-0016</t>
        </is>
      </c>
      <c r="S1498" t="inlineStr">
        <is>
          <t>Filtro secador modelo 02</t>
        </is>
      </c>
      <c r="T1498" t="n">
        <v>1</v>
      </c>
      <c r="U1498" t="inlineStr"/>
      <c r="V1498">
        <f>IF(J1498="","",MONTH(J1498))</f>
        <v/>
      </c>
      <c r="W1498">
        <f>IF(J1498="","",YEAR(J1498))</f>
        <v/>
      </c>
      <c r="X1498" t="inlineStr"/>
      <c r="Y1498">
        <f>IFERROR(INDEX(Rastreio!$H$2:$H$200,MATCH(X1498&amp;"|"&amp;U1498,Rastreio!$A$2:$A$200,0)),"")</f>
        <v/>
      </c>
    </row>
    <row r="1499">
      <c r="A1499">
        <f>IFERROR(INDEX(STAs!$G$2:$G$61,MATCH(P1499,STAs!$F$2:$F$61,0))&amp;"","")</f>
        <v/>
      </c>
      <c r="B1499" t="n">
        <v>20017904</v>
      </c>
      <c r="C1499" t="inlineStr">
        <is>
          <t>Não</t>
        </is>
      </c>
      <c r="D1499" t="inlineStr">
        <is>
          <t>RR</t>
        </is>
      </c>
      <c r="E1499" t="inlineStr">
        <is>
          <t>NORTE</t>
        </is>
      </c>
      <c r="F1499" t="inlineStr">
        <is>
          <t>Cliente B - Chopeira</t>
        </is>
      </c>
      <c r="G1499" t="inlineStr">
        <is>
          <t>Misturadores</t>
        </is>
      </c>
      <c r="H1499" s="10" t="n">
        <v>50</v>
      </c>
      <c r="I1499" s="10">
        <f>IFERROR(T1499*H1499,0)</f>
        <v/>
      </c>
      <c r="J1499" s="11" t="n">
        <v>46174</v>
      </c>
      <c r="K1499" s="11" t="n"/>
      <c r="L1499" t="inlineStr">
        <is>
          <t>Aguardando devolução</t>
        </is>
      </c>
      <c r="M1499">
        <f>IF(L1499="","",IFERROR(VLOOKUP(L1499,mapGrupoStatus,2,0),"Outros"))</f>
        <v/>
      </c>
      <c r="N1499">
        <f>IF(O1499="","",IF(O1499&lt;=30,"0-30 dias",IF(O1499&lt;=60,"31-60 dias",IF(O1499&lt;=90,"61-90 dias","Mais de 90 dias"))))</f>
        <v/>
      </c>
      <c r="O1499">
        <f>IF(OR(M1499="Pendente",M1499="Em andamento"),IF(J1499="","",TODAY()-J1499),"")</f>
        <v/>
      </c>
      <c r="P1499" t="n">
        <v>12422</v>
      </c>
      <c r="Q1499" t="inlineStr">
        <is>
          <t>Assistência Técnica Refrigeração (12422)</t>
        </is>
      </c>
      <c r="R1499" t="inlineStr">
        <is>
          <t>PC-0044</t>
        </is>
      </c>
      <c r="S1499" t="inlineStr">
        <is>
          <t>Bico dosador modelo 03</t>
        </is>
      </c>
      <c r="T1499" t="n">
        <v>1</v>
      </c>
      <c r="U1499" t="inlineStr"/>
      <c r="V1499">
        <f>IF(J1499="","",MONTH(J1499))</f>
        <v/>
      </c>
      <c r="W1499">
        <f>IF(J1499="","",YEAR(J1499))</f>
        <v/>
      </c>
      <c r="X1499" t="inlineStr"/>
      <c r="Y1499">
        <f>IFERROR(INDEX(Rastreio!$H$2:$H$200,MATCH(X1499&amp;"|"&amp;U1499,Rastreio!$A$2:$A$200,0)),"")</f>
        <v/>
      </c>
    </row>
    <row r="1500">
      <c r="A1500">
        <f>IFERROR(INDEX(STAs!$G$2:$G$61,MATCH(P1500,STAs!$F$2:$F$61,0))&amp;"","")</f>
        <v/>
      </c>
      <c r="B1500" t="n">
        <v>20018972</v>
      </c>
      <c r="C1500" t="inlineStr">
        <is>
          <t>Não</t>
        </is>
      </c>
      <c r="D1500" t="inlineStr">
        <is>
          <t>SP</t>
        </is>
      </c>
      <c r="E1500" t="inlineStr">
        <is>
          <t>SUDESTE SP</t>
        </is>
      </c>
      <c r="F1500" t="inlineStr">
        <is>
          <t>Cliente C - Misturador</t>
        </is>
      </c>
      <c r="G1500" t="inlineStr">
        <is>
          <t>Refrigeradores</t>
        </is>
      </c>
      <c r="H1500" s="10" t="n">
        <v>55</v>
      </c>
      <c r="I1500" s="10">
        <f>IFERROR(T1500*H1500,0)</f>
        <v/>
      </c>
      <c r="J1500" s="11" t="n">
        <v>46174</v>
      </c>
      <c r="K1500" s="11" t="n">
        <v>46204</v>
      </c>
      <c r="L1500" t="inlineStr">
        <is>
          <t>Ok. Devolvida</t>
        </is>
      </c>
      <c r="M1500">
        <f>IF(L1500="","",IFERROR(VLOOKUP(L1500,mapGrupoStatus,2,0),"Outros"))</f>
        <v/>
      </c>
      <c r="N1500">
        <f>IF(O1500="","",IF(O1500&lt;=30,"0-30 dias",IF(O1500&lt;=60,"31-60 dias",IF(O1500&lt;=90,"61-90 dias","Mais de 90 dias"))))</f>
        <v/>
      </c>
      <c r="O1500">
        <f>IF(OR(M1500="Pendente",M1500="Em andamento"),IF(J1500="","",TODAY()-J1500),"")</f>
        <v/>
      </c>
      <c r="P1500" t="n">
        <v>12052</v>
      </c>
      <c r="Q1500" t="inlineStr">
        <is>
          <t>Brisa Refrigeração (12052)</t>
        </is>
      </c>
      <c r="R1500" t="inlineStr">
        <is>
          <t>PC-0007</t>
        </is>
      </c>
      <c r="S1500" t="inlineStr">
        <is>
          <t>Ventilador modelo 01</t>
        </is>
      </c>
      <c r="T1500" t="n">
        <v>1</v>
      </c>
      <c r="U1500" t="n">
        <v>132</v>
      </c>
      <c r="V1500">
        <f>IF(J1500="","",MONTH(J1500))</f>
        <v/>
      </c>
      <c r="W1500">
        <f>IF(J1500="","",YEAR(J1500))</f>
        <v/>
      </c>
      <c r="X1500" t="inlineStr">
        <is>
          <t>LogExpress</t>
        </is>
      </c>
      <c r="Y1500">
        <f>IFERROR(INDEX(Rastreio!$H$2:$H$200,MATCH(X1500&amp;"|"&amp;U1500,Rastreio!$A$2:$A$200,0)),"")</f>
        <v/>
      </c>
    </row>
    <row r="1501">
      <c r="A1501">
        <f>IFERROR(INDEX(STAs!$G$2:$G$61,MATCH(P1501,STAs!$F$2:$F$61,0))&amp;"","")</f>
        <v/>
      </c>
      <c r="B1501" t="n">
        <v>20021979</v>
      </c>
      <c r="C1501" t="inlineStr">
        <is>
          <t>Não</t>
        </is>
      </c>
      <c r="D1501" t="inlineStr">
        <is>
          <t>SP</t>
        </is>
      </c>
      <c r="E1501" t="inlineStr">
        <is>
          <t>SUDESTE SP</t>
        </is>
      </c>
      <c r="F1501" t="inlineStr">
        <is>
          <t>Cliente A - Refrigerador</t>
        </is>
      </c>
      <c r="G1501" t="inlineStr">
        <is>
          <t>Refrigeradores</t>
        </is>
      </c>
      <c r="H1501" s="10" t="n">
        <v>45</v>
      </c>
      <c r="I1501" s="10">
        <f>IFERROR(T1501*H1501,0)</f>
        <v/>
      </c>
      <c r="J1501" s="11" t="n">
        <v>46174</v>
      </c>
      <c r="K1501" s="11" t="n"/>
      <c r="L1501" t="inlineStr">
        <is>
          <t>Aguardando Transporte</t>
        </is>
      </c>
      <c r="M1501">
        <f>IF(L1501="","",IFERROR(VLOOKUP(L1501,mapGrupoStatus,2,0),"Outros"))</f>
        <v/>
      </c>
      <c r="N1501">
        <f>IF(O1501="","",IF(O1501&lt;=30,"0-30 dias",IF(O1501&lt;=60,"31-60 dias",IF(O1501&lt;=90,"61-90 dias","Mais de 90 dias"))))</f>
        <v/>
      </c>
      <c r="O1501">
        <f>IF(OR(M1501="Pendente",M1501="Em andamento"),IF(J1501="","",TODAY()-J1501),"")</f>
        <v/>
      </c>
      <c r="P1501" t="n">
        <v>10538</v>
      </c>
      <c r="Q1501" t="inlineStr">
        <is>
          <t>Frio Refrigeração (10538)</t>
        </is>
      </c>
      <c r="R1501" t="inlineStr">
        <is>
          <t>PC-0019</t>
        </is>
      </c>
      <c r="S1501" t="inlineStr">
        <is>
          <t>Gaxeta da porta modelo 02</t>
        </is>
      </c>
      <c r="T1501" t="n">
        <v>1</v>
      </c>
      <c r="U1501" t="n">
        <v>134</v>
      </c>
      <c r="V1501">
        <f>IF(J1501="","",MONTH(J1501))</f>
        <v/>
      </c>
      <c r="W1501">
        <f>IF(J1501="","",YEAR(J1501))</f>
        <v/>
      </c>
      <c r="X1501" t="inlineStr">
        <is>
          <t>TransNorte</t>
        </is>
      </c>
      <c r="Y1501">
        <f>IFERROR(INDEX(Rastreio!$H$2:$H$200,MATCH(X1501&amp;"|"&amp;U1501,Rastreio!$A$2:$A$200,0)),"")</f>
        <v/>
      </c>
    </row>
    <row r="1502">
      <c r="A1502">
        <f>IFERROR(INDEX(STAs!$G$2:$G$61,MATCH(P1502,STAs!$F$2:$F$61,0))&amp;"","")</f>
        <v/>
      </c>
      <c r="B1502" t="n">
        <v>20028393</v>
      </c>
      <c r="C1502" t="inlineStr">
        <is>
          <t>Não</t>
        </is>
      </c>
      <c r="D1502" t="inlineStr">
        <is>
          <t>RO</t>
        </is>
      </c>
      <c r="E1502" t="inlineStr">
        <is>
          <t>NORTE</t>
        </is>
      </c>
      <c r="F1502" t="inlineStr">
        <is>
          <t>Cliente C - Misturador</t>
        </is>
      </c>
      <c r="G1502" t="inlineStr">
        <is>
          <t>Refrigeradores</t>
        </is>
      </c>
      <c r="H1502" s="10" t="n">
        <v>315</v>
      </c>
      <c r="I1502" s="10">
        <f>IFERROR(T1502*H1502,0)</f>
        <v/>
      </c>
      <c r="J1502" s="11" t="n">
        <v>46174</v>
      </c>
      <c r="K1502" s="11" t="n"/>
      <c r="L1502" t="inlineStr">
        <is>
          <t>Não Devolve-Norte</t>
        </is>
      </c>
      <c r="M1502">
        <f>IF(L1502="","",IFERROR(VLOOKUP(L1502,mapGrupoStatus,2,0),"Outros"))</f>
        <v/>
      </c>
      <c r="N1502">
        <f>IF(O1502="","",IF(O1502&lt;=30,"0-30 dias",IF(O1502&lt;=60,"31-60 dias",IF(O1502&lt;=90,"61-90 dias","Mais de 90 dias"))))</f>
        <v/>
      </c>
      <c r="O1502">
        <f>IF(OR(M1502="Pendente",M1502="Em andamento"),IF(J1502="","",TODAY()-J1502),"")</f>
        <v/>
      </c>
      <c r="P1502" t="n">
        <v>10172</v>
      </c>
      <c r="Q1502" t="inlineStr">
        <is>
          <t>Frigo Serviços (10172)</t>
        </is>
      </c>
      <c r="R1502" t="inlineStr">
        <is>
          <t>PC-0002</t>
        </is>
      </c>
      <c r="S1502" t="inlineStr">
        <is>
          <t>Compressor modelo 02</t>
        </is>
      </c>
      <c r="T1502" t="n">
        <v>1</v>
      </c>
      <c r="U1502" t="inlineStr"/>
      <c r="V1502">
        <f>IF(J1502="","",MONTH(J1502))</f>
        <v/>
      </c>
      <c r="W1502">
        <f>IF(J1502="","",YEAR(J1502))</f>
        <v/>
      </c>
      <c r="X1502" t="inlineStr"/>
      <c r="Y1502">
        <f>IFERROR(INDEX(Rastreio!$H$2:$H$200,MATCH(X1502&amp;"|"&amp;U1502,Rastreio!$A$2:$A$200,0)),"")</f>
        <v/>
      </c>
    </row>
    <row r="1503">
      <c r="A1503">
        <f>IFERROR(INDEX(STAs!$G$2:$G$61,MATCH(P1503,STAs!$F$2:$F$61,0))&amp;"","")</f>
        <v/>
      </c>
      <c r="B1503" t="n">
        <v>20031258</v>
      </c>
      <c r="C1503" t="inlineStr">
        <is>
          <t>Não</t>
        </is>
      </c>
      <c r="D1503" t="inlineStr">
        <is>
          <t>MS</t>
        </is>
      </c>
      <c r="E1503" t="inlineStr">
        <is>
          <t>CENTRO OESTE</t>
        </is>
      </c>
      <c r="F1503" t="inlineStr">
        <is>
          <t>Cliente A - Refrigerador</t>
        </is>
      </c>
      <c r="G1503" t="inlineStr">
        <is>
          <t>Chopeiras</t>
        </is>
      </c>
      <c r="H1503" s="10" t="n">
        <v>205</v>
      </c>
      <c r="I1503" s="10">
        <f>IFERROR(T1503*H1503,0)</f>
        <v/>
      </c>
      <c r="J1503" s="11" t="n">
        <v>46174</v>
      </c>
      <c r="K1503" s="11" t="n"/>
      <c r="L1503" t="inlineStr">
        <is>
          <t>Não Devolve-Norte</t>
        </is>
      </c>
      <c r="M1503">
        <f>IF(L1503="","",IFERROR(VLOOKUP(L1503,mapGrupoStatus,2,0),"Outros"))</f>
        <v/>
      </c>
      <c r="N1503">
        <f>IF(O1503="","",IF(O1503&lt;=30,"0-30 dias",IF(O1503&lt;=60,"31-60 dias",IF(O1503&lt;=90,"61-90 dias","Mais de 90 dias"))))</f>
        <v/>
      </c>
      <c r="O1503">
        <f>IF(OR(M1503="Pendente",M1503="Em andamento"),IF(J1503="","",TODAY()-J1503),"")</f>
        <v/>
      </c>
      <c r="P1503" t="n">
        <v>12280</v>
      </c>
      <c r="Q1503" t="inlineStr">
        <is>
          <t>Termotec &amp; Cia (12280)</t>
        </is>
      </c>
      <c r="R1503" t="inlineStr">
        <is>
          <t>PC-0031</t>
        </is>
      </c>
      <c r="S1503" t="inlineStr">
        <is>
          <t>Serpentina modelo 03</t>
        </is>
      </c>
      <c r="T1503" t="n">
        <v>1</v>
      </c>
      <c r="U1503" t="inlineStr"/>
      <c r="V1503">
        <f>IF(J1503="","",MONTH(J1503))</f>
        <v/>
      </c>
      <c r="W1503">
        <f>IF(J1503="","",YEAR(J1503))</f>
        <v/>
      </c>
      <c r="X1503" t="inlineStr"/>
      <c r="Y1503">
        <f>IFERROR(INDEX(Rastreio!$H$2:$H$200,MATCH(X1503&amp;"|"&amp;U1503,Rastreio!$A$2:$A$200,0)),"")</f>
        <v/>
      </c>
    </row>
    <row r="1504">
      <c r="A1504">
        <f>IFERROR(INDEX(STAs!$G$2:$G$61,MATCH(P1504,STAs!$F$2:$F$61,0))&amp;"","")</f>
        <v/>
      </c>
      <c r="B1504" t="n">
        <v>20035114</v>
      </c>
      <c r="C1504" t="inlineStr">
        <is>
          <t>Não</t>
        </is>
      </c>
      <c r="D1504" t="inlineStr">
        <is>
          <t>RJ</t>
        </is>
      </c>
      <c r="E1504" t="inlineStr">
        <is>
          <t>SUDESTE RJ e ES</t>
        </is>
      </c>
      <c r="F1504" t="inlineStr">
        <is>
          <t>Cliente C - Misturador</t>
        </is>
      </c>
      <c r="G1504" t="inlineStr">
        <is>
          <t>Misturadores</t>
        </is>
      </c>
      <c r="H1504" s="10" t="n">
        <v>60</v>
      </c>
      <c r="I1504" s="10">
        <f>IFERROR(T1504*H1504,0)</f>
        <v/>
      </c>
      <c r="J1504" s="11" t="n">
        <v>46174</v>
      </c>
      <c r="K1504" s="11" t="n">
        <v>46198</v>
      </c>
      <c r="L1504" t="inlineStr">
        <is>
          <t>Ok. Devolvida</t>
        </is>
      </c>
      <c r="M1504">
        <f>IF(L1504="","",IFERROR(VLOOKUP(L1504,mapGrupoStatus,2,0),"Outros"))</f>
        <v/>
      </c>
      <c r="N1504">
        <f>IF(O1504="","",IF(O1504&lt;=30,"0-30 dias",IF(O1504&lt;=60,"31-60 dias",IF(O1504&lt;=90,"61-90 dias","Mais de 90 dias"))))</f>
        <v/>
      </c>
      <c r="O1504">
        <f>IF(OR(M1504="Pendente",M1504="Em andamento"),IF(J1504="","",TODAY()-J1504),"")</f>
        <v/>
      </c>
      <c r="P1504" t="n">
        <v>11059</v>
      </c>
      <c r="Q1504" t="inlineStr">
        <is>
          <t>Frio Ltda (11059)</t>
        </is>
      </c>
      <c r="R1504" t="inlineStr">
        <is>
          <t>PC-0048</t>
        </is>
      </c>
      <c r="S1504" t="inlineStr">
        <is>
          <t>Sensor de nível modelo 04</t>
        </is>
      </c>
      <c r="T1504" t="n">
        <v>1</v>
      </c>
      <c r="U1504" t="n">
        <v>163</v>
      </c>
      <c r="V1504">
        <f>IF(J1504="","",MONTH(J1504))</f>
        <v/>
      </c>
      <c r="W1504">
        <f>IF(J1504="","",YEAR(J1504))</f>
        <v/>
      </c>
      <c r="X1504" t="inlineStr">
        <is>
          <t>RotaSul</t>
        </is>
      </c>
      <c r="Y1504">
        <f>IFERROR(INDEX(Rastreio!$H$2:$H$200,MATCH(X1504&amp;"|"&amp;U1504,Rastreio!$A$2:$A$200,0)),"")</f>
        <v/>
      </c>
    </row>
    <row r="1505">
      <c r="A1505">
        <f>IFERROR(INDEX(STAs!$G$2:$G$61,MATCH(P1505,STAs!$F$2:$F$61,0))&amp;"","")</f>
        <v/>
      </c>
      <c r="B1505" t="n">
        <v>20000365</v>
      </c>
      <c r="C1505" t="inlineStr">
        <is>
          <t>Não</t>
        </is>
      </c>
      <c r="D1505" t="inlineStr">
        <is>
          <t>PI</t>
        </is>
      </c>
      <c r="E1505" t="inlineStr">
        <is>
          <t>NORDESTE</t>
        </is>
      </c>
      <c r="F1505" t="inlineStr">
        <is>
          <t>Cliente C - Misturador</t>
        </is>
      </c>
      <c r="G1505" t="inlineStr">
        <is>
          <t>Refrigeradores</t>
        </is>
      </c>
      <c r="H1505" s="10" t="n">
        <v>155</v>
      </c>
      <c r="I1505" s="10">
        <f>IFERROR(T1505*H1505,0)</f>
        <v/>
      </c>
      <c r="J1505" s="11" t="n">
        <v>46175</v>
      </c>
      <c r="K1505" s="11" t="n"/>
      <c r="L1505" t="inlineStr">
        <is>
          <t>Debitar do STA</t>
        </is>
      </c>
      <c r="M1505">
        <f>IF(L1505="","",IFERROR(VLOOKUP(L1505,mapGrupoStatus,2,0),"Outros"))</f>
        <v/>
      </c>
      <c r="N1505">
        <f>IF(O1505="","",IF(O1505&lt;=30,"0-30 dias",IF(O1505&lt;=60,"31-60 dias",IF(O1505&lt;=90,"61-90 dias","Mais de 90 dias"))))</f>
        <v/>
      </c>
      <c r="O1505">
        <f>IF(OR(M1505="Pendente",M1505="Em andamento"),IF(J1505="","",TODAY()-J1505),"")</f>
        <v/>
      </c>
      <c r="P1505" t="n">
        <v>10562</v>
      </c>
      <c r="Q1505" t="inlineStr">
        <is>
          <t>Clima &amp; Cia (10562)</t>
        </is>
      </c>
      <c r="R1505" t="inlineStr">
        <is>
          <t>PC-0021</t>
        </is>
      </c>
      <c r="S1505" t="inlineStr">
        <is>
          <t>Controlador digital modelo 01</t>
        </is>
      </c>
      <c r="T1505" t="n">
        <v>1</v>
      </c>
      <c r="U1505" t="inlineStr"/>
      <c r="V1505">
        <f>IF(J1505="","",MONTH(J1505))</f>
        <v/>
      </c>
      <c r="W1505">
        <f>IF(J1505="","",YEAR(J1505))</f>
        <v/>
      </c>
      <c r="X1505" t="inlineStr"/>
      <c r="Y1505">
        <f>IFERROR(INDEX(Rastreio!$H$2:$H$200,MATCH(X1505&amp;"|"&amp;U1505,Rastreio!$A$2:$A$200,0)),"")</f>
        <v/>
      </c>
    </row>
    <row r="1506">
      <c r="A1506">
        <f>IFERROR(INDEX(STAs!$G$2:$G$61,MATCH(P1506,STAs!$F$2:$F$61,0))&amp;"","")</f>
        <v/>
      </c>
      <c r="B1506" t="n">
        <v>20005905</v>
      </c>
      <c r="C1506" t="inlineStr">
        <is>
          <t>Não</t>
        </is>
      </c>
      <c r="D1506" t="inlineStr">
        <is>
          <t>MT</t>
        </is>
      </c>
      <c r="E1506" t="inlineStr">
        <is>
          <t>CENTRO OESTE</t>
        </is>
      </c>
      <c r="F1506" t="inlineStr">
        <is>
          <t>Cliente B - Chopeira</t>
        </is>
      </c>
      <c r="G1506" t="inlineStr">
        <is>
          <t>Misturadores</t>
        </is>
      </c>
      <c r="H1506" s="10" t="n">
        <v>255</v>
      </c>
      <c r="I1506" s="10">
        <f>IFERROR(T1506*H1506,0)</f>
        <v/>
      </c>
      <c r="J1506" s="11" t="n">
        <v>46175</v>
      </c>
      <c r="K1506" s="11" t="n">
        <v>46200</v>
      </c>
      <c r="L1506" t="inlineStr">
        <is>
          <t>Ok. Devolvida</t>
        </is>
      </c>
      <c r="M1506">
        <f>IF(L1506="","",IFERROR(VLOOKUP(L1506,mapGrupoStatus,2,0),"Outros"))</f>
        <v/>
      </c>
      <c r="N1506">
        <f>IF(O1506="","",IF(O1506&lt;=30,"0-30 dias",IF(O1506&lt;=60,"31-60 dias",IF(O1506&lt;=90,"61-90 dias","Mais de 90 dias"))))</f>
        <v/>
      </c>
      <c r="O1506">
        <f>IF(OR(M1506="Pendente",M1506="Em andamento"),IF(J1506="","",TODAY()-J1506),"")</f>
        <v/>
      </c>
      <c r="P1506" t="n">
        <v>10227</v>
      </c>
      <c r="Q1506" t="inlineStr">
        <is>
          <t>Assistência Técnica ME (10227)</t>
        </is>
      </c>
      <c r="R1506" t="inlineStr">
        <is>
          <t>PC-0037</t>
        </is>
      </c>
      <c r="S1506" t="inlineStr">
        <is>
          <t>Bomba de recirculação modelo 01</t>
        </is>
      </c>
      <c r="T1506" t="n">
        <v>1</v>
      </c>
      <c r="U1506" t="n">
        <v>110</v>
      </c>
      <c r="V1506">
        <f>IF(J1506="","",MONTH(J1506))</f>
        <v/>
      </c>
      <c r="W1506">
        <f>IF(J1506="","",YEAR(J1506))</f>
        <v/>
      </c>
      <c r="X1506" t="inlineStr">
        <is>
          <t>TransNorte</t>
        </is>
      </c>
      <c r="Y1506">
        <f>IFERROR(INDEX(Rastreio!$H$2:$H$200,MATCH(X1506&amp;"|"&amp;U1506,Rastreio!$A$2:$A$200,0)),"")</f>
        <v/>
      </c>
    </row>
    <row r="1507">
      <c r="A1507">
        <f>IFERROR(INDEX(STAs!$G$2:$G$61,MATCH(P1507,STAs!$F$2:$F$61,0))&amp;"","")</f>
        <v/>
      </c>
      <c r="B1507" t="n">
        <v>20007843</v>
      </c>
      <c r="C1507" t="inlineStr">
        <is>
          <t>Não</t>
        </is>
      </c>
      <c r="D1507" t="inlineStr">
        <is>
          <t>MG</t>
        </is>
      </c>
      <c r="E1507" t="inlineStr">
        <is>
          <t>SUDESTE MG</t>
        </is>
      </c>
      <c r="F1507" t="inlineStr">
        <is>
          <t>Cliente A - Refrigerador</t>
        </is>
      </c>
      <c r="G1507" t="inlineStr">
        <is>
          <t>Chopeiras</t>
        </is>
      </c>
      <c r="H1507" s="10" t="n">
        <v>115</v>
      </c>
      <c r="I1507" s="10">
        <f>IFERROR(T1507*H1507,0)</f>
        <v/>
      </c>
      <c r="J1507" s="11" t="n">
        <v>46175</v>
      </c>
      <c r="K1507" s="11" t="n"/>
      <c r="L1507" t="inlineStr">
        <is>
          <t>Em andamento</t>
        </is>
      </c>
      <c r="M1507">
        <f>IF(L1507="","",IFERROR(VLOOKUP(L1507,mapGrupoStatus,2,0),"Outros"))</f>
        <v/>
      </c>
      <c r="N1507">
        <f>IF(O1507="","",IF(O1507&lt;=30,"0-30 dias",IF(O1507&lt;=60,"31-60 dias",IF(O1507&lt;=90,"61-90 dias","Mais de 90 dias"))))</f>
        <v/>
      </c>
      <c r="O1507">
        <f>IF(OR(M1507="Pendente",M1507="Em andamento"),IF(J1507="","",TODAY()-J1507),"")</f>
        <v/>
      </c>
      <c r="P1507" t="n">
        <v>12470</v>
      </c>
      <c r="Q1507" t="inlineStr">
        <is>
          <t>Cool Service Técnica (12470)</t>
        </is>
      </c>
      <c r="R1507" t="inlineStr">
        <is>
          <t>PC-0034</t>
        </is>
      </c>
      <c r="S1507" t="inlineStr">
        <is>
          <t>Regulador de pressão modelo 03</t>
        </is>
      </c>
      <c r="T1507" t="n">
        <v>1</v>
      </c>
      <c r="U1507" t="n">
        <v>113</v>
      </c>
      <c r="V1507">
        <f>IF(J1507="","",MONTH(J1507))</f>
        <v/>
      </c>
      <c r="W1507">
        <f>IF(J1507="","",YEAR(J1507))</f>
        <v/>
      </c>
      <c r="X1507" t="inlineStr">
        <is>
          <t>RotaSul</t>
        </is>
      </c>
      <c r="Y1507">
        <f>IFERROR(INDEX(Rastreio!$H$2:$H$200,MATCH(X1507&amp;"|"&amp;U1507,Rastreio!$A$2:$A$200,0)),"")</f>
        <v/>
      </c>
    </row>
    <row r="1508">
      <c r="A1508">
        <f>IFERROR(INDEX(STAs!$G$2:$G$61,MATCH(P1508,STAs!$F$2:$F$61,0))&amp;"","")</f>
        <v/>
      </c>
      <c r="B1508" t="n">
        <v>20024911</v>
      </c>
      <c r="C1508" t="inlineStr">
        <is>
          <t>Não</t>
        </is>
      </c>
      <c r="D1508" t="inlineStr">
        <is>
          <t>SP</t>
        </is>
      </c>
      <c r="E1508" t="inlineStr">
        <is>
          <t>SUDESTE SP</t>
        </is>
      </c>
      <c r="F1508" t="inlineStr">
        <is>
          <t>Cliente B - Chopeira</t>
        </is>
      </c>
      <c r="G1508" t="inlineStr">
        <is>
          <t>Chopeiras</t>
        </is>
      </c>
      <c r="H1508" s="10" t="n">
        <v>120</v>
      </c>
      <c r="I1508" s="10">
        <f>IFERROR(T1508*H1508,0)</f>
        <v/>
      </c>
      <c r="J1508" s="11" t="n">
        <v>46175</v>
      </c>
      <c r="K1508" s="11" t="n"/>
      <c r="L1508" t="inlineStr">
        <is>
          <t>Aguardando devolução</t>
        </is>
      </c>
      <c r="M1508">
        <f>IF(L1508="","",IFERROR(VLOOKUP(L1508,mapGrupoStatus,2,0),"Outros"))</f>
        <v/>
      </c>
      <c r="N1508">
        <f>IF(O1508="","",IF(O1508&lt;=30,"0-30 dias",IF(O1508&lt;=60,"31-60 dias",IF(O1508&lt;=90,"61-90 dias","Mais de 90 dias"))))</f>
        <v/>
      </c>
      <c r="O1508">
        <f>IF(OR(M1508="Pendente",M1508="Em andamento"),IF(J1508="","",TODAY()-J1508),"")</f>
        <v/>
      </c>
      <c r="P1508" t="n">
        <v>11710</v>
      </c>
      <c r="Q1508" t="inlineStr">
        <is>
          <t>Brisa &amp; Cia (11710)</t>
        </is>
      </c>
      <c r="R1508" t="inlineStr">
        <is>
          <t>PC-0032</t>
        </is>
      </c>
      <c r="S1508" t="inlineStr">
        <is>
          <t>Regulador de pressão modelo 01</t>
        </is>
      </c>
      <c r="T1508" t="n">
        <v>1</v>
      </c>
      <c r="U1508" t="inlineStr"/>
      <c r="V1508">
        <f>IF(J1508="","",MONTH(J1508))</f>
        <v/>
      </c>
      <c r="W1508">
        <f>IF(J1508="","",YEAR(J1508))</f>
        <v/>
      </c>
      <c r="X1508" t="inlineStr"/>
      <c r="Y1508">
        <f>IFERROR(INDEX(Rastreio!$H$2:$H$200,MATCH(X1508&amp;"|"&amp;U1508,Rastreio!$A$2:$A$200,0)),"")</f>
        <v/>
      </c>
    </row>
    <row r="1509">
      <c r="A1509">
        <f>IFERROR(INDEX(STAs!$G$2:$G$61,MATCH(P1509,STAs!$F$2:$F$61,0))&amp;"","")</f>
        <v/>
      </c>
      <c r="B1509" t="n">
        <v>20036816</v>
      </c>
      <c r="C1509" t="inlineStr">
        <is>
          <t>Não</t>
        </is>
      </c>
      <c r="D1509" t="inlineStr">
        <is>
          <t>BA</t>
        </is>
      </c>
      <c r="E1509" t="inlineStr">
        <is>
          <t>NORDESTE</t>
        </is>
      </c>
      <c r="F1509" t="inlineStr">
        <is>
          <t>Cliente C - Misturador</t>
        </is>
      </c>
      <c r="G1509" t="inlineStr">
        <is>
          <t>Refrigeradores</t>
        </is>
      </c>
      <c r="H1509" s="10" t="n">
        <v>155</v>
      </c>
      <c r="I1509" s="10">
        <f>IFERROR(T1509*H1509,0)</f>
        <v/>
      </c>
      <c r="J1509" s="11" t="n">
        <v>46175</v>
      </c>
      <c r="K1509" s="11" t="n">
        <v>46231</v>
      </c>
      <c r="L1509" t="inlineStr">
        <is>
          <t>Ok. Devolvida</t>
        </is>
      </c>
      <c r="M1509">
        <f>IF(L1509="","",IFERROR(VLOOKUP(L1509,mapGrupoStatus,2,0),"Outros"))</f>
        <v/>
      </c>
      <c r="N1509">
        <f>IF(O1509="","",IF(O1509&lt;=30,"0-30 dias",IF(O1509&lt;=60,"31-60 dias",IF(O1509&lt;=90,"61-90 dias","Mais de 90 dias"))))</f>
        <v/>
      </c>
      <c r="O1509">
        <f>IF(OR(M1509="Pendente",M1509="Em andamento"),IF(J1509="","",TODAY()-J1509),"")</f>
        <v/>
      </c>
      <c r="P1509" t="n">
        <v>11538</v>
      </c>
      <c r="Q1509" t="inlineStr">
        <is>
          <t>Clima Manutenção (11538)</t>
        </is>
      </c>
      <c r="R1509" t="inlineStr">
        <is>
          <t>PC-0021</t>
        </is>
      </c>
      <c r="S1509" t="inlineStr">
        <is>
          <t>Controlador digital modelo 01</t>
        </is>
      </c>
      <c r="T1509" t="n">
        <v>1</v>
      </c>
      <c r="U1509" t="n">
        <v>153</v>
      </c>
      <c r="V1509">
        <f>IF(J1509="","",MONTH(J1509))</f>
        <v/>
      </c>
      <c r="W1509">
        <f>IF(J1509="","",YEAR(J1509))</f>
        <v/>
      </c>
      <c r="X1509" t="inlineStr">
        <is>
          <t>EntregaJá</t>
        </is>
      </c>
      <c r="Y1509">
        <f>IFERROR(INDEX(Rastreio!$H$2:$H$200,MATCH(X1509&amp;"|"&amp;U1509,Rastreio!$A$2:$A$200,0)),"")</f>
        <v/>
      </c>
    </row>
    <row r="1510">
      <c r="A1510">
        <f>IFERROR(INDEX(STAs!$G$2:$G$61,MATCH(P1510,STAs!$F$2:$F$61,0))&amp;"","")</f>
        <v/>
      </c>
      <c r="B1510" t="n">
        <v>20001441</v>
      </c>
      <c r="C1510" t="inlineStr">
        <is>
          <t>Não</t>
        </is>
      </c>
      <c r="D1510" t="inlineStr">
        <is>
          <t>AC</t>
        </is>
      </c>
      <c r="E1510" t="inlineStr">
        <is>
          <t>NORTE</t>
        </is>
      </c>
      <c r="F1510" t="inlineStr">
        <is>
          <t>Cliente C - Misturador</t>
        </is>
      </c>
      <c r="G1510" t="inlineStr">
        <is>
          <t>Refrigeradores</t>
        </is>
      </c>
      <c r="H1510" s="10" t="n">
        <v>55</v>
      </c>
      <c r="I1510" s="10">
        <f>IFERROR(T1510*H1510,0)</f>
        <v/>
      </c>
      <c r="J1510" s="11" t="n">
        <v>46176</v>
      </c>
      <c r="K1510" s="11" t="n"/>
      <c r="L1510" t="inlineStr">
        <is>
          <t>Não Devolve-Norte</t>
        </is>
      </c>
      <c r="M1510">
        <f>IF(L1510="","",IFERROR(VLOOKUP(L1510,mapGrupoStatus,2,0),"Outros"))</f>
        <v/>
      </c>
      <c r="N1510">
        <f>IF(O1510="","",IF(O1510&lt;=30,"0-30 dias",IF(O1510&lt;=60,"31-60 dias",IF(O1510&lt;=90,"61-90 dias","Mais de 90 dias"))))</f>
        <v/>
      </c>
      <c r="O1510">
        <f>IF(OR(M1510="Pendente",M1510="Em andamento"),IF(J1510="","",TODAY()-J1510),"")</f>
        <v/>
      </c>
      <c r="P1510" t="n">
        <v>10372</v>
      </c>
      <c r="Q1510" t="inlineStr">
        <is>
          <t>Zero Grau ME (10372)</t>
        </is>
      </c>
      <c r="R1510" t="inlineStr">
        <is>
          <t>PC-0007</t>
        </is>
      </c>
      <c r="S1510" t="inlineStr">
        <is>
          <t>Ventilador modelo 01</t>
        </is>
      </c>
      <c r="T1510" t="n">
        <v>2</v>
      </c>
      <c r="U1510" t="inlineStr"/>
      <c r="V1510">
        <f>IF(J1510="","",MONTH(J1510))</f>
        <v/>
      </c>
      <c r="W1510">
        <f>IF(J1510="","",YEAR(J1510))</f>
        <v/>
      </c>
      <c r="X1510" t="inlineStr"/>
      <c r="Y1510">
        <f>IFERROR(INDEX(Rastreio!$H$2:$H$200,MATCH(X1510&amp;"|"&amp;U1510,Rastreio!$A$2:$A$200,0)),"")</f>
        <v/>
      </c>
    </row>
    <row r="1511">
      <c r="A1511">
        <f>IFERROR(INDEX(STAs!$G$2:$G$61,MATCH(P1511,STAs!$F$2:$F$61,0))&amp;"","")</f>
        <v/>
      </c>
      <c r="B1511" t="n">
        <v>20004518</v>
      </c>
      <c r="C1511" t="inlineStr">
        <is>
          <t>Não</t>
        </is>
      </c>
      <c r="D1511" t="inlineStr">
        <is>
          <t>ES</t>
        </is>
      </c>
      <c r="E1511" t="inlineStr">
        <is>
          <t>SUDESTE RJ e ES</t>
        </is>
      </c>
      <c r="F1511" t="inlineStr">
        <is>
          <t>Cliente A - Refrigerador</t>
        </is>
      </c>
      <c r="G1511" t="inlineStr">
        <is>
          <t>Refrigeradores</t>
        </is>
      </c>
      <c r="H1511" s="10" t="n">
        <v>55</v>
      </c>
      <c r="I1511" s="10">
        <f>IFERROR(T1511*H1511,0)</f>
        <v/>
      </c>
      <c r="J1511" s="11" t="n">
        <v>46176</v>
      </c>
      <c r="K1511" s="11" t="n">
        <v>46189</v>
      </c>
      <c r="L1511" t="inlineStr">
        <is>
          <t>Ok. Devolvida</t>
        </is>
      </c>
      <c r="M1511">
        <f>IF(L1511="","",IFERROR(VLOOKUP(L1511,mapGrupoStatus,2,0),"Outros"))</f>
        <v/>
      </c>
      <c r="N1511">
        <f>IF(O1511="","",IF(O1511&lt;=30,"0-30 dias",IF(O1511&lt;=60,"31-60 dias",IF(O1511&lt;=90,"61-90 dias","Mais de 90 dias"))))</f>
        <v/>
      </c>
      <c r="O1511">
        <f>IF(OR(M1511="Pendente",M1511="Em andamento"),IF(J1511="","",TODAY()-J1511),"")</f>
        <v/>
      </c>
      <c r="P1511" t="n">
        <v>11162</v>
      </c>
      <c r="Q1511" t="inlineStr">
        <is>
          <t>Ártico Refrigeração (11162)</t>
        </is>
      </c>
      <c r="R1511" t="inlineStr">
        <is>
          <t>PC-0008</t>
        </is>
      </c>
      <c r="S1511" t="inlineStr">
        <is>
          <t>Ventilador modelo 02</t>
        </is>
      </c>
      <c r="T1511" t="n">
        <v>1</v>
      </c>
      <c r="U1511" t="n">
        <v>108</v>
      </c>
      <c r="V1511">
        <f>IF(J1511="","",MONTH(J1511))</f>
        <v/>
      </c>
      <c r="W1511">
        <f>IF(J1511="","",YEAR(J1511))</f>
        <v/>
      </c>
      <c r="X1511" t="inlineStr">
        <is>
          <t>EntregaJá</t>
        </is>
      </c>
      <c r="Y1511">
        <f>IFERROR(INDEX(Rastreio!$H$2:$H$200,MATCH(X1511&amp;"|"&amp;U1511,Rastreio!$A$2:$A$200,0)),"")</f>
        <v/>
      </c>
    </row>
    <row r="1512">
      <c r="A1512">
        <f>IFERROR(INDEX(STAs!$G$2:$G$61,MATCH(P1512,STAs!$F$2:$F$61,0))&amp;"","")</f>
        <v/>
      </c>
      <c r="B1512" t="n">
        <v>20009851</v>
      </c>
      <c r="C1512" t="inlineStr">
        <is>
          <t>Não</t>
        </is>
      </c>
      <c r="D1512" t="inlineStr">
        <is>
          <t>ES</t>
        </is>
      </c>
      <c r="E1512" t="inlineStr">
        <is>
          <t>SUDESTE RJ e ES</t>
        </is>
      </c>
      <c r="F1512" t="inlineStr">
        <is>
          <t>Cliente C - Misturador</t>
        </is>
      </c>
      <c r="G1512" t="inlineStr">
        <is>
          <t>Refrigeradores</t>
        </is>
      </c>
      <c r="H1512" s="10" t="n">
        <v>55</v>
      </c>
      <c r="I1512" s="10">
        <f>IFERROR(T1512*H1512,0)</f>
        <v/>
      </c>
      <c r="J1512" s="11" t="n">
        <v>46176</v>
      </c>
      <c r="K1512" s="11" t="n"/>
      <c r="L1512" t="inlineStr">
        <is>
          <t>Aguardando devolução</t>
        </is>
      </c>
      <c r="M1512">
        <f>IF(L1512="","",IFERROR(VLOOKUP(L1512,mapGrupoStatus,2,0),"Outros"))</f>
        <v/>
      </c>
      <c r="N1512">
        <f>IF(O1512="","",IF(O1512&lt;=30,"0-30 dias",IF(O1512&lt;=60,"31-60 dias",IF(O1512&lt;=90,"61-90 dias","Mais de 90 dias"))))</f>
        <v/>
      </c>
      <c r="O1512">
        <f>IF(OR(M1512="Pendente",M1512="Em andamento"),IF(J1512="","",TODAY()-J1512),"")</f>
        <v/>
      </c>
      <c r="P1512" t="n">
        <v>11396</v>
      </c>
      <c r="Q1512" t="inlineStr">
        <is>
          <t>Frio Manutenção (11396)</t>
        </is>
      </c>
      <c r="R1512" t="inlineStr">
        <is>
          <t>PC-0007</t>
        </is>
      </c>
      <c r="S1512" t="inlineStr">
        <is>
          <t>Ventilador modelo 01</t>
        </is>
      </c>
      <c r="T1512" t="n">
        <v>1</v>
      </c>
      <c r="U1512" t="inlineStr"/>
      <c r="V1512">
        <f>IF(J1512="","",MONTH(J1512))</f>
        <v/>
      </c>
      <c r="W1512">
        <f>IF(J1512="","",YEAR(J1512))</f>
        <v/>
      </c>
      <c r="X1512" t="inlineStr"/>
      <c r="Y1512">
        <f>IFERROR(INDEX(Rastreio!$H$2:$H$200,MATCH(X1512&amp;"|"&amp;U1512,Rastreio!$A$2:$A$200,0)),"")</f>
        <v/>
      </c>
    </row>
    <row r="1513">
      <c r="A1513">
        <f>IFERROR(INDEX(STAs!$G$2:$G$61,MATCH(P1513,STAs!$F$2:$F$61,0))&amp;"","")</f>
        <v/>
      </c>
      <c r="B1513" t="n">
        <v>20011061</v>
      </c>
      <c r="C1513" t="inlineStr">
        <is>
          <t>Não</t>
        </is>
      </c>
      <c r="D1513" t="inlineStr">
        <is>
          <t>AC</t>
        </is>
      </c>
      <c r="E1513" t="inlineStr">
        <is>
          <t>NORTE</t>
        </is>
      </c>
      <c r="F1513" t="inlineStr">
        <is>
          <t>Cliente C - Misturador</t>
        </is>
      </c>
      <c r="G1513" t="inlineStr">
        <is>
          <t>Chopeiras</t>
        </is>
      </c>
      <c r="H1513" s="10" t="n">
        <v>115</v>
      </c>
      <c r="I1513" s="10">
        <f>IFERROR(T1513*H1513,0)</f>
        <v/>
      </c>
      <c r="J1513" s="11" t="n">
        <v>46176</v>
      </c>
      <c r="K1513" s="11" t="n"/>
      <c r="L1513" t="inlineStr">
        <is>
          <t>Aguardando devolução</t>
        </is>
      </c>
      <c r="M1513">
        <f>IF(L1513="","",IFERROR(VLOOKUP(L1513,mapGrupoStatus,2,0),"Outros"))</f>
        <v/>
      </c>
      <c r="N1513">
        <f>IF(O1513="","",IF(O1513&lt;=30,"0-30 dias",IF(O1513&lt;=60,"31-60 dias",IF(O1513&lt;=90,"61-90 dias","Mais de 90 dias"))))</f>
        <v/>
      </c>
      <c r="O1513">
        <f>IF(OR(M1513="Pendente",M1513="Em andamento"),IF(J1513="","",TODAY()-J1513),"")</f>
        <v/>
      </c>
      <c r="P1513" t="n">
        <v>10372</v>
      </c>
      <c r="Q1513" t="inlineStr">
        <is>
          <t>Zero Grau ME (10372)</t>
        </is>
      </c>
      <c r="R1513" t="inlineStr">
        <is>
          <t>PC-0033</t>
        </is>
      </c>
      <c r="S1513" t="inlineStr">
        <is>
          <t>Regulador de pressão modelo 02</t>
        </is>
      </c>
      <c r="T1513" t="n">
        <v>1</v>
      </c>
      <c r="U1513" t="inlineStr"/>
      <c r="V1513">
        <f>IF(J1513="","",MONTH(J1513))</f>
        <v/>
      </c>
      <c r="W1513">
        <f>IF(J1513="","",YEAR(J1513))</f>
        <v/>
      </c>
      <c r="X1513" t="inlineStr"/>
      <c r="Y1513">
        <f>IFERROR(INDEX(Rastreio!$H$2:$H$200,MATCH(X1513&amp;"|"&amp;U1513,Rastreio!$A$2:$A$200,0)),"")</f>
        <v/>
      </c>
    </row>
    <row r="1514">
      <c r="A1514">
        <f>IFERROR(INDEX(STAs!$G$2:$G$61,MATCH(P1514,STAs!$F$2:$F$61,0))&amp;"","")</f>
        <v/>
      </c>
      <c r="B1514" t="n">
        <v>20016899</v>
      </c>
      <c r="C1514" t="inlineStr">
        <is>
          <t>Não</t>
        </is>
      </c>
      <c r="D1514" t="inlineStr">
        <is>
          <t>PI</t>
        </is>
      </c>
      <c r="E1514" t="inlineStr">
        <is>
          <t>NORDESTE</t>
        </is>
      </c>
      <c r="F1514" t="inlineStr">
        <is>
          <t>Cliente C - Misturador</t>
        </is>
      </c>
      <c r="G1514" t="inlineStr">
        <is>
          <t>Refrigeradores</t>
        </is>
      </c>
      <c r="H1514" s="10" t="n">
        <v>45</v>
      </c>
      <c r="I1514" s="10">
        <f>IFERROR(T1514*H1514,0)</f>
        <v/>
      </c>
      <c r="J1514" s="11" t="n">
        <v>46176</v>
      </c>
      <c r="K1514" s="11" t="n">
        <v>46227</v>
      </c>
      <c r="L1514" t="inlineStr">
        <is>
          <t>Ok. Devolvida</t>
        </is>
      </c>
      <c r="M1514">
        <f>IF(L1514="","",IFERROR(VLOOKUP(L1514,mapGrupoStatus,2,0),"Outros"))</f>
        <v/>
      </c>
      <c r="N1514">
        <f>IF(O1514="","",IF(O1514&lt;=30,"0-30 dias",IF(O1514&lt;=60,"31-60 dias",IF(O1514&lt;=90,"61-90 dias","Mais de 90 dias"))))</f>
        <v/>
      </c>
      <c r="O1514">
        <f>IF(OR(M1514="Pendente",M1514="Em andamento"),IF(J1514="","",TODAY()-J1514),"")</f>
        <v/>
      </c>
      <c r="P1514" t="n">
        <v>10562</v>
      </c>
      <c r="Q1514" t="inlineStr">
        <is>
          <t>Clima &amp; Cia (10562)</t>
        </is>
      </c>
      <c r="R1514" t="inlineStr">
        <is>
          <t>PC-0019</t>
        </is>
      </c>
      <c r="S1514" t="inlineStr">
        <is>
          <t>Gaxeta da porta modelo 02</t>
        </is>
      </c>
      <c r="T1514" t="n">
        <v>2</v>
      </c>
      <c r="U1514" t="n">
        <v>131</v>
      </c>
      <c r="V1514">
        <f>IF(J1514="","",MONTH(J1514))</f>
        <v/>
      </c>
      <c r="W1514">
        <f>IF(J1514="","",YEAR(J1514))</f>
        <v/>
      </c>
      <c r="X1514" t="inlineStr">
        <is>
          <t>LogExpress</t>
        </is>
      </c>
      <c r="Y1514">
        <f>IFERROR(INDEX(Rastreio!$H$2:$H$200,MATCH(X1514&amp;"|"&amp;U1514,Rastreio!$A$2:$A$200,0)),"")</f>
        <v/>
      </c>
    </row>
    <row r="1515">
      <c r="A1515">
        <f>IFERROR(INDEX(STAs!$G$2:$G$61,MATCH(P1515,STAs!$F$2:$F$61,0))&amp;"","")</f>
        <v/>
      </c>
      <c r="B1515" t="n">
        <v>20020448</v>
      </c>
      <c r="C1515" t="inlineStr">
        <is>
          <t>Não</t>
        </is>
      </c>
      <c r="D1515" t="inlineStr">
        <is>
          <t>SC</t>
        </is>
      </c>
      <c r="E1515" t="inlineStr">
        <is>
          <t>SUL</t>
        </is>
      </c>
      <c r="F1515" t="inlineStr">
        <is>
          <t>Cliente A - Refrigerador</t>
        </is>
      </c>
      <c r="G1515" t="inlineStr">
        <is>
          <t>Chopeiras</t>
        </is>
      </c>
      <c r="H1515" s="10" t="n">
        <v>120</v>
      </c>
      <c r="I1515" s="10">
        <f>IFERROR(T1515*H1515,0)</f>
        <v/>
      </c>
      <c r="J1515" s="11" t="n">
        <v>46176</v>
      </c>
      <c r="K1515" s="11" t="n">
        <v>46222</v>
      </c>
      <c r="L1515" t="inlineStr">
        <is>
          <t>Ok. Devolvida</t>
        </is>
      </c>
      <c r="M1515">
        <f>IF(L1515="","",IFERROR(VLOOKUP(L1515,mapGrupoStatus,2,0),"Outros"))</f>
        <v/>
      </c>
      <c r="N1515">
        <f>IF(O1515="","",IF(O1515&lt;=30,"0-30 dias",IF(O1515&lt;=60,"31-60 dias",IF(O1515&lt;=90,"61-90 dias","Mais de 90 dias"))))</f>
        <v/>
      </c>
      <c r="O1515">
        <f>IF(OR(M1515="Pendente",M1515="Em andamento"),IF(J1515="","",TODAY()-J1515),"")</f>
        <v/>
      </c>
      <c r="P1515" t="n">
        <v>12138</v>
      </c>
      <c r="Q1515" t="inlineStr">
        <is>
          <t>Refrigeração Serviços (12138)</t>
        </is>
      </c>
      <c r="R1515" t="inlineStr">
        <is>
          <t>PC-0032</t>
        </is>
      </c>
      <c r="S1515" t="inlineStr">
        <is>
          <t>Regulador de pressão modelo 01</t>
        </is>
      </c>
      <c r="T1515" t="n">
        <v>2</v>
      </c>
      <c r="U1515" t="n">
        <v>132</v>
      </c>
      <c r="V1515">
        <f>IF(J1515="","",MONTH(J1515))</f>
        <v/>
      </c>
      <c r="W1515">
        <f>IF(J1515="","",YEAR(J1515))</f>
        <v/>
      </c>
      <c r="X1515" t="inlineStr">
        <is>
          <t>EntregaJá</t>
        </is>
      </c>
      <c r="Y1515">
        <f>IFERROR(INDEX(Rastreio!$H$2:$H$200,MATCH(X1515&amp;"|"&amp;U1515,Rastreio!$A$2:$A$200,0)),"")</f>
        <v/>
      </c>
    </row>
    <row r="1516">
      <c r="A1516">
        <f>IFERROR(INDEX(STAs!$G$2:$G$61,MATCH(P1516,STAs!$F$2:$F$61,0))&amp;"","")</f>
        <v/>
      </c>
      <c r="B1516" t="n">
        <v>20023427</v>
      </c>
      <c r="C1516" t="inlineStr">
        <is>
          <t>Não</t>
        </is>
      </c>
      <c r="D1516" t="inlineStr">
        <is>
          <t>GO</t>
        </is>
      </c>
      <c r="E1516" t="inlineStr">
        <is>
          <t>CENTRO OESTE</t>
        </is>
      </c>
      <c r="F1516" t="inlineStr">
        <is>
          <t>Cliente C - Misturador</t>
        </is>
      </c>
      <c r="G1516" t="inlineStr">
        <is>
          <t>Refrigeradores</t>
        </is>
      </c>
      <c r="H1516" s="10" t="n">
        <v>155</v>
      </c>
      <c r="I1516" s="10">
        <f>IFERROR(T1516*H1516,0)</f>
        <v/>
      </c>
      <c r="J1516" s="11" t="n">
        <v>46176</v>
      </c>
      <c r="K1516" s="11" t="n">
        <v>46233</v>
      </c>
      <c r="L1516" t="inlineStr">
        <is>
          <t>Ok. Devolvida</t>
        </is>
      </c>
      <c r="M1516">
        <f>IF(L1516="","",IFERROR(VLOOKUP(L1516,mapGrupoStatus,2,0),"Outros"))</f>
        <v/>
      </c>
      <c r="N1516">
        <f>IF(O1516="","",IF(O1516&lt;=30,"0-30 dias",IF(O1516&lt;=60,"31-60 dias",IF(O1516&lt;=90,"61-90 dias","Mais de 90 dias"))))</f>
        <v/>
      </c>
      <c r="O1516">
        <f>IF(OR(M1516="Pendente",M1516="Em andamento"),IF(J1516="","",TODAY()-J1516),"")</f>
        <v/>
      </c>
      <c r="P1516" t="n">
        <v>10317</v>
      </c>
      <c r="Q1516" t="inlineStr">
        <is>
          <t>Termotec Manutenção (10317)</t>
        </is>
      </c>
      <c r="R1516" t="inlineStr">
        <is>
          <t>PC-0021</t>
        </is>
      </c>
      <c r="S1516" t="inlineStr">
        <is>
          <t>Controlador digital modelo 01</t>
        </is>
      </c>
      <c r="T1516" t="n">
        <v>2</v>
      </c>
      <c r="U1516" t="n">
        <v>136</v>
      </c>
      <c r="V1516">
        <f>IF(J1516="","",MONTH(J1516))</f>
        <v/>
      </c>
      <c r="W1516">
        <f>IF(J1516="","",YEAR(J1516))</f>
        <v/>
      </c>
      <c r="X1516" t="inlineStr">
        <is>
          <t>EntregaJá</t>
        </is>
      </c>
      <c r="Y1516">
        <f>IFERROR(INDEX(Rastreio!$H$2:$H$200,MATCH(X1516&amp;"|"&amp;U1516,Rastreio!$A$2:$A$200,0)),"")</f>
        <v/>
      </c>
    </row>
    <row r="1517">
      <c r="A1517">
        <f>IFERROR(INDEX(STAs!$G$2:$G$61,MATCH(P1517,STAs!$F$2:$F$61,0))&amp;"","")</f>
        <v/>
      </c>
      <c r="B1517" t="n">
        <v>20031968</v>
      </c>
      <c r="C1517" t="inlineStr">
        <is>
          <t>Não</t>
        </is>
      </c>
      <c r="D1517" t="inlineStr">
        <is>
          <t>MT</t>
        </is>
      </c>
      <c r="E1517" t="inlineStr">
        <is>
          <t>CENTRO OESTE</t>
        </is>
      </c>
      <c r="F1517" t="inlineStr">
        <is>
          <t>Cliente C - Misturador</t>
        </is>
      </c>
      <c r="G1517" t="inlineStr">
        <is>
          <t>Chopeiras</t>
        </is>
      </c>
      <c r="H1517" s="10" t="n">
        <v>100</v>
      </c>
      <c r="I1517" s="10">
        <f>IFERROR(T1517*H1517,0)</f>
        <v/>
      </c>
      <c r="J1517" s="11" t="n">
        <v>46176</v>
      </c>
      <c r="K1517" s="11" t="n">
        <v>46230</v>
      </c>
      <c r="L1517" t="inlineStr">
        <is>
          <t>Ok. Devolvida</t>
        </is>
      </c>
      <c r="M1517">
        <f>IF(L1517="","",IFERROR(VLOOKUP(L1517,mapGrupoStatus,2,0),"Outros"))</f>
        <v/>
      </c>
      <c r="N1517">
        <f>IF(O1517="","",IF(O1517&lt;=30,"0-30 dias",IF(O1517&lt;=60,"31-60 dias",IF(O1517&lt;=90,"61-90 dias","Mais de 90 dias"))))</f>
        <v/>
      </c>
      <c r="O1517">
        <f>IF(OR(M1517="Pendente",M1517="Em andamento"),IF(J1517="","",TODAY()-J1517),"")</f>
        <v/>
      </c>
      <c r="P1517" t="n">
        <v>10227</v>
      </c>
      <c r="Q1517" t="inlineStr">
        <is>
          <t>Assistência Técnica ME (10227)</t>
        </is>
      </c>
      <c r="R1517" t="inlineStr">
        <is>
          <t>PC-0027</t>
        </is>
      </c>
      <c r="S1517" t="inlineStr">
        <is>
          <t>Torneira de chopp modelo 02</t>
        </is>
      </c>
      <c r="T1517" t="n">
        <v>1</v>
      </c>
      <c r="U1517" t="n">
        <v>156</v>
      </c>
      <c r="V1517">
        <f>IF(J1517="","",MONTH(J1517))</f>
        <v/>
      </c>
      <c r="W1517">
        <f>IF(J1517="","",YEAR(J1517))</f>
        <v/>
      </c>
      <c r="X1517" t="inlineStr">
        <is>
          <t>CargoMax</t>
        </is>
      </c>
      <c r="Y1517">
        <f>IFERROR(INDEX(Rastreio!$H$2:$H$200,MATCH(X1517&amp;"|"&amp;U1517,Rastreio!$A$2:$A$200,0)),"")</f>
        <v/>
      </c>
    </row>
    <row r="1518">
      <c r="A1518">
        <f>IFERROR(INDEX(STAs!$G$2:$G$61,MATCH(P1518,STAs!$F$2:$F$61,0))&amp;"","")</f>
        <v/>
      </c>
      <c r="B1518" t="n">
        <v>20033005</v>
      </c>
      <c r="C1518" t="inlineStr">
        <is>
          <t>Não</t>
        </is>
      </c>
      <c r="D1518" t="inlineStr">
        <is>
          <t>SP</t>
        </is>
      </c>
      <c r="E1518" t="inlineStr">
        <is>
          <t>SUDESTE SP</t>
        </is>
      </c>
      <c r="F1518" t="inlineStr">
        <is>
          <t>Cliente C - Misturador</t>
        </is>
      </c>
      <c r="G1518" t="inlineStr">
        <is>
          <t>Chopeiras</t>
        </is>
      </c>
      <c r="H1518" s="10" t="n">
        <v>115</v>
      </c>
      <c r="I1518" s="10">
        <f>IFERROR(T1518*H1518,0)</f>
        <v/>
      </c>
      <c r="J1518" s="11" t="n">
        <v>46176</v>
      </c>
      <c r="K1518" s="11" t="n">
        <v>46217</v>
      </c>
      <c r="L1518" t="inlineStr">
        <is>
          <t>Ok. Devolvida</t>
        </is>
      </c>
      <c r="M1518">
        <f>IF(L1518="","",IFERROR(VLOOKUP(L1518,mapGrupoStatus,2,0),"Outros"))</f>
        <v/>
      </c>
      <c r="N1518">
        <f>IF(O1518="","",IF(O1518&lt;=30,"0-30 dias",IF(O1518&lt;=60,"31-60 dias",IF(O1518&lt;=90,"61-90 dias","Mais de 90 dias"))))</f>
        <v/>
      </c>
      <c r="O1518">
        <f>IF(OR(M1518="Pendente",M1518="Em andamento"),IF(J1518="","",TODAY()-J1518),"")</f>
        <v/>
      </c>
      <c r="P1518" t="n">
        <v>10111</v>
      </c>
      <c r="Q1518" t="inlineStr">
        <is>
          <t>Refrigel Manutenção (10111)</t>
        </is>
      </c>
      <c r="R1518" t="inlineStr">
        <is>
          <t>PC-0033</t>
        </is>
      </c>
      <c r="S1518" t="inlineStr">
        <is>
          <t>Regulador de pressão modelo 02</t>
        </is>
      </c>
      <c r="T1518" t="n">
        <v>1</v>
      </c>
      <c r="U1518" t="n">
        <v>152</v>
      </c>
      <c r="V1518">
        <f>IF(J1518="","",MONTH(J1518))</f>
        <v/>
      </c>
      <c r="W1518">
        <f>IF(J1518="","",YEAR(J1518))</f>
        <v/>
      </c>
      <c r="X1518" t="inlineStr">
        <is>
          <t>ViaCargo</t>
        </is>
      </c>
      <c r="Y1518">
        <f>IFERROR(INDEX(Rastreio!$H$2:$H$200,MATCH(X1518&amp;"|"&amp;U1518,Rastreio!$A$2:$A$200,0)),"")</f>
        <v/>
      </c>
    </row>
    <row r="1519">
      <c r="A1519">
        <f>IFERROR(INDEX(STAs!$G$2:$G$61,MATCH(P1519,STAs!$F$2:$F$61,0))&amp;"","")</f>
        <v/>
      </c>
      <c r="B1519" t="n">
        <v>20038485</v>
      </c>
      <c r="C1519" t="inlineStr">
        <is>
          <t>Sim</t>
        </is>
      </c>
      <c r="D1519" t="inlineStr">
        <is>
          <t>PR</t>
        </is>
      </c>
      <c r="E1519" t="inlineStr">
        <is>
          <t>SUL</t>
        </is>
      </c>
      <c r="F1519" t="inlineStr">
        <is>
          <t>Cliente A - Refrigerador</t>
        </is>
      </c>
      <c r="G1519" t="inlineStr">
        <is>
          <t>Misturadores</t>
        </is>
      </c>
      <c r="H1519" s="10" t="n">
        <v>255</v>
      </c>
      <c r="I1519" s="10">
        <f>IFERROR(T1519*H1519,0)</f>
        <v/>
      </c>
      <c r="J1519" s="11" t="n">
        <v>46176</v>
      </c>
      <c r="K1519" s="11" t="n">
        <v>46197</v>
      </c>
      <c r="L1519" t="inlineStr">
        <is>
          <t>Ok. Devolvida</t>
        </is>
      </c>
      <c r="M1519">
        <f>IF(L1519="","",IFERROR(VLOOKUP(L1519,mapGrupoStatus,2,0),"Outros"))</f>
        <v/>
      </c>
      <c r="N1519">
        <f>IF(O1519="","",IF(O1519&lt;=30,"0-30 dias",IF(O1519&lt;=60,"31-60 dias",IF(O1519&lt;=90,"61-90 dias","Mais de 90 dias"))))</f>
        <v/>
      </c>
      <c r="O1519">
        <f>IF(OR(M1519="Pendente",M1519="Em andamento"),IF(J1519="","",TODAY()-J1519),"")</f>
        <v/>
      </c>
      <c r="P1519" t="n">
        <v>10913</v>
      </c>
      <c r="Q1519" t="inlineStr">
        <is>
          <t>Ice Tech &amp; Cia (10913)</t>
        </is>
      </c>
      <c r="R1519" t="inlineStr">
        <is>
          <t>PC-0037</t>
        </is>
      </c>
      <c r="S1519" t="inlineStr">
        <is>
          <t>Bomba de recirculação modelo 01</t>
        </is>
      </c>
      <c r="T1519" t="n">
        <v>3</v>
      </c>
      <c r="U1519" t="n">
        <v>167</v>
      </c>
      <c r="V1519">
        <f>IF(J1519="","",MONTH(J1519))</f>
        <v/>
      </c>
      <c r="W1519">
        <f>IF(J1519="","",YEAR(J1519))</f>
        <v/>
      </c>
      <c r="X1519" t="inlineStr">
        <is>
          <t>CargoMax</t>
        </is>
      </c>
      <c r="Y1519">
        <f>IFERROR(INDEX(Rastreio!$H$2:$H$200,MATCH(X1519&amp;"|"&amp;U1519,Rastreio!$A$2:$A$200,0)),"")</f>
        <v/>
      </c>
    </row>
    <row r="1520">
      <c r="A1520">
        <f>IFERROR(INDEX(STAs!$G$2:$G$61,MATCH(P1520,STAs!$F$2:$F$61,0))&amp;"","")</f>
        <v/>
      </c>
      <c r="B1520" t="n">
        <v>20001319</v>
      </c>
      <c r="C1520" t="inlineStr">
        <is>
          <t>Não</t>
        </is>
      </c>
      <c r="D1520" t="inlineStr">
        <is>
          <t>SP</t>
        </is>
      </c>
      <c r="E1520" t="inlineStr">
        <is>
          <t>SUDESTE SP</t>
        </is>
      </c>
      <c r="F1520" t="inlineStr">
        <is>
          <t>Cliente B - Chopeira</t>
        </is>
      </c>
      <c r="G1520" t="inlineStr">
        <is>
          <t>Refrigeradores</t>
        </is>
      </c>
      <c r="H1520" s="10" t="n">
        <v>185</v>
      </c>
      <c r="I1520" s="10">
        <f>IFERROR(T1520*H1520,0)</f>
        <v/>
      </c>
      <c r="J1520" s="11" t="n">
        <v>46177</v>
      </c>
      <c r="K1520" s="11" t="n"/>
      <c r="L1520" t="inlineStr">
        <is>
          <t>NF Vencida</t>
        </is>
      </c>
      <c r="M1520">
        <f>IF(L1520="","",IFERROR(VLOOKUP(L1520,mapGrupoStatus,2,0),"Outros"))</f>
        <v/>
      </c>
      <c r="N1520">
        <f>IF(O1520="","",IF(O1520&lt;=30,"0-30 dias",IF(O1520&lt;=60,"31-60 dias",IF(O1520&lt;=90,"61-90 dias","Mais de 90 dias"))))</f>
        <v/>
      </c>
      <c r="O1520">
        <f>IF(OR(M1520="Pendente",M1520="Em andamento"),IF(J1520="","",TODAY()-J1520),"")</f>
        <v/>
      </c>
      <c r="P1520" t="n">
        <v>10538</v>
      </c>
      <c r="Q1520" t="inlineStr">
        <is>
          <t>Frio Refrigeração (10538)</t>
        </is>
      </c>
      <c r="R1520" t="inlineStr">
        <is>
          <t>PC-0013</t>
        </is>
      </c>
      <c r="S1520" t="inlineStr">
        <is>
          <t>Placa eletrônica modelo 03</t>
        </is>
      </c>
      <c r="T1520" t="n">
        <v>1</v>
      </c>
      <c r="U1520" t="inlineStr"/>
      <c r="V1520">
        <f>IF(J1520="","",MONTH(J1520))</f>
        <v/>
      </c>
      <c r="W1520">
        <f>IF(J1520="","",YEAR(J1520))</f>
        <v/>
      </c>
      <c r="X1520" t="inlineStr"/>
      <c r="Y1520">
        <f>IFERROR(INDEX(Rastreio!$H$2:$H$200,MATCH(X1520&amp;"|"&amp;U1520,Rastreio!$A$2:$A$200,0)),"")</f>
        <v/>
      </c>
    </row>
    <row r="1521">
      <c r="A1521">
        <f>IFERROR(INDEX(STAs!$G$2:$G$61,MATCH(P1521,STAs!$F$2:$F$61,0))&amp;"","")</f>
        <v/>
      </c>
      <c r="B1521" t="n">
        <v>20010626</v>
      </c>
      <c r="C1521" t="inlineStr">
        <is>
          <t>Não</t>
        </is>
      </c>
      <c r="D1521" t="inlineStr">
        <is>
          <t>RO</t>
        </is>
      </c>
      <c r="E1521" t="inlineStr">
        <is>
          <t>NORTE</t>
        </is>
      </c>
      <c r="F1521" t="inlineStr">
        <is>
          <t>Cliente C - Misturador</t>
        </is>
      </c>
      <c r="G1521" t="inlineStr">
        <is>
          <t>Refrigeradores</t>
        </is>
      </c>
      <c r="H1521" s="10" t="n">
        <v>70</v>
      </c>
      <c r="I1521" s="10">
        <f>IFERROR(T1521*H1521,0)</f>
        <v/>
      </c>
      <c r="J1521" s="11" t="n">
        <v>46177</v>
      </c>
      <c r="K1521" s="11" t="n"/>
      <c r="L1521" t="inlineStr">
        <is>
          <t>Aguardando devolução</t>
        </is>
      </c>
      <c r="M1521">
        <f>IF(L1521="","",IFERROR(VLOOKUP(L1521,mapGrupoStatus,2,0),"Outros"))</f>
        <v/>
      </c>
      <c r="N1521">
        <f>IF(O1521="","",IF(O1521&lt;=30,"0-30 dias",IF(O1521&lt;=60,"31-60 dias",IF(O1521&lt;=90,"61-90 dias","Mais de 90 dias"))))</f>
        <v/>
      </c>
      <c r="O1521">
        <f>IF(OR(M1521="Pendente",M1521="Em andamento"),IF(J1521="","",TODAY()-J1521),"")</f>
        <v/>
      </c>
      <c r="P1521" t="n">
        <v>12019</v>
      </c>
      <c r="Q1521" t="inlineStr">
        <is>
          <t>Ártico Serviços (12019)</t>
        </is>
      </c>
      <c r="R1521" t="inlineStr">
        <is>
          <t>PC-0009</t>
        </is>
      </c>
      <c r="S1521" t="inlineStr">
        <is>
          <t>Ventilador modelo 03</t>
        </is>
      </c>
      <c r="T1521" t="n">
        <v>1</v>
      </c>
      <c r="U1521" t="inlineStr"/>
      <c r="V1521">
        <f>IF(J1521="","",MONTH(J1521))</f>
        <v/>
      </c>
      <c r="W1521">
        <f>IF(J1521="","",YEAR(J1521))</f>
        <v/>
      </c>
      <c r="X1521" t="inlineStr"/>
      <c r="Y1521">
        <f>IFERROR(INDEX(Rastreio!$H$2:$H$200,MATCH(X1521&amp;"|"&amp;U1521,Rastreio!$A$2:$A$200,0)),"")</f>
        <v/>
      </c>
    </row>
    <row r="1522">
      <c r="A1522">
        <f>IFERROR(INDEX(STAs!$G$2:$G$61,MATCH(P1522,STAs!$F$2:$F$61,0))&amp;"","")</f>
        <v/>
      </c>
      <c r="B1522" t="n">
        <v>20011683</v>
      </c>
      <c r="C1522" t="inlineStr">
        <is>
          <t>Não</t>
        </is>
      </c>
      <c r="D1522" t="inlineStr">
        <is>
          <t>SP</t>
        </is>
      </c>
      <c r="E1522" t="inlineStr">
        <is>
          <t>SUDESTE SP</t>
        </is>
      </c>
      <c r="F1522" t="inlineStr">
        <is>
          <t>Cliente B - Chopeira</t>
        </is>
      </c>
      <c r="G1522" t="inlineStr">
        <is>
          <t>Refrigeradores</t>
        </is>
      </c>
      <c r="H1522" s="10" t="n">
        <v>35</v>
      </c>
      <c r="I1522" s="10">
        <f>IFERROR(T1522*H1522,0)</f>
        <v/>
      </c>
      <c r="J1522" s="11" t="n">
        <v>46177</v>
      </c>
      <c r="K1522" s="11" t="n">
        <v>46187</v>
      </c>
      <c r="L1522" t="inlineStr">
        <is>
          <t>Ok. Devolvida</t>
        </is>
      </c>
      <c r="M1522">
        <f>IF(L1522="","",IFERROR(VLOOKUP(L1522,mapGrupoStatus,2,0),"Outros"))</f>
        <v/>
      </c>
      <c r="N1522">
        <f>IF(O1522="","",IF(O1522&lt;=30,"0-30 dias",IF(O1522&lt;=60,"31-60 dias",IF(O1522&lt;=90,"61-90 dias","Mais de 90 dias"))))</f>
        <v/>
      </c>
      <c r="O1522">
        <f>IF(OR(M1522="Pendente",M1522="Em andamento"),IF(J1522="","",TODAY()-J1522),"")</f>
        <v/>
      </c>
      <c r="P1522" t="n">
        <v>12901</v>
      </c>
      <c r="Q1522" t="inlineStr">
        <is>
          <t>Frio Serviços (12901)</t>
        </is>
      </c>
      <c r="R1522" t="inlineStr">
        <is>
          <t>PC-0023</t>
        </is>
      </c>
      <c r="S1522" t="inlineStr">
        <is>
          <t>Relé de partida modelo 01</t>
        </is>
      </c>
      <c r="T1522" t="n">
        <v>1</v>
      </c>
      <c r="U1522" t="n">
        <v>119</v>
      </c>
      <c r="V1522">
        <f>IF(J1522="","",MONTH(J1522))</f>
        <v/>
      </c>
      <c r="W1522">
        <f>IF(J1522="","",YEAR(J1522))</f>
        <v/>
      </c>
      <c r="X1522" t="inlineStr">
        <is>
          <t>RotaSul</t>
        </is>
      </c>
      <c r="Y1522">
        <f>IFERROR(INDEX(Rastreio!$H$2:$H$200,MATCH(X1522&amp;"|"&amp;U1522,Rastreio!$A$2:$A$200,0)),"")</f>
        <v/>
      </c>
    </row>
    <row r="1523">
      <c r="A1523">
        <f>IFERROR(INDEX(STAs!$G$2:$G$61,MATCH(P1523,STAs!$F$2:$F$61,0))&amp;"","")</f>
        <v/>
      </c>
      <c r="B1523" t="n">
        <v>20031502</v>
      </c>
      <c r="C1523" t="inlineStr">
        <is>
          <t>Não</t>
        </is>
      </c>
      <c r="D1523" t="inlineStr">
        <is>
          <t>AC</t>
        </is>
      </c>
      <c r="E1523" t="inlineStr">
        <is>
          <t>NORTE</t>
        </is>
      </c>
      <c r="F1523" t="inlineStr">
        <is>
          <t>Cliente A - Refrigerador</t>
        </is>
      </c>
      <c r="G1523" t="inlineStr">
        <is>
          <t>Misturadores</t>
        </is>
      </c>
      <c r="H1523" s="10" t="n">
        <v>200</v>
      </c>
      <c r="I1523" s="10">
        <f>IFERROR(T1523*H1523,0)</f>
        <v/>
      </c>
      <c r="J1523" s="11" t="n">
        <v>46177</v>
      </c>
      <c r="K1523" s="11" t="n"/>
      <c r="L1523" t="inlineStr">
        <is>
          <t>Não Devolve-Norte</t>
        </is>
      </c>
      <c r="M1523">
        <f>IF(L1523="","",IFERROR(VLOOKUP(L1523,mapGrupoStatus,2,0),"Outros"))</f>
        <v/>
      </c>
      <c r="N1523">
        <f>IF(O1523="","",IF(O1523&lt;=30,"0-30 dias",IF(O1523&lt;=60,"31-60 dias",IF(O1523&lt;=90,"61-90 dias","Mais de 90 dias"))))</f>
        <v/>
      </c>
      <c r="O1523">
        <f>IF(OR(M1523="Pendente",M1523="Em andamento"),IF(J1523="","",TODAY()-J1523),"")</f>
        <v/>
      </c>
      <c r="P1523" t="n">
        <v>11022</v>
      </c>
      <c r="Q1523" t="inlineStr">
        <is>
          <t>Brisa Ltda (11022)</t>
        </is>
      </c>
      <c r="R1523" t="inlineStr">
        <is>
          <t>PC-0040</t>
        </is>
      </c>
      <c r="S1523" t="inlineStr">
        <is>
          <t>Motor agitador modelo 01</t>
        </is>
      </c>
      <c r="T1523" t="n">
        <v>1</v>
      </c>
      <c r="U1523" t="inlineStr"/>
      <c r="V1523">
        <f>IF(J1523="","",MONTH(J1523))</f>
        <v/>
      </c>
      <c r="W1523">
        <f>IF(J1523="","",YEAR(J1523))</f>
        <v/>
      </c>
      <c r="X1523" t="inlineStr"/>
      <c r="Y1523">
        <f>IFERROR(INDEX(Rastreio!$H$2:$H$200,MATCH(X1523&amp;"|"&amp;U1523,Rastreio!$A$2:$A$200,0)),"")</f>
        <v/>
      </c>
    </row>
    <row r="1524">
      <c r="A1524">
        <f>IFERROR(INDEX(STAs!$G$2:$G$61,MATCH(P1524,STAs!$F$2:$F$61,0))&amp;"","")</f>
        <v/>
      </c>
      <c r="B1524" t="n">
        <v>20034486</v>
      </c>
      <c r="C1524" t="inlineStr">
        <is>
          <t>Não</t>
        </is>
      </c>
      <c r="D1524" t="inlineStr">
        <is>
          <t>BA</t>
        </is>
      </c>
      <c r="E1524" t="inlineStr">
        <is>
          <t>NORDESTE</t>
        </is>
      </c>
      <c r="F1524" t="inlineStr">
        <is>
          <t>Cliente C - Misturador</t>
        </is>
      </c>
      <c r="G1524" t="inlineStr">
        <is>
          <t>Refrigeradores</t>
        </is>
      </c>
      <c r="H1524" s="10" t="n">
        <v>35</v>
      </c>
      <c r="I1524" s="10">
        <f>IFERROR(T1524*H1524,0)</f>
        <v/>
      </c>
      <c r="J1524" s="11" t="n">
        <v>46177</v>
      </c>
      <c r="K1524" s="11" t="n">
        <v>46226</v>
      </c>
      <c r="L1524" t="inlineStr">
        <is>
          <t>Ok. Devolvida</t>
        </is>
      </c>
      <c r="M1524">
        <f>IF(L1524="","",IFERROR(VLOOKUP(L1524,mapGrupoStatus,2,0),"Outros"))</f>
        <v/>
      </c>
      <c r="N1524">
        <f>IF(O1524="","",IF(O1524&lt;=30,"0-30 dias",IF(O1524&lt;=60,"31-60 dias",IF(O1524&lt;=90,"61-90 dias","Mais de 90 dias"))))</f>
        <v/>
      </c>
      <c r="O1524">
        <f>IF(OR(M1524="Pendente",M1524="Em andamento"),IF(J1524="","",TODAY()-J1524),"")</f>
        <v/>
      </c>
      <c r="P1524" t="n">
        <v>11244</v>
      </c>
      <c r="Q1524" t="inlineStr">
        <is>
          <t>Refrigeração Manutenção (11244)</t>
        </is>
      </c>
      <c r="R1524" t="inlineStr">
        <is>
          <t>PC-0016</t>
        </is>
      </c>
      <c r="S1524" t="inlineStr">
        <is>
          <t>Filtro secador modelo 02</t>
        </is>
      </c>
      <c r="T1524" t="n">
        <v>1</v>
      </c>
      <c r="U1524" t="n">
        <v>162</v>
      </c>
      <c r="V1524">
        <f>IF(J1524="","",MONTH(J1524))</f>
        <v/>
      </c>
      <c r="W1524">
        <f>IF(J1524="","",YEAR(J1524))</f>
        <v/>
      </c>
      <c r="X1524" t="inlineStr">
        <is>
          <t>TransNorte</t>
        </is>
      </c>
      <c r="Y1524">
        <f>IFERROR(INDEX(Rastreio!$H$2:$H$200,MATCH(X1524&amp;"|"&amp;U1524,Rastreio!$A$2:$A$200,0)),"")</f>
        <v/>
      </c>
    </row>
    <row r="1525">
      <c r="A1525">
        <f>IFERROR(INDEX(STAs!$G$2:$G$61,MATCH(P1525,STAs!$F$2:$F$61,0))&amp;"","")</f>
        <v/>
      </c>
      <c r="B1525" t="n">
        <v>20022073</v>
      </c>
      <c r="C1525" t="inlineStr">
        <is>
          <t>Não</t>
        </is>
      </c>
      <c r="D1525" t="inlineStr">
        <is>
          <t>PI</t>
        </is>
      </c>
      <c r="E1525" t="inlineStr">
        <is>
          <t>NORDESTE</t>
        </is>
      </c>
      <c r="F1525" t="inlineStr">
        <is>
          <t>Cliente A - Refrigerador</t>
        </is>
      </c>
      <c r="G1525" t="inlineStr">
        <is>
          <t>Misturadores</t>
        </is>
      </c>
      <c r="H1525" s="10" t="n">
        <v>200</v>
      </c>
      <c r="I1525" s="10">
        <f>IFERROR(T1525*H1525,0)</f>
        <v/>
      </c>
      <c r="J1525" s="11" t="n">
        <v>46178</v>
      </c>
      <c r="K1525" s="11" t="n">
        <v>46210</v>
      </c>
      <c r="L1525" t="inlineStr">
        <is>
          <t>Ok. Devolvida</t>
        </is>
      </c>
      <c r="M1525">
        <f>IF(L1525="","",IFERROR(VLOOKUP(L1525,mapGrupoStatus,2,0),"Outros"))</f>
        <v/>
      </c>
      <c r="N1525">
        <f>IF(O1525="","",IF(O1525&lt;=30,"0-30 dias",IF(O1525&lt;=60,"31-60 dias",IF(O1525&lt;=90,"61-90 dias","Mais de 90 dias"))))</f>
        <v/>
      </c>
      <c r="O1525">
        <f>IF(OR(M1525="Pendente",M1525="Em andamento"),IF(J1525="","",TODAY()-J1525),"")</f>
        <v/>
      </c>
      <c r="P1525" t="n">
        <v>10562</v>
      </c>
      <c r="Q1525" t="inlineStr">
        <is>
          <t>Clima &amp; Cia (10562)</t>
        </is>
      </c>
      <c r="R1525" t="inlineStr">
        <is>
          <t>PC-0040</t>
        </is>
      </c>
      <c r="S1525" t="inlineStr">
        <is>
          <t>Motor agitador modelo 01</t>
        </is>
      </c>
      <c r="T1525" t="n">
        <v>1</v>
      </c>
      <c r="U1525" t="n">
        <v>139</v>
      </c>
      <c r="V1525">
        <f>IF(J1525="","",MONTH(J1525))</f>
        <v/>
      </c>
      <c r="W1525">
        <f>IF(J1525="","",YEAR(J1525))</f>
        <v/>
      </c>
      <c r="X1525" t="inlineStr">
        <is>
          <t>LogExpress</t>
        </is>
      </c>
      <c r="Y1525">
        <f>IFERROR(INDEX(Rastreio!$H$2:$H$200,MATCH(X1525&amp;"|"&amp;U1525,Rastreio!$A$2:$A$200,0)),"")</f>
        <v/>
      </c>
    </row>
    <row r="1526">
      <c r="A1526">
        <f>IFERROR(INDEX(STAs!$G$2:$G$61,MATCH(P1526,STAs!$F$2:$F$61,0))&amp;"","")</f>
        <v/>
      </c>
      <c r="B1526" t="n">
        <v>20040339</v>
      </c>
      <c r="C1526" t="inlineStr">
        <is>
          <t>Não</t>
        </is>
      </c>
      <c r="D1526" t="inlineStr">
        <is>
          <t>GO</t>
        </is>
      </c>
      <c r="E1526" t="inlineStr">
        <is>
          <t>CENTRO OESTE</t>
        </is>
      </c>
      <c r="F1526" t="inlineStr">
        <is>
          <t>Cliente A - Refrigerador</t>
        </is>
      </c>
      <c r="G1526" t="inlineStr">
        <is>
          <t>Refrigeradores</t>
        </is>
      </c>
      <c r="H1526" s="10" t="n">
        <v>45</v>
      </c>
      <c r="I1526" s="10">
        <f>IFERROR(T1526*H1526,0)</f>
        <v/>
      </c>
      <c r="J1526" s="11" t="n">
        <v>46178</v>
      </c>
      <c r="K1526" s="11" t="n"/>
      <c r="L1526" t="inlineStr">
        <is>
          <t>Em andamento</t>
        </is>
      </c>
      <c r="M1526">
        <f>IF(L1526="","",IFERROR(VLOOKUP(L1526,mapGrupoStatus,2,0),"Outros"))</f>
        <v/>
      </c>
      <c r="N1526">
        <f>IF(O1526="","",IF(O1526&lt;=30,"0-30 dias",IF(O1526&lt;=60,"31-60 dias",IF(O1526&lt;=90,"61-90 dias","Mais de 90 dias"))))</f>
        <v/>
      </c>
      <c r="O1526">
        <f>IF(OR(M1526="Pendente",M1526="Em andamento"),IF(J1526="","",TODAY()-J1526),"")</f>
        <v/>
      </c>
      <c r="P1526" t="n">
        <v>10317</v>
      </c>
      <c r="Q1526" t="inlineStr">
        <is>
          <t>Termotec Manutenção (10317)</t>
        </is>
      </c>
      <c r="R1526" t="inlineStr">
        <is>
          <t>PC-0019</t>
        </is>
      </c>
      <c r="S1526" t="inlineStr">
        <is>
          <t>Gaxeta da porta modelo 02</t>
        </is>
      </c>
      <c r="T1526" t="n">
        <v>2</v>
      </c>
      <c r="U1526" t="n">
        <v>159</v>
      </c>
      <c r="V1526">
        <f>IF(J1526="","",MONTH(J1526))</f>
        <v/>
      </c>
      <c r="W1526">
        <f>IF(J1526="","",YEAR(J1526))</f>
        <v/>
      </c>
      <c r="X1526" t="inlineStr">
        <is>
          <t>EntregaJá</t>
        </is>
      </c>
      <c r="Y1526">
        <f>IFERROR(INDEX(Rastreio!$H$2:$H$200,MATCH(X1526&amp;"|"&amp;U1526,Rastreio!$A$2:$A$200,0)),"")</f>
        <v/>
      </c>
    </row>
    <row r="1527">
      <c r="A1527">
        <f>IFERROR(INDEX(STAs!$G$2:$G$61,MATCH(P1527,STAs!$F$2:$F$61,0))&amp;"","")</f>
        <v/>
      </c>
      <c r="B1527" t="n">
        <v>20040752</v>
      </c>
      <c r="C1527" t="inlineStr">
        <is>
          <t>Não</t>
        </is>
      </c>
      <c r="D1527" t="inlineStr">
        <is>
          <t>RR</t>
        </is>
      </c>
      <c r="E1527" t="inlineStr">
        <is>
          <t>NORTE</t>
        </is>
      </c>
      <c r="F1527" t="inlineStr">
        <is>
          <t>Cliente C - Misturador</t>
        </is>
      </c>
      <c r="G1527" t="inlineStr">
        <is>
          <t>Refrigeradores</t>
        </is>
      </c>
      <c r="H1527" s="10" t="n">
        <v>35</v>
      </c>
      <c r="I1527" s="10">
        <f>IFERROR(T1527*H1527,0)</f>
        <v/>
      </c>
      <c r="J1527" s="11" t="n">
        <v>46178</v>
      </c>
      <c r="K1527" s="11" t="n"/>
      <c r="L1527" t="inlineStr">
        <is>
          <t>Não Devolve-Norte</t>
        </is>
      </c>
      <c r="M1527">
        <f>IF(L1527="","",IFERROR(VLOOKUP(L1527,mapGrupoStatus,2,0),"Outros"))</f>
        <v/>
      </c>
      <c r="N1527">
        <f>IF(O1527="","",IF(O1527&lt;=30,"0-30 dias",IF(O1527&lt;=60,"31-60 dias",IF(O1527&lt;=90,"61-90 dias","Mais de 90 dias"))))</f>
        <v/>
      </c>
      <c r="O1527">
        <f>IF(OR(M1527="Pendente",M1527="Em andamento"),IF(J1527="","",TODAY()-J1527),"")</f>
        <v/>
      </c>
      <c r="P1527" t="n">
        <v>12422</v>
      </c>
      <c r="Q1527" t="inlineStr">
        <is>
          <t>Assistência Técnica Refrigeração (12422)</t>
        </is>
      </c>
      <c r="R1527" t="inlineStr">
        <is>
          <t>PC-0024</t>
        </is>
      </c>
      <c r="S1527" t="inlineStr">
        <is>
          <t>Relé de partida modelo 02</t>
        </is>
      </c>
      <c r="T1527" t="n">
        <v>2</v>
      </c>
      <c r="U1527" t="inlineStr"/>
      <c r="V1527">
        <f>IF(J1527="","",MONTH(J1527))</f>
        <v/>
      </c>
      <c r="W1527">
        <f>IF(J1527="","",YEAR(J1527))</f>
        <v/>
      </c>
      <c r="X1527" t="inlineStr"/>
      <c r="Y1527">
        <f>IFERROR(INDEX(Rastreio!$H$2:$H$200,MATCH(X1527&amp;"|"&amp;U1527,Rastreio!$A$2:$A$200,0)),"")</f>
        <v/>
      </c>
    </row>
    <row r="1528">
      <c r="A1528">
        <f>IFERROR(INDEX(STAs!$G$2:$G$61,MATCH(P1528,STAs!$F$2:$F$61,0))&amp;"","")</f>
        <v/>
      </c>
      <c r="B1528" t="n">
        <v>20001519</v>
      </c>
      <c r="C1528" t="inlineStr">
        <is>
          <t>Não</t>
        </is>
      </c>
      <c r="D1528" t="inlineStr">
        <is>
          <t>GO</t>
        </is>
      </c>
      <c r="E1528" t="inlineStr">
        <is>
          <t>CENTRO OESTE</t>
        </is>
      </c>
      <c r="F1528" t="inlineStr">
        <is>
          <t>Cliente C - Misturador</t>
        </is>
      </c>
      <c r="G1528" t="inlineStr">
        <is>
          <t>Misturadores</t>
        </is>
      </c>
      <c r="H1528" s="10" t="n">
        <v>50</v>
      </c>
      <c r="I1528" s="10">
        <f>IFERROR(T1528*H1528,0)</f>
        <v/>
      </c>
      <c r="J1528" s="11" t="n">
        <v>46179</v>
      </c>
      <c r="K1528" s="11" t="n"/>
      <c r="L1528" t="inlineStr">
        <is>
          <t>NF Vencida</t>
        </is>
      </c>
      <c r="M1528">
        <f>IF(L1528="","",IFERROR(VLOOKUP(L1528,mapGrupoStatus,2,0),"Outros"))</f>
        <v/>
      </c>
      <c r="N1528">
        <f>IF(O1528="","",IF(O1528&lt;=30,"0-30 dias",IF(O1528&lt;=60,"31-60 dias",IF(O1528&lt;=90,"61-90 dias","Mais de 90 dias"))))</f>
        <v/>
      </c>
      <c r="O1528">
        <f>IF(OR(M1528="Pendente",M1528="Em andamento"),IF(J1528="","",TODAY()-J1528),"")</f>
        <v/>
      </c>
      <c r="P1528" t="n">
        <v>10317</v>
      </c>
      <c r="Q1528" t="inlineStr">
        <is>
          <t>Termotec Manutenção (10317)</t>
        </is>
      </c>
      <c r="R1528" t="inlineStr">
        <is>
          <t>PC-0044</t>
        </is>
      </c>
      <c r="S1528" t="inlineStr">
        <is>
          <t>Bico dosador modelo 03</t>
        </is>
      </c>
      <c r="T1528" t="n">
        <v>1</v>
      </c>
      <c r="U1528" t="inlineStr"/>
      <c r="V1528">
        <f>IF(J1528="","",MONTH(J1528))</f>
        <v/>
      </c>
      <c r="W1528">
        <f>IF(J1528="","",YEAR(J1528))</f>
        <v/>
      </c>
      <c r="X1528" t="inlineStr"/>
      <c r="Y1528">
        <f>IFERROR(INDEX(Rastreio!$H$2:$H$200,MATCH(X1528&amp;"|"&amp;U1528,Rastreio!$A$2:$A$200,0)),"")</f>
        <v/>
      </c>
    </row>
    <row r="1529">
      <c r="A1529">
        <f>IFERROR(INDEX(STAs!$G$2:$G$61,MATCH(P1529,STAs!$F$2:$F$61,0))&amp;"","")</f>
        <v/>
      </c>
      <c r="B1529" t="n">
        <v>20037482</v>
      </c>
      <c r="C1529" t="inlineStr">
        <is>
          <t>Não</t>
        </is>
      </c>
      <c r="D1529" t="inlineStr">
        <is>
          <t>BA</t>
        </is>
      </c>
      <c r="E1529" t="inlineStr">
        <is>
          <t>NORDESTE</t>
        </is>
      </c>
      <c r="F1529" t="inlineStr">
        <is>
          <t>Cliente C - Misturador</t>
        </is>
      </c>
      <c r="G1529" t="inlineStr">
        <is>
          <t>Chopeiras</t>
        </is>
      </c>
      <c r="H1529" s="10" t="n">
        <v>215</v>
      </c>
      <c r="I1529" s="10">
        <f>IFERROR(T1529*H1529,0)</f>
        <v/>
      </c>
      <c r="J1529" s="11" t="n">
        <v>46179</v>
      </c>
      <c r="K1529" s="11" t="n">
        <v>46226</v>
      </c>
      <c r="L1529" t="inlineStr">
        <is>
          <t>Ok. Devolvida</t>
        </is>
      </c>
      <c r="M1529">
        <f>IF(L1529="","",IFERROR(VLOOKUP(L1529,mapGrupoStatus,2,0),"Outros"))</f>
        <v/>
      </c>
      <c r="N1529">
        <f>IF(O1529="","",IF(O1529&lt;=30,"0-30 dias",IF(O1529&lt;=60,"31-60 dias",IF(O1529&lt;=90,"61-90 dias","Mais de 90 dias"))))</f>
        <v/>
      </c>
      <c r="O1529">
        <f>IF(OR(M1529="Pendente",M1529="Em andamento"),IF(J1529="","",TODAY()-J1529),"")</f>
        <v/>
      </c>
      <c r="P1529" t="n">
        <v>11244</v>
      </c>
      <c r="Q1529" t="inlineStr">
        <is>
          <t>Refrigeração Manutenção (11244)</t>
        </is>
      </c>
      <c r="R1529" t="inlineStr">
        <is>
          <t>PC-0030</t>
        </is>
      </c>
      <c r="S1529" t="inlineStr">
        <is>
          <t>Serpentina modelo 02</t>
        </is>
      </c>
      <c r="T1529" t="n">
        <v>1</v>
      </c>
      <c r="U1529" t="n">
        <v>158</v>
      </c>
      <c r="V1529">
        <f>IF(J1529="","",MONTH(J1529))</f>
        <v/>
      </c>
      <c r="W1529">
        <f>IF(J1529="","",YEAR(J1529))</f>
        <v/>
      </c>
      <c r="X1529" t="inlineStr">
        <is>
          <t>ViaCargo</t>
        </is>
      </c>
      <c r="Y1529">
        <f>IFERROR(INDEX(Rastreio!$H$2:$H$200,MATCH(X1529&amp;"|"&amp;U1529,Rastreio!$A$2:$A$200,0)),"")</f>
        <v/>
      </c>
    </row>
    <row r="1530">
      <c r="A1530">
        <f>IFERROR(INDEX(STAs!$G$2:$G$61,MATCH(P1530,STAs!$F$2:$F$61,0))&amp;"","")</f>
        <v/>
      </c>
      <c r="B1530" t="n">
        <v>20037625</v>
      </c>
      <c r="C1530" t="inlineStr">
        <is>
          <t>Não</t>
        </is>
      </c>
      <c r="D1530" t="inlineStr">
        <is>
          <t>SP</t>
        </is>
      </c>
      <c r="E1530" t="inlineStr">
        <is>
          <t>SUDESTE SP</t>
        </is>
      </c>
      <c r="F1530" t="inlineStr">
        <is>
          <t>Cliente C - Misturador</t>
        </is>
      </c>
      <c r="G1530" t="inlineStr">
        <is>
          <t>Refrigeradores</t>
        </is>
      </c>
      <c r="H1530" s="10" t="n">
        <v>55</v>
      </c>
      <c r="I1530" s="10">
        <f>IFERROR(T1530*H1530,0)</f>
        <v/>
      </c>
      <c r="J1530" s="11" t="n">
        <v>46179</v>
      </c>
      <c r="K1530" s="11" t="n">
        <v>46190</v>
      </c>
      <c r="L1530" t="inlineStr">
        <is>
          <t>Ok. Devolvida</t>
        </is>
      </c>
      <c r="M1530">
        <f>IF(L1530="","",IFERROR(VLOOKUP(L1530,mapGrupoStatus,2,0),"Outros"))</f>
        <v/>
      </c>
      <c r="N1530">
        <f>IF(O1530="","",IF(O1530&lt;=30,"0-30 dias",IF(O1530&lt;=60,"31-60 dias",IF(O1530&lt;=90,"61-90 dias","Mais de 90 dias"))))</f>
        <v/>
      </c>
      <c r="O1530">
        <f>IF(OR(M1530="Pendente",M1530="Em andamento"),IF(J1530="","",TODAY()-J1530),"")</f>
        <v/>
      </c>
      <c r="P1530" t="n">
        <v>11365</v>
      </c>
      <c r="Q1530" t="inlineStr">
        <is>
          <t>Ártico Express (11365)</t>
        </is>
      </c>
      <c r="R1530" t="inlineStr">
        <is>
          <t>PC-0008</t>
        </is>
      </c>
      <c r="S1530" t="inlineStr">
        <is>
          <t>Ventilador modelo 02</t>
        </is>
      </c>
      <c r="T1530" t="n">
        <v>1</v>
      </c>
      <c r="U1530" t="n">
        <v>165</v>
      </c>
      <c r="V1530">
        <f>IF(J1530="","",MONTH(J1530))</f>
        <v/>
      </c>
      <c r="W1530">
        <f>IF(J1530="","",YEAR(J1530))</f>
        <v/>
      </c>
      <c r="X1530" t="inlineStr">
        <is>
          <t>CargoMax</t>
        </is>
      </c>
      <c r="Y1530">
        <f>IFERROR(INDEX(Rastreio!$H$2:$H$200,MATCH(X1530&amp;"|"&amp;U1530,Rastreio!$A$2:$A$200,0)),"")</f>
        <v/>
      </c>
    </row>
    <row r="1531">
      <c r="A1531">
        <f>IFERROR(INDEX(STAs!$G$2:$G$61,MATCH(P1531,STAs!$F$2:$F$61,0))&amp;"","")</f>
        <v/>
      </c>
      <c r="B1531" t="n">
        <v>20006120</v>
      </c>
      <c r="C1531" t="inlineStr">
        <is>
          <t>Não</t>
        </is>
      </c>
      <c r="D1531" t="inlineStr">
        <is>
          <t>AM</t>
        </is>
      </c>
      <c r="E1531" t="inlineStr">
        <is>
          <t>NORTE</t>
        </is>
      </c>
      <c r="F1531" t="inlineStr">
        <is>
          <t>Cliente C - Misturador</t>
        </is>
      </c>
      <c r="G1531" t="inlineStr">
        <is>
          <t>Refrigeradores</t>
        </is>
      </c>
      <c r="H1531" s="10" t="n">
        <v>330</v>
      </c>
      <c r="I1531" s="10">
        <f>IFERROR(T1531*H1531,0)</f>
        <v/>
      </c>
      <c r="J1531" s="11" t="n">
        <v>46180</v>
      </c>
      <c r="K1531" s="11" t="n"/>
      <c r="L1531" t="inlineStr">
        <is>
          <t>Não Devolve-Norte</t>
        </is>
      </c>
      <c r="M1531">
        <f>IF(L1531="","",IFERROR(VLOOKUP(L1531,mapGrupoStatus,2,0),"Outros"))</f>
        <v/>
      </c>
      <c r="N1531">
        <f>IF(O1531="","",IF(O1531&lt;=30,"0-30 dias",IF(O1531&lt;=60,"31-60 dias",IF(O1531&lt;=90,"61-90 dias","Mais de 90 dias"))))</f>
        <v/>
      </c>
      <c r="O1531">
        <f>IF(OR(M1531="Pendente",M1531="Em andamento"),IF(J1531="","",TODAY()-J1531),"")</f>
        <v/>
      </c>
      <c r="P1531" t="n">
        <v>12269</v>
      </c>
      <c r="Q1531" t="inlineStr">
        <is>
          <t>Polar Técnica (12269)</t>
        </is>
      </c>
      <c r="R1531" t="inlineStr">
        <is>
          <t>PC-0003</t>
        </is>
      </c>
      <c r="S1531" t="inlineStr">
        <is>
          <t>Compressor modelo 03</t>
        </is>
      </c>
      <c r="T1531" t="n">
        <v>2</v>
      </c>
      <c r="U1531" t="inlineStr"/>
      <c r="V1531">
        <f>IF(J1531="","",MONTH(J1531))</f>
        <v/>
      </c>
      <c r="W1531">
        <f>IF(J1531="","",YEAR(J1531))</f>
        <v/>
      </c>
      <c r="X1531" t="inlineStr"/>
      <c r="Y1531">
        <f>IFERROR(INDEX(Rastreio!$H$2:$H$200,MATCH(X1531&amp;"|"&amp;U1531,Rastreio!$A$2:$A$200,0)),"")</f>
        <v/>
      </c>
    </row>
    <row r="1532">
      <c r="A1532">
        <f>IFERROR(INDEX(STAs!$G$2:$G$61,MATCH(P1532,STAs!$F$2:$F$61,0))&amp;"","")</f>
        <v/>
      </c>
      <c r="B1532" t="n">
        <v>20030130</v>
      </c>
      <c r="C1532" t="inlineStr">
        <is>
          <t>Não</t>
        </is>
      </c>
      <c r="D1532" t="inlineStr">
        <is>
          <t>AM</t>
        </is>
      </c>
      <c r="E1532" t="inlineStr">
        <is>
          <t>NORTE</t>
        </is>
      </c>
      <c r="F1532" t="inlineStr">
        <is>
          <t>Cliente B - Chopeira</t>
        </is>
      </c>
      <c r="G1532" t="inlineStr">
        <is>
          <t>Chopeiras</t>
        </is>
      </c>
      <c r="H1532" s="10" t="n">
        <v>85</v>
      </c>
      <c r="I1532" s="10">
        <f>IFERROR(T1532*H1532,0)</f>
        <v/>
      </c>
      <c r="J1532" s="11" t="n">
        <v>46180</v>
      </c>
      <c r="K1532" s="11" t="n">
        <v>46200</v>
      </c>
      <c r="L1532" t="inlineStr">
        <is>
          <t>Ok. Devolvida</t>
        </is>
      </c>
      <c r="M1532">
        <f>IF(L1532="","",IFERROR(VLOOKUP(L1532,mapGrupoStatus,2,0),"Outros"))</f>
        <v/>
      </c>
      <c r="N1532">
        <f>IF(O1532="","",IF(O1532&lt;=30,"0-30 dias",IF(O1532&lt;=60,"31-60 dias",IF(O1532&lt;=90,"61-90 dias","Mais de 90 dias"))))</f>
        <v/>
      </c>
      <c r="O1532">
        <f>IF(OR(M1532="Pendente",M1532="Em andamento"),IF(J1532="","",TODAY()-J1532),"")</f>
        <v/>
      </c>
      <c r="P1532" t="n">
        <v>12269</v>
      </c>
      <c r="Q1532" t="inlineStr">
        <is>
          <t>Polar Técnica (12269)</t>
        </is>
      </c>
      <c r="R1532" t="inlineStr">
        <is>
          <t>PC-0036</t>
        </is>
      </c>
      <c r="S1532" t="inlineStr">
        <is>
          <t>Válvula extratora modelo 02</t>
        </is>
      </c>
      <c r="T1532" t="n">
        <v>1</v>
      </c>
      <c r="U1532" t="n">
        <v>147</v>
      </c>
      <c r="V1532">
        <f>IF(J1532="","",MONTH(J1532))</f>
        <v/>
      </c>
      <c r="W1532">
        <f>IF(J1532="","",YEAR(J1532))</f>
        <v/>
      </c>
      <c r="X1532" t="inlineStr">
        <is>
          <t>ViaCargo</t>
        </is>
      </c>
      <c r="Y1532">
        <f>IFERROR(INDEX(Rastreio!$H$2:$H$200,MATCH(X1532&amp;"|"&amp;U1532,Rastreio!$A$2:$A$200,0)),"")</f>
        <v/>
      </c>
    </row>
    <row r="1533">
      <c r="A1533">
        <f>IFERROR(INDEX(STAs!$G$2:$G$61,MATCH(P1533,STAs!$F$2:$F$61,0))&amp;"","")</f>
        <v/>
      </c>
      <c r="B1533" t="n">
        <v>20040232</v>
      </c>
      <c r="C1533" t="inlineStr">
        <is>
          <t>Não</t>
        </is>
      </c>
      <c r="D1533" t="inlineStr">
        <is>
          <t>MT</t>
        </is>
      </c>
      <c r="E1533" t="inlineStr">
        <is>
          <t>CENTRO OESTE</t>
        </is>
      </c>
      <c r="F1533" t="inlineStr">
        <is>
          <t>Cliente A - Refrigerador</t>
        </is>
      </c>
      <c r="G1533" t="inlineStr">
        <is>
          <t>Refrigeradores</t>
        </is>
      </c>
      <c r="H1533" s="10" t="n">
        <v>45</v>
      </c>
      <c r="I1533" s="10">
        <f>IFERROR(T1533*H1533,0)</f>
        <v/>
      </c>
      <c r="J1533" s="11" t="n">
        <v>46180</v>
      </c>
      <c r="K1533" s="11" t="n"/>
      <c r="L1533" t="inlineStr">
        <is>
          <t>Debitar do STA</t>
        </is>
      </c>
      <c r="M1533">
        <f>IF(L1533="","",IFERROR(VLOOKUP(L1533,mapGrupoStatus,2,0),"Outros"))</f>
        <v/>
      </c>
      <c r="N1533">
        <f>IF(O1533="","",IF(O1533&lt;=30,"0-30 dias",IF(O1533&lt;=60,"31-60 dias",IF(O1533&lt;=90,"61-90 dias","Mais de 90 dias"))))</f>
        <v/>
      </c>
      <c r="O1533">
        <f>IF(OR(M1533="Pendente",M1533="Em andamento"),IF(J1533="","",TODAY()-J1533),"")</f>
        <v/>
      </c>
      <c r="P1533" t="n">
        <v>10227</v>
      </c>
      <c r="Q1533" t="inlineStr">
        <is>
          <t>Assistência Técnica ME (10227)</t>
        </is>
      </c>
      <c r="R1533" t="inlineStr">
        <is>
          <t>PC-0018</t>
        </is>
      </c>
      <c r="S1533" t="inlineStr">
        <is>
          <t>Gaxeta da porta modelo 01</t>
        </is>
      </c>
      <c r="T1533" t="n">
        <v>1</v>
      </c>
      <c r="U1533" t="inlineStr"/>
      <c r="V1533">
        <f>IF(J1533="","",MONTH(J1533))</f>
        <v/>
      </c>
      <c r="W1533">
        <f>IF(J1533="","",YEAR(J1533))</f>
        <v/>
      </c>
      <c r="X1533" t="inlineStr"/>
      <c r="Y1533">
        <f>IFERROR(INDEX(Rastreio!$H$2:$H$200,MATCH(X1533&amp;"|"&amp;U1533,Rastreio!$A$2:$A$200,0)),"")</f>
        <v/>
      </c>
    </row>
    <row r="1534">
      <c r="A1534">
        <f>IFERROR(INDEX(STAs!$G$2:$G$61,MATCH(P1534,STAs!$F$2:$F$61,0))&amp;"","")</f>
        <v/>
      </c>
      <c r="B1534" t="n">
        <v>20007715</v>
      </c>
      <c r="C1534" t="inlineStr">
        <is>
          <t>Não</t>
        </is>
      </c>
      <c r="D1534" t="inlineStr">
        <is>
          <t>PR</t>
        </is>
      </c>
      <c r="E1534" t="inlineStr">
        <is>
          <t>SUL</t>
        </is>
      </c>
      <c r="F1534" t="inlineStr">
        <is>
          <t>Cliente A - Refrigerador</t>
        </is>
      </c>
      <c r="G1534" t="inlineStr">
        <is>
          <t>Misturadores</t>
        </is>
      </c>
      <c r="H1534" s="10" t="n">
        <v>50</v>
      </c>
      <c r="I1534" s="10">
        <f>IFERROR(T1534*H1534,0)</f>
        <v/>
      </c>
      <c r="J1534" s="11" t="n">
        <v>46181</v>
      </c>
      <c r="K1534" s="11" t="n"/>
      <c r="L1534" t="inlineStr">
        <is>
          <t>Debitar do STA</t>
        </is>
      </c>
      <c r="M1534">
        <f>IF(L1534="","",IFERROR(VLOOKUP(L1534,mapGrupoStatus,2,0),"Outros"))</f>
        <v/>
      </c>
      <c r="N1534">
        <f>IF(O1534="","",IF(O1534&lt;=30,"0-30 dias",IF(O1534&lt;=60,"31-60 dias",IF(O1534&lt;=90,"61-90 dias","Mais de 90 dias"))))</f>
        <v/>
      </c>
      <c r="O1534">
        <f>IF(OR(M1534="Pendente",M1534="Em andamento"),IF(J1534="","",TODAY()-J1534),"")</f>
        <v/>
      </c>
      <c r="P1534" t="n">
        <v>10504</v>
      </c>
      <c r="Q1534" t="inlineStr">
        <is>
          <t>Zero Grau Ltda (10504)</t>
        </is>
      </c>
      <c r="R1534" t="inlineStr">
        <is>
          <t>PC-0047</t>
        </is>
      </c>
      <c r="S1534" t="inlineStr">
        <is>
          <t>Sensor de nível modelo 03</t>
        </is>
      </c>
      <c r="T1534" t="n">
        <v>1</v>
      </c>
      <c r="U1534" t="inlineStr"/>
      <c r="V1534">
        <f>IF(J1534="","",MONTH(J1534))</f>
        <v/>
      </c>
      <c r="W1534">
        <f>IF(J1534="","",YEAR(J1534))</f>
        <v/>
      </c>
      <c r="X1534" t="inlineStr"/>
      <c r="Y1534">
        <f>IFERROR(INDEX(Rastreio!$H$2:$H$200,MATCH(X1534&amp;"|"&amp;U1534,Rastreio!$A$2:$A$200,0)),"")</f>
        <v/>
      </c>
    </row>
    <row r="1535">
      <c r="A1535">
        <f>IFERROR(INDEX(STAs!$G$2:$G$61,MATCH(P1535,STAs!$F$2:$F$61,0))&amp;"","")</f>
        <v/>
      </c>
      <c r="B1535" t="n">
        <v>20009151</v>
      </c>
      <c r="C1535" t="inlineStr">
        <is>
          <t>Não</t>
        </is>
      </c>
      <c r="D1535" t="inlineStr">
        <is>
          <t>ES</t>
        </is>
      </c>
      <c r="E1535" t="inlineStr">
        <is>
          <t>SUDESTE RJ e ES</t>
        </is>
      </c>
      <c r="F1535" t="inlineStr">
        <is>
          <t>Cliente A - Refrigerador</t>
        </is>
      </c>
      <c r="G1535" t="inlineStr">
        <is>
          <t>Refrigeradores</t>
        </is>
      </c>
      <c r="H1535" s="10" t="n">
        <v>35</v>
      </c>
      <c r="I1535" s="10">
        <f>IFERROR(T1535*H1535,0)</f>
        <v/>
      </c>
      <c r="J1535" s="11" t="n">
        <v>46181</v>
      </c>
      <c r="K1535" s="11" t="n">
        <v>46230</v>
      </c>
      <c r="L1535" t="inlineStr">
        <is>
          <t>Ok. Devolvida</t>
        </is>
      </c>
      <c r="M1535">
        <f>IF(L1535="","",IFERROR(VLOOKUP(L1535,mapGrupoStatus,2,0),"Outros"))</f>
        <v/>
      </c>
      <c r="N1535">
        <f>IF(O1535="","",IF(O1535&lt;=30,"0-30 dias",IF(O1535&lt;=60,"31-60 dias",IF(O1535&lt;=90,"61-90 dias","Mais de 90 dias"))))</f>
        <v/>
      </c>
      <c r="O1535">
        <f>IF(OR(M1535="Pendente",M1535="Em andamento"),IF(J1535="","",TODAY()-J1535),"")</f>
        <v/>
      </c>
      <c r="P1535" t="n">
        <v>11099</v>
      </c>
      <c r="Q1535" t="inlineStr">
        <is>
          <t>Refrigel Serviços (11099)</t>
        </is>
      </c>
      <c r="R1535" t="inlineStr">
        <is>
          <t>PC-0023</t>
        </is>
      </c>
      <c r="S1535" t="inlineStr">
        <is>
          <t>Relé de partida modelo 01</t>
        </is>
      </c>
      <c r="T1535" t="n">
        <v>1</v>
      </c>
      <c r="U1535" t="n">
        <v>117</v>
      </c>
      <c r="V1535">
        <f>IF(J1535="","",MONTH(J1535))</f>
        <v/>
      </c>
      <c r="W1535">
        <f>IF(J1535="","",YEAR(J1535))</f>
        <v/>
      </c>
      <c r="X1535" t="inlineStr">
        <is>
          <t>LogExpress</t>
        </is>
      </c>
      <c r="Y1535">
        <f>IFERROR(INDEX(Rastreio!$H$2:$H$200,MATCH(X1535&amp;"|"&amp;U1535,Rastreio!$A$2:$A$200,0)),"")</f>
        <v/>
      </c>
    </row>
    <row r="1536">
      <c r="A1536">
        <f>IFERROR(INDEX(STAs!$G$2:$G$61,MATCH(P1536,STAs!$F$2:$F$61,0))&amp;"","")</f>
        <v/>
      </c>
      <c r="B1536" t="n">
        <v>20009991</v>
      </c>
      <c r="C1536" t="inlineStr">
        <is>
          <t>Não</t>
        </is>
      </c>
      <c r="D1536" t="inlineStr">
        <is>
          <t>AP</t>
        </is>
      </c>
      <c r="E1536" t="inlineStr">
        <is>
          <t>NORTE</t>
        </is>
      </c>
      <c r="F1536" t="inlineStr">
        <is>
          <t>Cliente C - Misturador</t>
        </is>
      </c>
      <c r="G1536" t="inlineStr">
        <is>
          <t>Chopeiras</t>
        </is>
      </c>
      <c r="H1536" s="10" t="n">
        <v>85</v>
      </c>
      <c r="I1536" s="10">
        <f>IFERROR(T1536*H1536,0)</f>
        <v/>
      </c>
      <c r="J1536" s="11" t="n">
        <v>46181</v>
      </c>
      <c r="K1536" s="11" t="n"/>
      <c r="L1536" t="inlineStr">
        <is>
          <t>Não Devolve-Norte</t>
        </is>
      </c>
      <c r="M1536">
        <f>IF(L1536="","",IFERROR(VLOOKUP(L1536,mapGrupoStatus,2,0),"Outros"))</f>
        <v/>
      </c>
      <c r="N1536">
        <f>IF(O1536="","",IF(O1536&lt;=30,"0-30 dias",IF(O1536&lt;=60,"31-60 dias",IF(O1536&lt;=90,"61-90 dias","Mais de 90 dias"))))</f>
        <v/>
      </c>
      <c r="O1536">
        <f>IF(OR(M1536="Pendente",M1536="Em andamento"),IF(J1536="","",TODAY()-J1536),"")</f>
        <v/>
      </c>
      <c r="P1536" t="n">
        <v>11859</v>
      </c>
      <c r="Q1536" t="inlineStr">
        <is>
          <t>Ice Tech Serviços (11859)</t>
        </is>
      </c>
      <c r="R1536" t="inlineStr">
        <is>
          <t>PC-0026</t>
        </is>
      </c>
      <c r="S1536" t="inlineStr">
        <is>
          <t>Torneira de chopp modelo 01</t>
        </is>
      </c>
      <c r="T1536" t="n">
        <v>1</v>
      </c>
      <c r="U1536" t="inlineStr"/>
      <c r="V1536">
        <f>IF(J1536="","",MONTH(J1536))</f>
        <v/>
      </c>
      <c r="W1536">
        <f>IF(J1536="","",YEAR(J1536))</f>
        <v/>
      </c>
      <c r="X1536" t="inlineStr"/>
      <c r="Y1536">
        <f>IFERROR(INDEX(Rastreio!$H$2:$H$200,MATCH(X1536&amp;"|"&amp;U1536,Rastreio!$A$2:$A$200,0)),"")</f>
        <v/>
      </c>
    </row>
    <row r="1537">
      <c r="A1537">
        <f>IFERROR(INDEX(STAs!$G$2:$G$61,MATCH(P1537,STAs!$F$2:$F$61,0))&amp;"","")</f>
        <v/>
      </c>
      <c r="B1537" t="n">
        <v>20016243</v>
      </c>
      <c r="C1537" t="inlineStr">
        <is>
          <t>Não</t>
        </is>
      </c>
      <c r="D1537" t="inlineStr">
        <is>
          <t>RO</t>
        </is>
      </c>
      <c r="E1537" t="inlineStr">
        <is>
          <t>NORTE</t>
        </is>
      </c>
      <c r="F1537" t="inlineStr">
        <is>
          <t>Cliente A - Refrigerador</t>
        </is>
      </c>
      <c r="G1537" t="inlineStr">
        <is>
          <t>Misturadores</t>
        </is>
      </c>
      <c r="H1537" s="10" t="n">
        <v>50</v>
      </c>
      <c r="I1537" s="10">
        <f>IFERROR(T1537*H1537,0)</f>
        <v/>
      </c>
      <c r="J1537" s="11" t="n">
        <v>46181</v>
      </c>
      <c r="K1537" s="11" t="n"/>
      <c r="L1537" t="inlineStr">
        <is>
          <t>Não Devolve-Norte</t>
        </is>
      </c>
      <c r="M1537">
        <f>IF(L1537="","",IFERROR(VLOOKUP(L1537,mapGrupoStatus,2,0),"Outros"))</f>
        <v/>
      </c>
      <c r="N1537">
        <f>IF(O1537="","",IF(O1537&lt;=30,"0-30 dias",IF(O1537&lt;=60,"31-60 dias",IF(O1537&lt;=90,"61-90 dias","Mais de 90 dias"))))</f>
        <v/>
      </c>
      <c r="O1537">
        <f>IF(OR(M1537="Pendente",M1537="Em andamento"),IF(J1537="","",TODAY()-J1537),"")</f>
        <v/>
      </c>
      <c r="P1537" t="n">
        <v>12019</v>
      </c>
      <c r="Q1537" t="inlineStr">
        <is>
          <t>Ártico Serviços (12019)</t>
        </is>
      </c>
      <c r="R1537" t="inlineStr">
        <is>
          <t>PC-0045</t>
        </is>
      </c>
      <c r="S1537" t="inlineStr">
        <is>
          <t>Sensor de nível modelo 01</t>
        </is>
      </c>
      <c r="T1537" t="n">
        <v>2</v>
      </c>
      <c r="U1537" t="inlineStr"/>
      <c r="V1537">
        <f>IF(J1537="","",MONTH(J1537))</f>
        <v/>
      </c>
      <c r="W1537">
        <f>IF(J1537="","",YEAR(J1537))</f>
        <v/>
      </c>
      <c r="X1537" t="inlineStr"/>
      <c r="Y1537">
        <f>IFERROR(INDEX(Rastreio!$H$2:$H$200,MATCH(X1537&amp;"|"&amp;U1537,Rastreio!$A$2:$A$200,0)),"")</f>
        <v/>
      </c>
    </row>
    <row r="1538">
      <c r="A1538">
        <f>IFERROR(INDEX(STAs!$G$2:$G$61,MATCH(P1538,STAs!$F$2:$F$61,0))&amp;"","")</f>
        <v/>
      </c>
      <c r="B1538" t="n">
        <v>20035724</v>
      </c>
      <c r="C1538" t="inlineStr">
        <is>
          <t>Não</t>
        </is>
      </c>
      <c r="D1538" t="inlineStr">
        <is>
          <t>PR</t>
        </is>
      </c>
      <c r="E1538" t="inlineStr">
        <is>
          <t>SUL</t>
        </is>
      </c>
      <c r="F1538" t="inlineStr">
        <is>
          <t>Cliente B - Chopeira</t>
        </is>
      </c>
      <c r="G1538" t="inlineStr">
        <is>
          <t>Refrigeradores</t>
        </is>
      </c>
      <c r="H1538" s="10" t="n">
        <v>35</v>
      </c>
      <c r="I1538" s="10">
        <f>IFERROR(T1538*H1538,0)</f>
        <v/>
      </c>
      <c r="J1538" s="11" t="n">
        <v>46181</v>
      </c>
      <c r="K1538" s="11" t="n"/>
      <c r="L1538" t="inlineStr">
        <is>
          <t>Aguardando devolução</t>
        </is>
      </c>
      <c r="M1538">
        <f>IF(L1538="","",IFERROR(VLOOKUP(L1538,mapGrupoStatus,2,0),"Outros"))</f>
        <v/>
      </c>
      <c r="N1538">
        <f>IF(O1538="","",IF(O1538&lt;=30,"0-30 dias",IF(O1538&lt;=60,"31-60 dias",IF(O1538&lt;=90,"61-90 dias","Mais de 90 dias"))))</f>
        <v/>
      </c>
      <c r="O1538">
        <f>IF(OR(M1538="Pendente",M1538="Em andamento"),IF(J1538="","",TODAY()-J1538),"")</f>
        <v/>
      </c>
      <c r="P1538" t="n">
        <v>11898</v>
      </c>
      <c r="Q1538" t="inlineStr">
        <is>
          <t>Refrigel Express (11898)</t>
        </is>
      </c>
      <c r="R1538" t="inlineStr">
        <is>
          <t>PC-0024</t>
        </is>
      </c>
      <c r="S1538" t="inlineStr">
        <is>
          <t>Relé de partida modelo 02</t>
        </is>
      </c>
      <c r="T1538" t="n">
        <v>1</v>
      </c>
      <c r="U1538" t="inlineStr"/>
      <c r="V1538">
        <f>IF(J1538="","",MONTH(J1538))</f>
        <v/>
      </c>
      <c r="W1538">
        <f>IF(J1538="","",YEAR(J1538))</f>
        <v/>
      </c>
      <c r="X1538" t="inlineStr"/>
      <c r="Y1538">
        <f>IFERROR(INDEX(Rastreio!$H$2:$H$200,MATCH(X1538&amp;"|"&amp;U1538,Rastreio!$A$2:$A$200,0)),"")</f>
        <v/>
      </c>
    </row>
    <row r="1539">
      <c r="A1539">
        <f>IFERROR(INDEX(STAs!$G$2:$G$61,MATCH(P1539,STAs!$F$2:$F$61,0))&amp;"","")</f>
        <v/>
      </c>
      <c r="B1539" t="n">
        <v>20039596</v>
      </c>
      <c r="C1539" t="inlineStr">
        <is>
          <t>Não</t>
        </is>
      </c>
      <c r="D1539" t="inlineStr">
        <is>
          <t>AM</t>
        </is>
      </c>
      <c r="E1539" t="inlineStr">
        <is>
          <t>NORTE</t>
        </is>
      </c>
      <c r="F1539" t="inlineStr">
        <is>
          <t>Cliente B - Chopeira</t>
        </is>
      </c>
      <c r="G1539" t="inlineStr">
        <is>
          <t>Misturadores</t>
        </is>
      </c>
      <c r="H1539" s="10" t="n">
        <v>255</v>
      </c>
      <c r="I1539" s="10">
        <f>IFERROR(T1539*H1539,0)</f>
        <v/>
      </c>
      <c r="J1539" s="11" t="n">
        <v>46181</v>
      </c>
      <c r="K1539" s="11" t="n"/>
      <c r="L1539" t="inlineStr">
        <is>
          <t>NF Vencida</t>
        </is>
      </c>
      <c r="M1539">
        <f>IF(L1539="","",IFERROR(VLOOKUP(L1539,mapGrupoStatus,2,0),"Outros"))</f>
        <v/>
      </c>
      <c r="N1539">
        <f>IF(O1539="","",IF(O1539&lt;=30,"0-30 dias",IF(O1539&lt;=60,"31-60 dias",IF(O1539&lt;=90,"61-90 dias","Mais de 90 dias"))))</f>
        <v/>
      </c>
      <c r="O1539">
        <f>IF(OR(M1539="Pendente",M1539="Em andamento"),IF(J1539="","",TODAY()-J1539),"")</f>
        <v/>
      </c>
      <c r="P1539" t="n">
        <v>10842</v>
      </c>
      <c r="Q1539" t="inlineStr">
        <is>
          <t>Frigo &amp; Cia (10842)</t>
        </is>
      </c>
      <c r="R1539" t="inlineStr">
        <is>
          <t>PC-0037</t>
        </is>
      </c>
      <c r="S1539" t="inlineStr">
        <is>
          <t>Bomba de recirculação modelo 01</t>
        </is>
      </c>
      <c r="T1539" t="n">
        <v>1</v>
      </c>
      <c r="U1539" t="inlineStr"/>
      <c r="V1539">
        <f>IF(J1539="","",MONTH(J1539))</f>
        <v/>
      </c>
      <c r="W1539">
        <f>IF(J1539="","",YEAR(J1539))</f>
        <v/>
      </c>
      <c r="X1539" t="inlineStr"/>
      <c r="Y1539">
        <f>IFERROR(INDEX(Rastreio!$H$2:$H$200,MATCH(X1539&amp;"|"&amp;U1539,Rastreio!$A$2:$A$200,0)),"")</f>
        <v/>
      </c>
    </row>
    <row r="1540">
      <c r="A1540">
        <f>IFERROR(INDEX(STAs!$G$2:$G$61,MATCH(P1540,STAs!$F$2:$F$61,0))&amp;"","")</f>
        <v/>
      </c>
      <c r="B1540" t="n">
        <v>20007108</v>
      </c>
      <c r="C1540" t="inlineStr">
        <is>
          <t>Não</t>
        </is>
      </c>
      <c r="D1540" t="inlineStr">
        <is>
          <t>PE</t>
        </is>
      </c>
      <c r="E1540" t="inlineStr">
        <is>
          <t>NORDESTE</t>
        </is>
      </c>
      <c r="F1540" t="inlineStr">
        <is>
          <t>Cliente A - Refrigerador</t>
        </is>
      </c>
      <c r="G1540" t="inlineStr">
        <is>
          <t>Chopeiras</t>
        </is>
      </c>
      <c r="H1540" s="10" t="n">
        <v>210</v>
      </c>
      <c r="I1540" s="10">
        <f>IFERROR(T1540*H1540,0)</f>
        <v/>
      </c>
      <c r="J1540" s="11" t="n">
        <v>46182</v>
      </c>
      <c r="K1540" s="11" t="n">
        <v>46216</v>
      </c>
      <c r="L1540" t="inlineStr">
        <is>
          <t>Ok. Devolvida</t>
        </is>
      </c>
      <c r="M1540">
        <f>IF(L1540="","",IFERROR(VLOOKUP(L1540,mapGrupoStatus,2,0),"Outros"))</f>
        <v/>
      </c>
      <c r="N1540">
        <f>IF(O1540="","",IF(O1540&lt;=30,"0-30 dias",IF(O1540&lt;=60,"31-60 dias",IF(O1540&lt;=90,"61-90 dias","Mais de 90 dias"))))</f>
        <v/>
      </c>
      <c r="O1540">
        <f>IF(OR(M1540="Pendente",M1540="Em andamento"),IF(J1540="","",TODAY()-J1540),"")</f>
        <v/>
      </c>
      <c r="P1540" t="n">
        <v>11352</v>
      </c>
      <c r="Q1540" t="inlineStr">
        <is>
          <t>Frio Express (11352)</t>
        </is>
      </c>
      <c r="R1540" t="inlineStr">
        <is>
          <t>PC-0029</t>
        </is>
      </c>
      <c r="S1540" t="inlineStr">
        <is>
          <t>Serpentina modelo 01</t>
        </is>
      </c>
      <c r="T1540" t="n">
        <v>1</v>
      </c>
      <c r="U1540" t="n">
        <v>112</v>
      </c>
      <c r="V1540">
        <f>IF(J1540="","",MONTH(J1540))</f>
        <v/>
      </c>
      <c r="W1540">
        <f>IF(J1540="","",YEAR(J1540))</f>
        <v/>
      </c>
      <c r="X1540" t="inlineStr">
        <is>
          <t>LogExpress</t>
        </is>
      </c>
      <c r="Y1540">
        <f>IFERROR(INDEX(Rastreio!$H$2:$H$200,MATCH(X1540&amp;"|"&amp;U1540,Rastreio!$A$2:$A$200,0)),"")</f>
        <v/>
      </c>
    </row>
    <row r="1541">
      <c r="A1541">
        <f>IFERROR(INDEX(STAs!$G$2:$G$61,MATCH(P1541,STAs!$F$2:$F$61,0))&amp;"","")</f>
        <v/>
      </c>
      <c r="B1541" t="n">
        <v>20011923</v>
      </c>
      <c r="C1541" t="inlineStr">
        <is>
          <t>Não</t>
        </is>
      </c>
      <c r="D1541" t="inlineStr">
        <is>
          <t>PR</t>
        </is>
      </c>
      <c r="E1541" t="inlineStr">
        <is>
          <t>SUL</t>
        </is>
      </c>
      <c r="F1541" t="inlineStr">
        <is>
          <t>Cliente A - Refrigerador</t>
        </is>
      </c>
      <c r="G1541" t="inlineStr">
        <is>
          <t>Misturadores</t>
        </is>
      </c>
      <c r="H1541" s="10" t="n">
        <v>185</v>
      </c>
      <c r="I1541" s="10">
        <f>IFERROR(T1541*H1541,0)</f>
        <v/>
      </c>
      <c r="J1541" s="11" t="n">
        <v>46182</v>
      </c>
      <c r="K1541" s="11" t="n">
        <v>46203</v>
      </c>
      <c r="L1541" t="inlineStr">
        <is>
          <t>Ok. Devolvida</t>
        </is>
      </c>
      <c r="M1541">
        <f>IF(L1541="","",IFERROR(VLOOKUP(L1541,mapGrupoStatus,2,0),"Outros"))</f>
        <v/>
      </c>
      <c r="N1541">
        <f>IF(O1541="","",IF(O1541&lt;=30,"0-30 dias",IF(O1541&lt;=60,"31-60 dias",IF(O1541&lt;=90,"61-90 dias","Mais de 90 dias"))))</f>
        <v/>
      </c>
      <c r="O1541">
        <f>IF(OR(M1541="Pendente",M1541="Em andamento"),IF(J1541="","",TODAY()-J1541),"")</f>
        <v/>
      </c>
      <c r="P1541" t="n">
        <v>10504</v>
      </c>
      <c r="Q1541" t="inlineStr">
        <is>
          <t>Zero Grau Ltda (10504)</t>
        </is>
      </c>
      <c r="R1541" t="inlineStr">
        <is>
          <t>PC-0041</t>
        </is>
      </c>
      <c r="S1541" t="inlineStr">
        <is>
          <t>Motor agitador modelo 02</t>
        </is>
      </c>
      <c r="T1541" t="n">
        <v>1</v>
      </c>
      <c r="U1541" t="n">
        <v>119</v>
      </c>
      <c r="V1541">
        <f>IF(J1541="","",MONTH(J1541))</f>
        <v/>
      </c>
      <c r="W1541">
        <f>IF(J1541="","",YEAR(J1541))</f>
        <v/>
      </c>
      <c r="X1541" t="inlineStr">
        <is>
          <t>RotaSul</t>
        </is>
      </c>
      <c r="Y1541">
        <f>IFERROR(INDEX(Rastreio!$H$2:$H$200,MATCH(X1541&amp;"|"&amp;U1541,Rastreio!$A$2:$A$200,0)),"")</f>
        <v/>
      </c>
    </row>
    <row r="1542">
      <c r="A1542">
        <f>IFERROR(INDEX(STAs!$G$2:$G$61,MATCH(P1542,STAs!$F$2:$F$61,0))&amp;"","")</f>
        <v/>
      </c>
      <c r="B1542" t="n">
        <v>20039137</v>
      </c>
      <c r="C1542" t="inlineStr">
        <is>
          <t>Não</t>
        </is>
      </c>
      <c r="D1542" t="inlineStr">
        <is>
          <t>RR</t>
        </is>
      </c>
      <c r="E1542" t="inlineStr">
        <is>
          <t>NORTE</t>
        </is>
      </c>
      <c r="F1542" t="inlineStr">
        <is>
          <t>Cliente C - Misturador</t>
        </is>
      </c>
      <c r="G1542" t="inlineStr">
        <is>
          <t>Chopeiras</t>
        </is>
      </c>
      <c r="H1542" s="10" t="n">
        <v>120</v>
      </c>
      <c r="I1542" s="10">
        <f>IFERROR(T1542*H1542,0)</f>
        <v/>
      </c>
      <c r="J1542" s="11" t="n">
        <v>46182</v>
      </c>
      <c r="K1542" s="11" t="n"/>
      <c r="L1542" t="inlineStr">
        <is>
          <t>Não Devolve-Norte</t>
        </is>
      </c>
      <c r="M1542">
        <f>IF(L1542="","",IFERROR(VLOOKUP(L1542,mapGrupoStatus,2,0),"Outros"))</f>
        <v/>
      </c>
      <c r="N1542">
        <f>IF(O1542="","",IF(O1542&lt;=30,"0-30 dias",IF(O1542&lt;=60,"31-60 dias",IF(O1542&lt;=90,"61-90 dias","Mais de 90 dias"))))</f>
        <v/>
      </c>
      <c r="O1542">
        <f>IF(OR(M1542="Pendente",M1542="Em andamento"),IF(J1542="","",TODAY()-J1542),"")</f>
        <v/>
      </c>
      <c r="P1542" t="n">
        <v>12422</v>
      </c>
      <c r="Q1542" t="inlineStr">
        <is>
          <t>Assistência Técnica Refrigeração (12422)</t>
        </is>
      </c>
      <c r="R1542" t="inlineStr">
        <is>
          <t>PC-0032</t>
        </is>
      </c>
      <c r="S1542" t="inlineStr">
        <is>
          <t>Regulador de pressão modelo 01</t>
        </is>
      </c>
      <c r="T1542" t="n">
        <v>1</v>
      </c>
      <c r="U1542" t="inlineStr"/>
      <c r="V1542">
        <f>IF(J1542="","",MONTH(J1542))</f>
        <v/>
      </c>
      <c r="W1542">
        <f>IF(J1542="","",YEAR(J1542))</f>
        <v/>
      </c>
      <c r="X1542" t="inlineStr"/>
      <c r="Y1542">
        <f>IFERROR(INDEX(Rastreio!$H$2:$H$200,MATCH(X1542&amp;"|"&amp;U1542,Rastreio!$A$2:$A$200,0)),"")</f>
        <v/>
      </c>
    </row>
    <row r="1543">
      <c r="A1543">
        <f>IFERROR(INDEX(STAs!$G$2:$G$61,MATCH(P1543,STAs!$F$2:$F$61,0))&amp;"","")</f>
        <v/>
      </c>
      <c r="B1543" t="n">
        <v>20004845</v>
      </c>
      <c r="C1543" t="inlineStr">
        <is>
          <t>Sim</t>
        </is>
      </c>
      <c r="D1543" t="inlineStr">
        <is>
          <t>CE</t>
        </is>
      </c>
      <c r="E1543" t="inlineStr">
        <is>
          <t>NORDESTE</t>
        </is>
      </c>
      <c r="F1543" t="inlineStr">
        <is>
          <t>Cliente C - Misturador</t>
        </is>
      </c>
      <c r="G1543" t="inlineStr">
        <is>
          <t>Chopeiras</t>
        </is>
      </c>
      <c r="H1543" s="10" t="n">
        <v>85</v>
      </c>
      <c r="I1543" s="10">
        <f>IFERROR(T1543*H1543,0)</f>
        <v/>
      </c>
      <c r="J1543" s="11" t="n">
        <v>46183</v>
      </c>
      <c r="K1543" s="11" t="n">
        <v>46206</v>
      </c>
      <c r="L1543" t="inlineStr">
        <is>
          <t>Ok. Devolvida</t>
        </is>
      </c>
      <c r="M1543">
        <f>IF(L1543="","",IFERROR(VLOOKUP(L1543,mapGrupoStatus,2,0),"Outros"))</f>
        <v/>
      </c>
      <c r="N1543">
        <f>IF(O1543="","",IF(O1543&lt;=30,"0-30 dias",IF(O1543&lt;=60,"31-60 dias",IF(O1543&lt;=90,"61-90 dias","Mais de 90 dias"))))</f>
        <v/>
      </c>
      <c r="O1543">
        <f>IF(OR(M1543="Pendente",M1543="Em andamento"),IF(J1543="","",TODAY()-J1543),"")</f>
        <v/>
      </c>
      <c r="P1543" t="n">
        <v>10615</v>
      </c>
      <c r="Q1543" t="inlineStr">
        <is>
          <t>Brisa Técnica (10615)</t>
        </is>
      </c>
      <c r="R1543" t="inlineStr">
        <is>
          <t>PC-0026</t>
        </is>
      </c>
      <c r="S1543" t="inlineStr">
        <is>
          <t>Torneira de chopp modelo 01</t>
        </is>
      </c>
      <c r="T1543" t="n">
        <v>1</v>
      </c>
      <c r="U1543" t="n">
        <v>110</v>
      </c>
      <c r="V1543">
        <f>IF(J1543="","",MONTH(J1543))</f>
        <v/>
      </c>
      <c r="W1543">
        <f>IF(J1543="","",YEAR(J1543))</f>
        <v/>
      </c>
      <c r="X1543" t="inlineStr">
        <is>
          <t>RotaSul</t>
        </is>
      </c>
      <c r="Y1543">
        <f>IFERROR(INDEX(Rastreio!$H$2:$H$200,MATCH(X1543&amp;"|"&amp;U1543,Rastreio!$A$2:$A$200,0)),"")</f>
        <v/>
      </c>
    </row>
    <row r="1544">
      <c r="A1544">
        <f>IFERROR(INDEX(STAs!$G$2:$G$61,MATCH(P1544,STAs!$F$2:$F$61,0))&amp;"","")</f>
        <v/>
      </c>
      <c r="B1544" t="n">
        <v>20031906</v>
      </c>
      <c r="C1544" t="inlineStr">
        <is>
          <t>Não</t>
        </is>
      </c>
      <c r="D1544" t="inlineStr">
        <is>
          <t>AP</t>
        </is>
      </c>
      <c r="E1544" t="inlineStr">
        <is>
          <t>NORTE</t>
        </is>
      </c>
      <c r="F1544" t="inlineStr">
        <is>
          <t>Cliente A - Refrigerador</t>
        </is>
      </c>
      <c r="G1544" t="inlineStr">
        <is>
          <t>Misturadores</t>
        </is>
      </c>
      <c r="H1544" s="10" t="n">
        <v>40</v>
      </c>
      <c r="I1544" s="10">
        <f>IFERROR(T1544*H1544,0)</f>
        <v/>
      </c>
      <c r="J1544" s="11" t="n">
        <v>46183</v>
      </c>
      <c r="K1544" s="11" t="n"/>
      <c r="L1544" t="inlineStr">
        <is>
          <t>Não Devolve-Norte</t>
        </is>
      </c>
      <c r="M1544">
        <f>IF(L1544="","",IFERROR(VLOOKUP(L1544,mapGrupoStatus,2,0),"Outros"))</f>
        <v/>
      </c>
      <c r="N1544">
        <f>IF(O1544="","",IF(O1544&lt;=30,"0-30 dias",IF(O1544&lt;=60,"31-60 dias",IF(O1544&lt;=90,"61-90 dias","Mais de 90 dias"))))</f>
        <v/>
      </c>
      <c r="O1544">
        <f>IF(OR(M1544="Pendente",M1544="Em andamento"),IF(J1544="","",TODAY()-J1544),"")</f>
        <v/>
      </c>
      <c r="P1544" t="n">
        <v>11859</v>
      </c>
      <c r="Q1544" t="inlineStr">
        <is>
          <t>Ice Tech Serviços (11859)</t>
        </is>
      </c>
      <c r="R1544" t="inlineStr">
        <is>
          <t>PC-0042</t>
        </is>
      </c>
      <c r="S1544" t="inlineStr">
        <is>
          <t>Bico dosador modelo 01</t>
        </is>
      </c>
      <c r="T1544" t="n">
        <v>1</v>
      </c>
      <c r="U1544" t="inlineStr"/>
      <c r="V1544">
        <f>IF(J1544="","",MONTH(J1544))</f>
        <v/>
      </c>
      <c r="W1544">
        <f>IF(J1544="","",YEAR(J1544))</f>
        <v/>
      </c>
      <c r="X1544" t="inlineStr"/>
      <c r="Y1544">
        <f>IFERROR(INDEX(Rastreio!$H$2:$H$200,MATCH(X1544&amp;"|"&amp;U1544,Rastreio!$A$2:$A$200,0)),"")</f>
        <v/>
      </c>
    </row>
    <row r="1545">
      <c r="A1545">
        <f>IFERROR(INDEX(STAs!$G$2:$G$61,MATCH(P1545,STAs!$F$2:$F$61,0))&amp;"","")</f>
        <v/>
      </c>
      <c r="B1545" t="n">
        <v>20035772</v>
      </c>
      <c r="C1545" t="inlineStr">
        <is>
          <t>Não</t>
        </is>
      </c>
      <c r="D1545" t="inlineStr">
        <is>
          <t>PI</t>
        </is>
      </c>
      <c r="E1545" t="inlineStr">
        <is>
          <t>NORDESTE</t>
        </is>
      </c>
      <c r="F1545" t="inlineStr">
        <is>
          <t>Cliente C - Misturador</t>
        </is>
      </c>
      <c r="G1545" t="inlineStr">
        <is>
          <t>Refrigeradores</t>
        </is>
      </c>
      <c r="H1545" s="10" t="n">
        <v>190</v>
      </c>
      <c r="I1545" s="10">
        <f>IFERROR(T1545*H1545,0)</f>
        <v/>
      </c>
      <c r="J1545" s="11" t="n">
        <v>46183</v>
      </c>
      <c r="K1545" s="11" t="n"/>
      <c r="L1545" t="inlineStr">
        <is>
          <t>NF Vencida</t>
        </is>
      </c>
      <c r="M1545">
        <f>IF(L1545="","",IFERROR(VLOOKUP(L1545,mapGrupoStatus,2,0),"Outros"))</f>
        <v/>
      </c>
      <c r="N1545">
        <f>IF(O1545="","",IF(O1545&lt;=30,"0-30 dias",IF(O1545&lt;=60,"31-60 dias",IF(O1545&lt;=90,"61-90 dias","Mais de 90 dias"))))</f>
        <v/>
      </c>
      <c r="O1545">
        <f>IF(OR(M1545="Pendente",M1545="Em andamento"),IF(J1545="","",TODAY()-J1545),"")</f>
        <v/>
      </c>
      <c r="P1545" t="n">
        <v>10562</v>
      </c>
      <c r="Q1545" t="inlineStr">
        <is>
          <t>Clima &amp; Cia (10562)</t>
        </is>
      </c>
      <c r="R1545" t="inlineStr">
        <is>
          <t>PC-0014</t>
        </is>
      </c>
      <c r="S1545" t="inlineStr">
        <is>
          <t>Placa eletrônica modelo 04</t>
        </is>
      </c>
      <c r="T1545" t="n">
        <v>1</v>
      </c>
      <c r="U1545" t="inlineStr"/>
      <c r="V1545">
        <f>IF(J1545="","",MONTH(J1545))</f>
        <v/>
      </c>
      <c r="W1545">
        <f>IF(J1545="","",YEAR(J1545))</f>
        <v/>
      </c>
      <c r="X1545" t="inlineStr"/>
      <c r="Y1545">
        <f>IFERROR(INDEX(Rastreio!$H$2:$H$200,MATCH(X1545&amp;"|"&amp;U1545,Rastreio!$A$2:$A$200,0)),"")</f>
        <v/>
      </c>
    </row>
    <row r="1546">
      <c r="A1546">
        <f>IFERROR(INDEX(STAs!$G$2:$G$61,MATCH(P1546,STAs!$F$2:$F$61,0))&amp;"","")</f>
        <v/>
      </c>
      <c r="B1546" t="n">
        <v>20015881</v>
      </c>
      <c r="C1546" t="inlineStr">
        <is>
          <t>Não</t>
        </is>
      </c>
      <c r="D1546" t="inlineStr">
        <is>
          <t>RJ</t>
        </is>
      </c>
      <c r="E1546" t="inlineStr">
        <is>
          <t>SUDESTE RJ e ES</t>
        </is>
      </c>
      <c r="F1546" t="inlineStr">
        <is>
          <t>Cliente A - Refrigerador</t>
        </is>
      </c>
      <c r="G1546" t="inlineStr">
        <is>
          <t>Refrigeradores</t>
        </is>
      </c>
      <c r="H1546" s="10" t="n">
        <v>190</v>
      </c>
      <c r="I1546" s="10">
        <f>IFERROR(T1546*H1546,0)</f>
        <v/>
      </c>
      <c r="J1546" s="11" t="n">
        <v>46184</v>
      </c>
      <c r="K1546" s="11" t="n"/>
      <c r="L1546" t="inlineStr">
        <is>
          <t>Aguardando devolução</t>
        </is>
      </c>
      <c r="M1546">
        <f>IF(L1546="","",IFERROR(VLOOKUP(L1546,mapGrupoStatus,2,0),"Outros"))</f>
        <v/>
      </c>
      <c r="N1546">
        <f>IF(O1546="","",IF(O1546&lt;=30,"0-30 dias",IF(O1546&lt;=60,"31-60 dias",IF(O1546&lt;=90,"61-90 dias","Mais de 90 dias"))))</f>
        <v/>
      </c>
      <c r="O1546">
        <f>IF(OR(M1546="Pendente",M1546="Em andamento"),IF(J1546="","",TODAY()-J1546),"")</f>
        <v/>
      </c>
      <c r="P1546" t="n">
        <v>12811</v>
      </c>
      <c r="Q1546" t="inlineStr">
        <is>
          <t>Norte Frio Técnica (12811)</t>
        </is>
      </c>
      <c r="R1546" t="inlineStr">
        <is>
          <t>PC-0011</t>
        </is>
      </c>
      <c r="S1546" t="inlineStr">
        <is>
          <t>Placa eletrônica modelo 01</t>
        </is>
      </c>
      <c r="T1546" t="n">
        <v>1</v>
      </c>
      <c r="U1546" t="inlineStr"/>
      <c r="V1546">
        <f>IF(J1546="","",MONTH(J1546))</f>
        <v/>
      </c>
      <c r="W1546">
        <f>IF(J1546="","",YEAR(J1546))</f>
        <v/>
      </c>
      <c r="X1546" t="inlineStr"/>
      <c r="Y1546">
        <f>IFERROR(INDEX(Rastreio!$H$2:$H$200,MATCH(X1546&amp;"|"&amp;U1546,Rastreio!$A$2:$A$200,0)),"")</f>
        <v/>
      </c>
    </row>
    <row r="1547">
      <c r="A1547">
        <f>IFERROR(INDEX(STAs!$G$2:$G$61,MATCH(P1547,STAs!$F$2:$F$61,0))&amp;"","")</f>
        <v/>
      </c>
      <c r="B1547" t="n">
        <v>20021862</v>
      </c>
      <c r="C1547" t="inlineStr">
        <is>
          <t>Não</t>
        </is>
      </c>
      <c r="D1547" t="inlineStr">
        <is>
          <t>SP</t>
        </is>
      </c>
      <c r="E1547" t="inlineStr">
        <is>
          <t>SUDESTE SP</t>
        </is>
      </c>
      <c r="F1547" t="inlineStr">
        <is>
          <t>Cliente C - Misturador</t>
        </is>
      </c>
      <c r="G1547" t="inlineStr">
        <is>
          <t>Chopeiras</t>
        </is>
      </c>
      <c r="H1547" s="10" t="n">
        <v>120</v>
      </c>
      <c r="I1547" s="10">
        <f>IFERROR(T1547*H1547,0)</f>
        <v/>
      </c>
      <c r="J1547" s="11" t="n">
        <v>46184</v>
      </c>
      <c r="K1547" s="11" t="n">
        <v>46212</v>
      </c>
      <c r="L1547" t="inlineStr">
        <is>
          <t>Ok. Devolvida</t>
        </is>
      </c>
      <c r="M1547">
        <f>IF(L1547="","",IFERROR(VLOOKUP(L1547,mapGrupoStatus,2,0),"Outros"))</f>
        <v/>
      </c>
      <c r="N1547">
        <f>IF(O1547="","",IF(O1547&lt;=30,"0-30 dias",IF(O1547&lt;=60,"31-60 dias",IF(O1547&lt;=90,"61-90 dias","Mais de 90 dias"))))</f>
        <v/>
      </c>
      <c r="O1547">
        <f>IF(OR(M1547="Pendente",M1547="Em andamento"),IF(J1547="","",TODAY()-J1547),"")</f>
        <v/>
      </c>
      <c r="P1547" t="n">
        <v>12901</v>
      </c>
      <c r="Q1547" t="inlineStr">
        <is>
          <t>Frio Serviços (12901)</t>
        </is>
      </c>
      <c r="R1547" t="inlineStr">
        <is>
          <t>PC-0032</t>
        </is>
      </c>
      <c r="S1547" t="inlineStr">
        <is>
          <t>Regulador de pressão modelo 01</t>
        </is>
      </c>
      <c r="T1547" t="n">
        <v>1</v>
      </c>
      <c r="U1547" t="n">
        <v>138</v>
      </c>
      <c r="V1547">
        <f>IF(J1547="","",MONTH(J1547))</f>
        <v/>
      </c>
      <c r="W1547">
        <f>IF(J1547="","",YEAR(J1547))</f>
        <v/>
      </c>
      <c r="X1547" t="inlineStr">
        <is>
          <t>LogExpress</t>
        </is>
      </c>
      <c r="Y1547">
        <f>IFERROR(INDEX(Rastreio!$H$2:$H$200,MATCH(X1547&amp;"|"&amp;U1547,Rastreio!$A$2:$A$200,0)),"")</f>
        <v/>
      </c>
    </row>
    <row r="1548">
      <c r="A1548">
        <f>IFERROR(INDEX(STAs!$G$2:$G$61,MATCH(P1548,STAs!$F$2:$F$61,0))&amp;"","")</f>
        <v/>
      </c>
      <c r="B1548" t="n">
        <v>20026128</v>
      </c>
      <c r="C1548" t="inlineStr">
        <is>
          <t>Não</t>
        </is>
      </c>
      <c r="D1548" t="inlineStr">
        <is>
          <t>PB</t>
        </is>
      </c>
      <c r="E1548" t="inlineStr">
        <is>
          <t>NORDESTE</t>
        </is>
      </c>
      <c r="F1548" t="inlineStr">
        <is>
          <t>Cliente A - Refrigerador</t>
        </is>
      </c>
      <c r="G1548" t="inlineStr">
        <is>
          <t>Chopeiras</t>
        </is>
      </c>
      <c r="H1548" s="10" t="n">
        <v>85</v>
      </c>
      <c r="I1548" s="10">
        <f>IFERROR(T1548*H1548,0)</f>
        <v/>
      </c>
      <c r="J1548" s="11" t="n">
        <v>46184</v>
      </c>
      <c r="K1548" s="11" t="n">
        <v>46209</v>
      </c>
      <c r="L1548" t="inlineStr">
        <is>
          <t>Ok. Devolvida</t>
        </is>
      </c>
      <c r="M1548">
        <f>IF(L1548="","",IFERROR(VLOOKUP(L1548,mapGrupoStatus,2,0),"Outros"))</f>
        <v/>
      </c>
      <c r="N1548">
        <f>IF(O1548="","",IF(O1548&lt;=30,"0-30 dias",IF(O1548&lt;=60,"31-60 dias",IF(O1548&lt;=90,"61-90 dias","Mais de 90 dias"))))</f>
        <v/>
      </c>
      <c r="O1548">
        <f>IF(OR(M1548="Pendente",M1548="Em andamento"),IF(J1548="","",TODAY()-J1548),"")</f>
        <v/>
      </c>
      <c r="P1548" t="n">
        <v>11741</v>
      </c>
      <c r="Q1548" t="inlineStr">
        <is>
          <t>Clima Refrigeração (11741)</t>
        </is>
      </c>
      <c r="R1548" t="inlineStr">
        <is>
          <t>PC-0026</t>
        </is>
      </c>
      <c r="S1548" t="inlineStr">
        <is>
          <t>Torneira de chopp modelo 01</t>
        </is>
      </c>
      <c r="T1548" t="n">
        <v>1</v>
      </c>
      <c r="U1548" t="n">
        <v>145</v>
      </c>
      <c r="V1548">
        <f>IF(J1548="","",MONTH(J1548))</f>
        <v/>
      </c>
      <c r="W1548">
        <f>IF(J1548="","",YEAR(J1548))</f>
        <v/>
      </c>
      <c r="X1548" t="inlineStr">
        <is>
          <t>TransNorte</t>
        </is>
      </c>
      <c r="Y1548">
        <f>IFERROR(INDEX(Rastreio!$H$2:$H$200,MATCH(X1548&amp;"|"&amp;U1548,Rastreio!$A$2:$A$200,0)),"")</f>
        <v/>
      </c>
    </row>
    <row r="1549">
      <c r="A1549">
        <f>IFERROR(INDEX(STAs!$G$2:$G$61,MATCH(P1549,STAs!$F$2:$F$61,0))&amp;"","")</f>
        <v/>
      </c>
      <c r="B1549" t="n">
        <v>20028707</v>
      </c>
      <c r="C1549" t="inlineStr">
        <is>
          <t>Não</t>
        </is>
      </c>
      <c r="D1549" t="inlineStr">
        <is>
          <t>AM</t>
        </is>
      </c>
      <c r="E1549" t="inlineStr">
        <is>
          <t>NORTE</t>
        </is>
      </c>
      <c r="F1549" t="inlineStr">
        <is>
          <t>Cliente C - Misturador</t>
        </is>
      </c>
      <c r="G1549" t="inlineStr">
        <is>
          <t>Refrigeradores</t>
        </is>
      </c>
      <c r="H1549" s="10" t="n">
        <v>40</v>
      </c>
      <c r="I1549" s="10">
        <f>IFERROR(T1549*H1549,0)</f>
        <v/>
      </c>
      <c r="J1549" s="11" t="n">
        <v>46184</v>
      </c>
      <c r="K1549" s="11" t="n">
        <v>46232</v>
      </c>
      <c r="L1549" t="inlineStr">
        <is>
          <t>Ok. Devolvida</t>
        </is>
      </c>
      <c r="M1549">
        <f>IF(L1549="","",IFERROR(VLOOKUP(L1549,mapGrupoStatus,2,0),"Outros"))</f>
        <v/>
      </c>
      <c r="N1549">
        <f>IF(O1549="","",IF(O1549&lt;=30,"0-30 dias",IF(O1549&lt;=60,"31-60 dias",IF(O1549&lt;=90,"61-90 dias","Mais de 90 dias"))))</f>
        <v/>
      </c>
      <c r="O1549">
        <f>IF(OR(M1549="Pendente",M1549="Em andamento"),IF(J1549="","",TODAY()-J1549),"")</f>
        <v/>
      </c>
      <c r="P1549" t="n">
        <v>12269</v>
      </c>
      <c r="Q1549" t="inlineStr">
        <is>
          <t>Polar Técnica (12269)</t>
        </is>
      </c>
      <c r="R1549" t="inlineStr">
        <is>
          <t>PC-0004</t>
        </is>
      </c>
      <c r="S1549" t="inlineStr">
        <is>
          <t>Termostato modelo 01</t>
        </is>
      </c>
      <c r="T1549" t="n">
        <v>1</v>
      </c>
      <c r="U1549" t="n">
        <v>144</v>
      </c>
      <c r="V1549">
        <f>IF(J1549="","",MONTH(J1549))</f>
        <v/>
      </c>
      <c r="W1549">
        <f>IF(J1549="","",YEAR(J1549))</f>
        <v/>
      </c>
      <c r="X1549" t="inlineStr">
        <is>
          <t>ViaCargo</t>
        </is>
      </c>
      <c r="Y1549">
        <f>IFERROR(INDEX(Rastreio!$H$2:$H$200,MATCH(X1549&amp;"|"&amp;U1549,Rastreio!$A$2:$A$200,0)),"")</f>
        <v/>
      </c>
    </row>
    <row r="1550">
      <c r="A1550">
        <f>IFERROR(INDEX(STAs!$G$2:$G$61,MATCH(P1550,STAs!$F$2:$F$61,0))&amp;"","")</f>
        <v/>
      </c>
      <c r="B1550" t="n">
        <v>20029182</v>
      </c>
      <c r="C1550" t="inlineStr">
        <is>
          <t>Não</t>
        </is>
      </c>
      <c r="D1550" t="inlineStr">
        <is>
          <t>AC</t>
        </is>
      </c>
      <c r="E1550" t="inlineStr">
        <is>
          <t>NORTE</t>
        </is>
      </c>
      <c r="F1550" t="inlineStr">
        <is>
          <t>Cliente A - Refrigerador</t>
        </is>
      </c>
      <c r="G1550" t="inlineStr">
        <is>
          <t>Chopeiras</t>
        </is>
      </c>
      <c r="H1550" s="10" t="n">
        <v>100</v>
      </c>
      <c r="I1550" s="10">
        <f>IFERROR(T1550*H1550,0)</f>
        <v/>
      </c>
      <c r="J1550" s="11" t="n">
        <v>46184</v>
      </c>
      <c r="K1550" s="11" t="n"/>
      <c r="L1550" t="inlineStr">
        <is>
          <t>Não Devolve-Norte</t>
        </is>
      </c>
      <c r="M1550">
        <f>IF(L1550="","",IFERROR(VLOOKUP(L1550,mapGrupoStatus,2,0),"Outros"))</f>
        <v/>
      </c>
      <c r="N1550">
        <f>IF(O1550="","",IF(O1550&lt;=30,"0-30 dias",IF(O1550&lt;=60,"31-60 dias",IF(O1550&lt;=90,"61-90 dias","Mais de 90 dias"))))</f>
        <v/>
      </c>
      <c r="O1550">
        <f>IF(OR(M1550="Pendente",M1550="Em andamento"),IF(J1550="","",TODAY()-J1550),"")</f>
        <v/>
      </c>
      <c r="P1550" t="n">
        <v>10372</v>
      </c>
      <c r="Q1550" t="inlineStr">
        <is>
          <t>Zero Grau ME (10372)</t>
        </is>
      </c>
      <c r="R1550" t="inlineStr">
        <is>
          <t>PC-0027</t>
        </is>
      </c>
      <c r="S1550" t="inlineStr">
        <is>
          <t>Torneira de chopp modelo 02</t>
        </is>
      </c>
      <c r="T1550" t="n">
        <v>1</v>
      </c>
      <c r="U1550" t="inlineStr"/>
      <c r="V1550">
        <f>IF(J1550="","",MONTH(J1550))</f>
        <v/>
      </c>
      <c r="W1550">
        <f>IF(J1550="","",YEAR(J1550))</f>
        <v/>
      </c>
      <c r="X1550" t="inlineStr"/>
      <c r="Y1550">
        <f>IFERROR(INDEX(Rastreio!$H$2:$H$200,MATCH(X1550&amp;"|"&amp;U1550,Rastreio!$A$2:$A$200,0)),"")</f>
        <v/>
      </c>
    </row>
    <row r="1551">
      <c r="A1551">
        <f>IFERROR(INDEX(STAs!$G$2:$G$61,MATCH(P1551,STAs!$F$2:$F$61,0))&amp;"","")</f>
        <v/>
      </c>
      <c r="B1551" t="n">
        <v>20012450</v>
      </c>
      <c r="C1551" t="inlineStr">
        <is>
          <t>Não</t>
        </is>
      </c>
      <c r="D1551" t="inlineStr">
        <is>
          <t>SP</t>
        </is>
      </c>
      <c r="E1551" t="inlineStr">
        <is>
          <t>SUDESTE SP</t>
        </is>
      </c>
      <c r="F1551" t="inlineStr">
        <is>
          <t>Cliente A - Refrigerador</t>
        </is>
      </c>
      <c r="G1551" t="inlineStr">
        <is>
          <t>Chopeiras</t>
        </is>
      </c>
      <c r="H1551" s="10" t="n">
        <v>85</v>
      </c>
      <c r="I1551" s="10">
        <f>IFERROR(T1551*H1551,0)</f>
        <v/>
      </c>
      <c r="J1551" s="11" t="n">
        <v>46185</v>
      </c>
      <c r="K1551" s="11" t="n"/>
      <c r="L1551" t="inlineStr">
        <is>
          <t>Em transporte</t>
        </is>
      </c>
      <c r="M1551">
        <f>IF(L1551="","",IFERROR(VLOOKUP(L1551,mapGrupoStatus,2,0),"Outros"))</f>
        <v/>
      </c>
      <c r="N1551">
        <f>IF(O1551="","",IF(O1551&lt;=30,"0-30 dias",IF(O1551&lt;=60,"31-60 dias",IF(O1551&lt;=90,"61-90 dias","Mais de 90 dias"))))</f>
        <v/>
      </c>
      <c r="O1551">
        <f>IF(OR(M1551="Pendente",M1551="Em andamento"),IF(J1551="","",TODAY()-J1551),"")</f>
        <v/>
      </c>
      <c r="P1551" t="n">
        <v>12901</v>
      </c>
      <c r="Q1551" t="inlineStr">
        <is>
          <t>Frio Serviços (12901)</t>
        </is>
      </c>
      <c r="R1551" t="inlineStr">
        <is>
          <t>PC-0036</t>
        </is>
      </c>
      <c r="S1551" t="inlineStr">
        <is>
          <t>Válvula extratora modelo 02</t>
        </is>
      </c>
      <c r="T1551" t="n">
        <v>1</v>
      </c>
      <c r="U1551" t="n">
        <v>125</v>
      </c>
      <c r="V1551">
        <f>IF(J1551="","",MONTH(J1551))</f>
        <v/>
      </c>
      <c r="W1551">
        <f>IF(J1551="","",YEAR(J1551))</f>
        <v/>
      </c>
      <c r="X1551" t="inlineStr">
        <is>
          <t>CargoMax</t>
        </is>
      </c>
      <c r="Y1551">
        <f>IFERROR(INDEX(Rastreio!$H$2:$H$200,MATCH(X1551&amp;"|"&amp;U1551,Rastreio!$A$2:$A$200,0)),"")</f>
        <v/>
      </c>
    </row>
    <row r="1552">
      <c r="A1552">
        <f>IFERROR(INDEX(STAs!$G$2:$G$61,MATCH(P1552,STAs!$F$2:$F$61,0))&amp;"","")</f>
        <v/>
      </c>
      <c r="B1552" t="n">
        <v>20020385</v>
      </c>
      <c r="C1552" t="inlineStr">
        <is>
          <t>Não</t>
        </is>
      </c>
      <c r="D1552" t="inlineStr">
        <is>
          <t>PR</t>
        </is>
      </c>
      <c r="E1552" t="inlineStr">
        <is>
          <t>SUL</t>
        </is>
      </c>
      <c r="F1552" t="inlineStr">
        <is>
          <t>Cliente B - Chopeira</t>
        </is>
      </c>
      <c r="G1552" t="inlineStr">
        <is>
          <t>Refrigeradores</t>
        </is>
      </c>
      <c r="H1552" s="10" t="n">
        <v>55</v>
      </c>
      <c r="I1552" s="10">
        <f>IFERROR(T1552*H1552,0)</f>
        <v/>
      </c>
      <c r="J1552" s="11" t="n">
        <v>46185</v>
      </c>
      <c r="K1552" s="11" t="n"/>
      <c r="L1552" t="inlineStr">
        <is>
          <t>NPD</t>
        </is>
      </c>
      <c r="M1552">
        <f>IF(L1552="","",IFERROR(VLOOKUP(L1552,mapGrupoStatus,2,0),"Outros"))</f>
        <v/>
      </c>
      <c r="N1552">
        <f>IF(O1552="","",IF(O1552&lt;=30,"0-30 dias",IF(O1552&lt;=60,"31-60 dias",IF(O1552&lt;=90,"61-90 dias","Mais de 90 dias"))))</f>
        <v/>
      </c>
      <c r="O1552">
        <f>IF(OR(M1552="Pendente",M1552="Em andamento"),IF(J1552="","",TODAY()-J1552),"")</f>
        <v/>
      </c>
      <c r="P1552" t="n">
        <v>12089</v>
      </c>
      <c r="Q1552" t="inlineStr">
        <is>
          <t>Termotec Serviços (12089)</t>
        </is>
      </c>
      <c r="R1552" t="inlineStr">
        <is>
          <t>PC-0008</t>
        </is>
      </c>
      <c r="S1552" t="inlineStr">
        <is>
          <t>Ventilador modelo 02</t>
        </is>
      </c>
      <c r="T1552" t="n">
        <v>1</v>
      </c>
      <c r="U1552" t="inlineStr"/>
      <c r="V1552">
        <f>IF(J1552="","",MONTH(J1552))</f>
        <v/>
      </c>
      <c r="W1552">
        <f>IF(J1552="","",YEAR(J1552))</f>
        <v/>
      </c>
      <c r="X1552" t="inlineStr"/>
      <c r="Y1552">
        <f>IFERROR(INDEX(Rastreio!$H$2:$H$200,MATCH(X1552&amp;"|"&amp;U1552,Rastreio!$A$2:$A$200,0)),"")</f>
        <v/>
      </c>
    </row>
    <row r="1553">
      <c r="A1553">
        <f>IFERROR(INDEX(STAs!$G$2:$G$61,MATCH(P1553,STAs!$F$2:$F$61,0))&amp;"","")</f>
        <v/>
      </c>
      <c r="B1553" t="n">
        <v>20031704</v>
      </c>
      <c r="C1553" t="inlineStr">
        <is>
          <t>Não</t>
        </is>
      </c>
      <c r="D1553" t="inlineStr">
        <is>
          <t>AM</t>
        </is>
      </c>
      <c r="E1553" t="inlineStr">
        <is>
          <t>NORTE</t>
        </is>
      </c>
      <c r="F1553" t="inlineStr">
        <is>
          <t>Cliente A - Refrigerador</t>
        </is>
      </c>
      <c r="G1553" t="inlineStr">
        <is>
          <t>Refrigeradores</t>
        </is>
      </c>
      <c r="H1553" s="10" t="n">
        <v>315</v>
      </c>
      <c r="I1553" s="10">
        <f>IFERROR(T1553*H1553,0)</f>
        <v/>
      </c>
      <c r="J1553" s="11" t="n">
        <v>46185</v>
      </c>
      <c r="K1553" s="11" t="n"/>
      <c r="L1553" t="inlineStr">
        <is>
          <t>Aguardando Transporte</t>
        </is>
      </c>
      <c r="M1553">
        <f>IF(L1553="","",IFERROR(VLOOKUP(L1553,mapGrupoStatus,2,0),"Outros"))</f>
        <v/>
      </c>
      <c r="N1553">
        <f>IF(O1553="","",IF(O1553&lt;=30,"0-30 dias",IF(O1553&lt;=60,"31-60 dias",IF(O1553&lt;=90,"61-90 dias","Mais de 90 dias"))))</f>
        <v/>
      </c>
      <c r="O1553">
        <f>IF(OR(M1553="Pendente",M1553="Em andamento"),IF(J1553="","",TODAY()-J1553),"")</f>
        <v/>
      </c>
      <c r="P1553" t="n">
        <v>12269</v>
      </c>
      <c r="Q1553" t="inlineStr">
        <is>
          <t>Polar Técnica (12269)</t>
        </is>
      </c>
      <c r="R1553" t="inlineStr">
        <is>
          <t>PC-0002</t>
        </is>
      </c>
      <c r="S1553" t="inlineStr">
        <is>
          <t>Compressor modelo 02</t>
        </is>
      </c>
      <c r="T1553" t="n">
        <v>1</v>
      </c>
      <c r="U1553" t="n">
        <v>155</v>
      </c>
      <c r="V1553">
        <f>IF(J1553="","",MONTH(J1553))</f>
        <v/>
      </c>
      <c r="W1553">
        <f>IF(J1553="","",YEAR(J1553))</f>
        <v/>
      </c>
      <c r="X1553" t="inlineStr">
        <is>
          <t>RotaSul</t>
        </is>
      </c>
      <c r="Y1553">
        <f>IFERROR(INDEX(Rastreio!$H$2:$H$200,MATCH(X1553&amp;"|"&amp;U1553,Rastreio!$A$2:$A$200,0)),"")</f>
        <v/>
      </c>
    </row>
    <row r="1554">
      <c r="A1554">
        <f>IFERROR(INDEX(STAs!$G$2:$G$61,MATCH(P1554,STAs!$F$2:$F$61,0))&amp;"","")</f>
        <v/>
      </c>
      <c r="B1554" t="n">
        <v>20035365</v>
      </c>
      <c r="C1554" t="inlineStr">
        <is>
          <t>Sim</t>
        </is>
      </c>
      <c r="D1554" t="inlineStr">
        <is>
          <t>PR</t>
        </is>
      </c>
      <c r="E1554" t="inlineStr">
        <is>
          <t>SUL</t>
        </is>
      </c>
      <c r="F1554" t="inlineStr">
        <is>
          <t>Cliente A - Refrigerador</t>
        </is>
      </c>
      <c r="G1554" t="inlineStr">
        <is>
          <t>Refrigeradores</t>
        </is>
      </c>
      <c r="H1554" s="10" t="n">
        <v>185</v>
      </c>
      <c r="I1554" s="10">
        <f>IFERROR(T1554*H1554,0)</f>
        <v/>
      </c>
      <c r="J1554" s="11" t="n">
        <v>46185</v>
      </c>
      <c r="K1554" s="11" t="n"/>
      <c r="L1554" t="inlineStr">
        <is>
          <t>Aguardando devolução</t>
        </is>
      </c>
      <c r="M1554">
        <f>IF(L1554="","",IFERROR(VLOOKUP(L1554,mapGrupoStatus,2,0),"Outros"))</f>
        <v/>
      </c>
      <c r="N1554">
        <f>IF(O1554="","",IF(O1554&lt;=30,"0-30 dias",IF(O1554&lt;=60,"31-60 dias",IF(O1554&lt;=90,"61-90 dias","Mais de 90 dias"))))</f>
        <v/>
      </c>
      <c r="O1554">
        <f>IF(OR(M1554="Pendente",M1554="Em andamento"),IF(J1554="","",TODAY()-J1554),"")</f>
        <v/>
      </c>
      <c r="P1554" t="n">
        <v>12724</v>
      </c>
      <c r="Q1554" t="inlineStr">
        <is>
          <t>Cool Service &amp; Cia (12724)</t>
        </is>
      </c>
      <c r="R1554" t="inlineStr">
        <is>
          <t>PC-0013</t>
        </is>
      </c>
      <c r="S1554" t="inlineStr">
        <is>
          <t>Placa eletrônica modelo 03</t>
        </is>
      </c>
      <c r="T1554" t="n">
        <v>1</v>
      </c>
      <c r="U1554" t="inlineStr"/>
      <c r="V1554">
        <f>IF(J1554="","",MONTH(J1554))</f>
        <v/>
      </c>
      <c r="W1554">
        <f>IF(J1554="","",YEAR(J1554))</f>
        <v/>
      </c>
      <c r="X1554" t="inlineStr"/>
      <c r="Y1554">
        <f>IFERROR(INDEX(Rastreio!$H$2:$H$200,MATCH(X1554&amp;"|"&amp;U1554,Rastreio!$A$2:$A$200,0)),"")</f>
        <v/>
      </c>
    </row>
    <row r="1555">
      <c r="A1555">
        <f>IFERROR(INDEX(STAs!$G$2:$G$61,MATCH(P1555,STAs!$F$2:$F$61,0))&amp;"","")</f>
        <v/>
      </c>
      <c r="B1555" t="n">
        <v>20036702</v>
      </c>
      <c r="C1555" t="inlineStr">
        <is>
          <t>Não</t>
        </is>
      </c>
      <c r="D1555" t="inlineStr">
        <is>
          <t>RJ</t>
        </is>
      </c>
      <c r="E1555" t="inlineStr">
        <is>
          <t>SUDESTE RJ e ES</t>
        </is>
      </c>
      <c r="F1555" t="inlineStr">
        <is>
          <t>Cliente A - Refrigerador</t>
        </is>
      </c>
      <c r="G1555" t="inlineStr">
        <is>
          <t>Chopeiras</t>
        </is>
      </c>
      <c r="H1555" s="10" t="n">
        <v>205</v>
      </c>
      <c r="I1555" s="10">
        <f>IFERROR(T1555*H1555,0)</f>
        <v/>
      </c>
      <c r="J1555" s="11" t="n">
        <v>46185</v>
      </c>
      <c r="K1555" s="11" t="n">
        <v>46240</v>
      </c>
      <c r="L1555" t="inlineStr">
        <is>
          <t>Ok. Devolvida</t>
        </is>
      </c>
      <c r="M1555">
        <f>IF(L1555="","",IFERROR(VLOOKUP(L1555,mapGrupoStatus,2,0),"Outros"))</f>
        <v/>
      </c>
      <c r="N1555">
        <f>IF(O1555="","",IF(O1555&lt;=30,"0-30 dias",IF(O1555&lt;=60,"31-60 dias",IF(O1555&lt;=90,"61-90 dias","Mais de 90 dias"))))</f>
        <v/>
      </c>
      <c r="O1555">
        <f>IF(OR(M1555="Pendente",M1555="Em andamento"),IF(J1555="","",TODAY()-J1555),"")</f>
        <v/>
      </c>
      <c r="P1555" t="n">
        <v>12811</v>
      </c>
      <c r="Q1555" t="inlineStr">
        <is>
          <t>Norte Frio Técnica (12811)</t>
        </is>
      </c>
      <c r="R1555" t="inlineStr">
        <is>
          <t>PC-0031</t>
        </is>
      </c>
      <c r="S1555" t="inlineStr">
        <is>
          <t>Serpentina modelo 03</t>
        </is>
      </c>
      <c r="T1555" t="n">
        <v>3</v>
      </c>
      <c r="U1555" t="n">
        <v>156</v>
      </c>
      <c r="V1555">
        <f>IF(J1555="","",MONTH(J1555))</f>
        <v/>
      </c>
      <c r="W1555">
        <f>IF(J1555="","",YEAR(J1555))</f>
        <v/>
      </c>
      <c r="X1555" t="inlineStr">
        <is>
          <t>ViaCargo</t>
        </is>
      </c>
      <c r="Y1555">
        <f>IFERROR(INDEX(Rastreio!$H$2:$H$200,MATCH(X1555&amp;"|"&amp;U1555,Rastreio!$A$2:$A$200,0)),"")</f>
        <v/>
      </c>
    </row>
    <row r="1556">
      <c r="A1556">
        <f>IFERROR(INDEX(STAs!$G$2:$G$61,MATCH(P1556,STAs!$F$2:$F$61,0))&amp;"","")</f>
        <v/>
      </c>
      <c r="B1556" t="n">
        <v>20036864</v>
      </c>
      <c r="C1556" t="inlineStr">
        <is>
          <t>Não</t>
        </is>
      </c>
      <c r="D1556" t="inlineStr">
        <is>
          <t>RR</t>
        </is>
      </c>
      <c r="E1556" t="inlineStr">
        <is>
          <t>NORTE</t>
        </is>
      </c>
      <c r="F1556" t="inlineStr">
        <is>
          <t>Cliente B - Chopeira</t>
        </is>
      </c>
      <c r="G1556" t="inlineStr">
        <is>
          <t>Chopeiras</t>
        </is>
      </c>
      <c r="H1556" s="10" t="n">
        <v>210</v>
      </c>
      <c r="I1556" s="10">
        <f>IFERROR(T1556*H1556,0)</f>
        <v/>
      </c>
      <c r="J1556" s="11" t="n">
        <v>46185</v>
      </c>
      <c r="K1556" s="11" t="n"/>
      <c r="L1556" t="inlineStr">
        <is>
          <t>Não Devolve-Norte</t>
        </is>
      </c>
      <c r="M1556">
        <f>IF(L1556="","",IFERROR(VLOOKUP(L1556,mapGrupoStatus,2,0),"Outros"))</f>
        <v/>
      </c>
      <c r="N1556">
        <f>IF(O1556="","",IF(O1556&lt;=30,"0-30 dias",IF(O1556&lt;=60,"31-60 dias",IF(O1556&lt;=90,"61-90 dias","Mais de 90 dias"))))</f>
        <v/>
      </c>
      <c r="O1556">
        <f>IF(OR(M1556="Pendente",M1556="Em andamento"),IF(J1556="","",TODAY()-J1556),"")</f>
        <v/>
      </c>
      <c r="P1556" t="n">
        <v>10468</v>
      </c>
      <c r="Q1556" t="inlineStr">
        <is>
          <t>Clima Express (10468)</t>
        </is>
      </c>
      <c r="R1556" t="inlineStr">
        <is>
          <t>PC-0029</t>
        </is>
      </c>
      <c r="S1556" t="inlineStr">
        <is>
          <t>Serpentina modelo 01</t>
        </is>
      </c>
      <c r="T1556" t="n">
        <v>1</v>
      </c>
      <c r="U1556" t="inlineStr"/>
      <c r="V1556">
        <f>IF(J1556="","",MONTH(J1556))</f>
        <v/>
      </c>
      <c r="W1556">
        <f>IF(J1556="","",YEAR(J1556))</f>
        <v/>
      </c>
      <c r="X1556" t="inlineStr"/>
      <c r="Y1556">
        <f>IFERROR(INDEX(Rastreio!$H$2:$H$200,MATCH(X1556&amp;"|"&amp;U1556,Rastreio!$A$2:$A$200,0)),"")</f>
        <v/>
      </c>
    </row>
    <row r="1557">
      <c r="A1557">
        <f>IFERROR(INDEX(STAs!$G$2:$G$61,MATCH(P1557,STAs!$F$2:$F$61,0))&amp;"","")</f>
        <v/>
      </c>
      <c r="B1557" t="n">
        <v>20001378</v>
      </c>
      <c r="C1557" t="inlineStr">
        <is>
          <t>Não</t>
        </is>
      </c>
      <c r="D1557" t="inlineStr">
        <is>
          <t>MG</t>
        </is>
      </c>
      <c r="E1557" t="inlineStr">
        <is>
          <t>SUDESTE MG</t>
        </is>
      </c>
      <c r="F1557" t="inlineStr">
        <is>
          <t>Cliente C - Misturador</t>
        </is>
      </c>
      <c r="G1557" t="inlineStr">
        <is>
          <t>Misturadores</t>
        </is>
      </c>
      <c r="H1557" s="10" t="n">
        <v>50</v>
      </c>
      <c r="I1557" s="10">
        <f>IFERROR(T1557*H1557,0)</f>
        <v/>
      </c>
      <c r="J1557" s="11" t="n">
        <v>46186</v>
      </c>
      <c r="K1557" s="11" t="n">
        <v>46241</v>
      </c>
      <c r="L1557" t="inlineStr">
        <is>
          <t>Ok. Devolvida</t>
        </is>
      </c>
      <c r="M1557">
        <f>IF(L1557="","",IFERROR(VLOOKUP(L1557,mapGrupoStatus,2,0),"Outros"))</f>
        <v/>
      </c>
      <c r="N1557">
        <f>IF(O1557="","",IF(O1557&lt;=30,"0-30 dias",IF(O1557&lt;=60,"31-60 dias",IF(O1557&lt;=90,"61-90 dias","Mais de 90 dias"))))</f>
        <v/>
      </c>
      <c r="O1557">
        <f>IF(OR(M1557="Pendente",M1557="Em andamento"),IF(J1557="","",TODAY()-J1557),"")</f>
        <v/>
      </c>
      <c r="P1557" t="n">
        <v>12158</v>
      </c>
      <c r="Q1557" t="inlineStr">
        <is>
          <t>Gelo Serviços (12158)</t>
        </is>
      </c>
      <c r="R1557" t="inlineStr">
        <is>
          <t>PC-0044</t>
        </is>
      </c>
      <c r="S1557" t="inlineStr">
        <is>
          <t>Bico dosador modelo 03</t>
        </is>
      </c>
      <c r="T1557" t="n">
        <v>1</v>
      </c>
      <c r="U1557" t="n">
        <v>106</v>
      </c>
      <c r="V1557">
        <f>IF(J1557="","",MONTH(J1557))</f>
        <v/>
      </c>
      <c r="W1557">
        <f>IF(J1557="","",YEAR(J1557))</f>
        <v/>
      </c>
      <c r="X1557" t="inlineStr">
        <is>
          <t>RotaSul</t>
        </is>
      </c>
      <c r="Y1557">
        <f>IFERROR(INDEX(Rastreio!$H$2:$H$200,MATCH(X1557&amp;"|"&amp;U1557,Rastreio!$A$2:$A$200,0)),"")</f>
        <v/>
      </c>
    </row>
    <row r="1558">
      <c r="A1558">
        <f>IFERROR(INDEX(STAs!$G$2:$G$61,MATCH(P1558,STAs!$F$2:$F$61,0))&amp;"","")</f>
        <v/>
      </c>
      <c r="B1558" t="n">
        <v>20012292</v>
      </c>
      <c r="C1558" t="inlineStr">
        <is>
          <t>Sim</t>
        </is>
      </c>
      <c r="D1558" t="inlineStr">
        <is>
          <t>PR</t>
        </is>
      </c>
      <c r="E1558" t="inlineStr">
        <is>
          <t>SUL</t>
        </is>
      </c>
      <c r="F1558" t="inlineStr">
        <is>
          <t>Cliente C - Misturador</t>
        </is>
      </c>
      <c r="G1558" t="inlineStr">
        <is>
          <t>Misturadores</t>
        </is>
      </c>
      <c r="H1558" s="10" t="n">
        <v>255</v>
      </c>
      <c r="I1558" s="10">
        <f>IFERROR(T1558*H1558,0)</f>
        <v/>
      </c>
      <c r="J1558" s="11" t="n">
        <v>46186</v>
      </c>
      <c r="K1558" s="11" t="n"/>
      <c r="L1558" t="inlineStr">
        <is>
          <t>Aguardando Transporte</t>
        </is>
      </c>
      <c r="M1558">
        <f>IF(L1558="","",IFERROR(VLOOKUP(L1558,mapGrupoStatus,2,0),"Outros"))</f>
        <v/>
      </c>
      <c r="N1558">
        <f>IF(O1558="","",IF(O1558&lt;=30,"0-30 dias",IF(O1558&lt;=60,"31-60 dias",IF(O1558&lt;=90,"61-90 dias","Mais de 90 dias"))))</f>
        <v/>
      </c>
      <c r="O1558">
        <f>IF(OR(M1558="Pendente",M1558="Em andamento"),IF(J1558="","",TODAY()-J1558),"")</f>
        <v/>
      </c>
      <c r="P1558" t="n">
        <v>10753</v>
      </c>
      <c r="Q1558" t="inlineStr">
        <is>
          <t>Refrigel &amp; Cia (10753)</t>
        </is>
      </c>
      <c r="R1558" t="inlineStr">
        <is>
          <t>PC-0037</t>
        </is>
      </c>
      <c r="S1558" t="inlineStr">
        <is>
          <t>Bomba de recirculação modelo 01</t>
        </is>
      </c>
      <c r="T1558" t="n">
        <v>1</v>
      </c>
      <c r="U1558" t="n">
        <v>119</v>
      </c>
      <c r="V1558">
        <f>IF(J1558="","",MONTH(J1558))</f>
        <v/>
      </c>
      <c r="W1558">
        <f>IF(J1558="","",YEAR(J1558))</f>
        <v/>
      </c>
      <c r="X1558" t="inlineStr">
        <is>
          <t>RotaSul</t>
        </is>
      </c>
      <c r="Y1558">
        <f>IFERROR(INDEX(Rastreio!$H$2:$H$200,MATCH(X1558&amp;"|"&amp;U1558,Rastreio!$A$2:$A$200,0)),"")</f>
        <v/>
      </c>
    </row>
    <row r="1559">
      <c r="A1559">
        <f>IFERROR(INDEX(STAs!$G$2:$G$61,MATCH(P1559,STAs!$F$2:$F$61,0))&amp;"","")</f>
        <v/>
      </c>
      <c r="B1559" t="n">
        <v>20013323</v>
      </c>
      <c r="C1559" t="inlineStr">
        <is>
          <t>Não</t>
        </is>
      </c>
      <c r="D1559" t="inlineStr">
        <is>
          <t>PE</t>
        </is>
      </c>
      <c r="E1559" t="inlineStr">
        <is>
          <t>NORDESTE</t>
        </is>
      </c>
      <c r="F1559" t="inlineStr">
        <is>
          <t>Cliente A - Refrigerador</t>
        </is>
      </c>
      <c r="G1559" t="inlineStr">
        <is>
          <t>Misturadores</t>
        </is>
      </c>
      <c r="H1559" s="10" t="n">
        <v>60</v>
      </c>
      <c r="I1559" s="10">
        <f>IFERROR(T1559*H1559,0)</f>
        <v/>
      </c>
      <c r="J1559" s="11" t="n">
        <v>46186</v>
      </c>
      <c r="K1559" s="11" t="n">
        <v>46239</v>
      </c>
      <c r="L1559" t="inlineStr">
        <is>
          <t>Ok. Devolvida</t>
        </is>
      </c>
      <c r="M1559">
        <f>IF(L1559="","",IFERROR(VLOOKUP(L1559,mapGrupoStatus,2,0),"Outros"))</f>
        <v/>
      </c>
      <c r="N1559">
        <f>IF(O1559="","",IF(O1559&lt;=30,"0-30 dias",IF(O1559&lt;=60,"31-60 dias",IF(O1559&lt;=90,"61-90 dias","Mais de 90 dias"))))</f>
        <v/>
      </c>
      <c r="O1559">
        <f>IF(OR(M1559="Pendente",M1559="Em andamento"),IF(J1559="","",TODAY()-J1559),"")</f>
        <v/>
      </c>
      <c r="P1559" t="n">
        <v>11352</v>
      </c>
      <c r="Q1559" t="inlineStr">
        <is>
          <t>Frio Express (11352)</t>
        </is>
      </c>
      <c r="R1559" t="inlineStr">
        <is>
          <t>PC-0048</t>
        </is>
      </c>
      <c r="S1559" t="inlineStr">
        <is>
          <t>Sensor de nível modelo 04</t>
        </is>
      </c>
      <c r="T1559" t="n">
        <v>1</v>
      </c>
      <c r="U1559" t="n">
        <v>124</v>
      </c>
      <c r="V1559">
        <f>IF(J1559="","",MONTH(J1559))</f>
        <v/>
      </c>
      <c r="W1559">
        <f>IF(J1559="","",YEAR(J1559))</f>
        <v/>
      </c>
      <c r="X1559" t="inlineStr">
        <is>
          <t>EntregaJá</t>
        </is>
      </c>
      <c r="Y1559">
        <f>IFERROR(INDEX(Rastreio!$H$2:$H$200,MATCH(X1559&amp;"|"&amp;U1559,Rastreio!$A$2:$A$200,0)),"")</f>
        <v/>
      </c>
    </row>
    <row r="1560">
      <c r="A1560">
        <f>IFERROR(INDEX(STAs!$G$2:$G$61,MATCH(P1560,STAs!$F$2:$F$61,0))&amp;"","")</f>
        <v/>
      </c>
      <c r="B1560" t="n">
        <v>20017274</v>
      </c>
      <c r="C1560" t="inlineStr">
        <is>
          <t>Não</t>
        </is>
      </c>
      <c r="D1560" t="inlineStr">
        <is>
          <t>SP</t>
        </is>
      </c>
      <c r="E1560" t="inlineStr">
        <is>
          <t>SUDESTE SP</t>
        </is>
      </c>
      <c r="F1560" t="inlineStr">
        <is>
          <t>Cliente A - Refrigerador</t>
        </is>
      </c>
      <c r="G1560" t="inlineStr">
        <is>
          <t>Refrigeradores</t>
        </is>
      </c>
      <c r="H1560" s="10" t="n">
        <v>330</v>
      </c>
      <c r="I1560" s="10">
        <f>IFERROR(T1560*H1560,0)</f>
        <v/>
      </c>
      <c r="J1560" s="11" t="n">
        <v>46186</v>
      </c>
      <c r="K1560" s="11" t="n"/>
      <c r="L1560" t="inlineStr">
        <is>
          <t>Em andamento</t>
        </is>
      </c>
      <c r="M1560">
        <f>IF(L1560="","",IFERROR(VLOOKUP(L1560,mapGrupoStatus,2,0),"Outros"))</f>
        <v/>
      </c>
      <c r="N1560">
        <f>IF(O1560="","",IF(O1560&lt;=30,"0-30 dias",IF(O1560&lt;=60,"31-60 dias",IF(O1560&lt;=90,"61-90 dias","Mais de 90 dias"))))</f>
        <v/>
      </c>
      <c r="O1560">
        <f>IF(OR(M1560="Pendente",M1560="Em andamento"),IF(J1560="","",TODAY()-J1560),"")</f>
        <v/>
      </c>
      <c r="P1560" t="n">
        <v>10111</v>
      </c>
      <c r="Q1560" t="inlineStr">
        <is>
          <t>Refrigel Manutenção (10111)</t>
        </is>
      </c>
      <c r="R1560" t="inlineStr">
        <is>
          <t>PC-0003</t>
        </is>
      </c>
      <c r="S1560" t="inlineStr">
        <is>
          <t>Compressor modelo 03</t>
        </is>
      </c>
      <c r="T1560" t="n">
        <v>1</v>
      </c>
      <c r="U1560" t="n">
        <v>132</v>
      </c>
      <c r="V1560">
        <f>IF(J1560="","",MONTH(J1560))</f>
        <v/>
      </c>
      <c r="W1560">
        <f>IF(J1560="","",YEAR(J1560))</f>
        <v/>
      </c>
      <c r="X1560" t="inlineStr">
        <is>
          <t>ViaCargo</t>
        </is>
      </c>
      <c r="Y1560">
        <f>IFERROR(INDEX(Rastreio!$H$2:$H$200,MATCH(X1560&amp;"|"&amp;U1560,Rastreio!$A$2:$A$200,0)),"")</f>
        <v/>
      </c>
    </row>
    <row r="1561">
      <c r="A1561">
        <f>IFERROR(INDEX(STAs!$G$2:$G$61,MATCH(P1561,STAs!$F$2:$F$61,0))&amp;"","")</f>
        <v/>
      </c>
      <c r="B1561" t="n">
        <v>20019327</v>
      </c>
      <c r="C1561" t="inlineStr">
        <is>
          <t>Não</t>
        </is>
      </c>
      <c r="D1561" t="inlineStr">
        <is>
          <t>ES</t>
        </is>
      </c>
      <c r="E1561" t="inlineStr">
        <is>
          <t>SUDESTE RJ e ES</t>
        </is>
      </c>
      <c r="F1561" t="inlineStr">
        <is>
          <t>Cliente C - Misturador</t>
        </is>
      </c>
      <c r="G1561" t="inlineStr">
        <is>
          <t>Refrigeradores</t>
        </is>
      </c>
      <c r="H1561" s="10" t="n">
        <v>35</v>
      </c>
      <c r="I1561" s="10">
        <f>IFERROR(T1561*H1561,0)</f>
        <v/>
      </c>
      <c r="J1561" s="11" t="n">
        <v>46186</v>
      </c>
      <c r="K1561" s="11" t="n">
        <v>46200</v>
      </c>
      <c r="L1561" t="inlineStr">
        <is>
          <t>Ok. Devolvida</t>
        </is>
      </c>
      <c r="M1561">
        <f>IF(L1561="","",IFERROR(VLOOKUP(L1561,mapGrupoStatus,2,0),"Outros"))</f>
        <v/>
      </c>
      <c r="N1561">
        <f>IF(O1561="","",IF(O1561&lt;=30,"0-30 dias",IF(O1561&lt;=60,"31-60 dias",IF(O1561&lt;=90,"61-90 dias","Mais de 90 dias"))))</f>
        <v/>
      </c>
      <c r="O1561">
        <f>IF(OR(M1561="Pendente",M1561="Em andamento"),IF(J1561="","",TODAY()-J1561),"")</f>
        <v/>
      </c>
      <c r="P1561" t="n">
        <v>11099</v>
      </c>
      <c r="Q1561" t="inlineStr">
        <is>
          <t>Refrigel Serviços (11099)</t>
        </is>
      </c>
      <c r="R1561" t="inlineStr">
        <is>
          <t>PC-0023</t>
        </is>
      </c>
      <c r="S1561" t="inlineStr">
        <is>
          <t>Relé de partida modelo 01</t>
        </is>
      </c>
      <c r="T1561" t="n">
        <v>1</v>
      </c>
      <c r="U1561" t="n">
        <v>128</v>
      </c>
      <c r="V1561">
        <f>IF(J1561="","",MONTH(J1561))</f>
        <v/>
      </c>
      <c r="W1561">
        <f>IF(J1561="","",YEAR(J1561))</f>
        <v/>
      </c>
      <c r="X1561" t="inlineStr">
        <is>
          <t>EntregaJá</t>
        </is>
      </c>
      <c r="Y1561">
        <f>IFERROR(INDEX(Rastreio!$H$2:$H$200,MATCH(X1561&amp;"|"&amp;U1561,Rastreio!$A$2:$A$200,0)),"")</f>
        <v/>
      </c>
    </row>
    <row r="1562">
      <c r="A1562">
        <f>IFERROR(INDEX(STAs!$G$2:$G$61,MATCH(P1562,STAs!$F$2:$F$61,0))&amp;"","")</f>
        <v/>
      </c>
      <c r="B1562" t="n">
        <v>20040472</v>
      </c>
      <c r="C1562" t="inlineStr">
        <is>
          <t>Não</t>
        </is>
      </c>
      <c r="D1562" t="inlineStr">
        <is>
          <t>BA</t>
        </is>
      </c>
      <c r="E1562" t="inlineStr">
        <is>
          <t>NORDESTE</t>
        </is>
      </c>
      <c r="F1562" t="inlineStr">
        <is>
          <t>Cliente B - Chopeira</t>
        </is>
      </c>
      <c r="G1562" t="inlineStr">
        <is>
          <t>Refrigeradores</t>
        </is>
      </c>
      <c r="H1562" s="10" t="n">
        <v>25</v>
      </c>
      <c r="I1562" s="10">
        <f>IFERROR(T1562*H1562,0)</f>
        <v/>
      </c>
      <c r="J1562" s="11" t="n">
        <v>46186</v>
      </c>
      <c r="K1562" s="11" t="n"/>
      <c r="L1562" t="inlineStr">
        <is>
          <t>Aguardando devolução</t>
        </is>
      </c>
      <c r="M1562">
        <f>IF(L1562="","",IFERROR(VLOOKUP(L1562,mapGrupoStatus,2,0),"Outros"))</f>
        <v/>
      </c>
      <c r="N1562">
        <f>IF(O1562="","",IF(O1562&lt;=30,"0-30 dias",IF(O1562&lt;=60,"31-60 dias",IF(O1562&lt;=90,"61-90 dias","Mais de 90 dias"))))</f>
        <v/>
      </c>
      <c r="O1562">
        <f>IF(OR(M1562="Pendente",M1562="Em andamento"),IF(J1562="","",TODAY()-J1562),"")</f>
        <v/>
      </c>
      <c r="P1562" t="n">
        <v>12194</v>
      </c>
      <c r="Q1562" t="inlineStr">
        <is>
          <t>Polar &amp; Cia (12194)</t>
        </is>
      </c>
      <c r="R1562" t="inlineStr">
        <is>
          <t>PC-0015</t>
        </is>
      </c>
      <c r="S1562" t="inlineStr">
        <is>
          <t>Filtro secador modelo 01</t>
        </is>
      </c>
      <c r="T1562" t="n">
        <v>1</v>
      </c>
      <c r="U1562" t="inlineStr"/>
      <c r="V1562">
        <f>IF(J1562="","",MONTH(J1562))</f>
        <v/>
      </c>
      <c r="W1562">
        <f>IF(J1562="","",YEAR(J1562))</f>
        <v/>
      </c>
      <c r="X1562" t="inlineStr"/>
      <c r="Y1562">
        <f>IFERROR(INDEX(Rastreio!$H$2:$H$200,MATCH(X1562&amp;"|"&amp;U1562,Rastreio!$A$2:$A$200,0)),"")</f>
        <v/>
      </c>
    </row>
    <row r="1563">
      <c r="A1563">
        <f>IFERROR(INDEX(STAs!$G$2:$G$61,MATCH(P1563,STAs!$F$2:$F$61,0))&amp;"","")</f>
        <v/>
      </c>
      <c r="B1563" t="n">
        <v>20003955</v>
      </c>
      <c r="C1563" t="inlineStr">
        <is>
          <t>Não</t>
        </is>
      </c>
      <c r="D1563" t="inlineStr">
        <is>
          <t>PI</t>
        </is>
      </c>
      <c r="E1563" t="inlineStr">
        <is>
          <t>NORDESTE</t>
        </is>
      </c>
      <c r="F1563" t="inlineStr">
        <is>
          <t>Cliente C - Misturador</t>
        </is>
      </c>
      <c r="G1563" t="inlineStr">
        <is>
          <t>Chopeiras</t>
        </is>
      </c>
      <c r="H1563" s="10" t="n">
        <v>85</v>
      </c>
      <c r="I1563" s="10">
        <f>IFERROR(T1563*H1563,0)</f>
        <v/>
      </c>
      <c r="J1563" s="11" t="n">
        <v>46188</v>
      </c>
      <c r="K1563" s="11" t="n"/>
      <c r="L1563" t="inlineStr">
        <is>
          <t>Em andamento</t>
        </is>
      </c>
      <c r="M1563">
        <f>IF(L1563="","",IFERROR(VLOOKUP(L1563,mapGrupoStatus,2,0),"Outros"))</f>
        <v/>
      </c>
      <c r="N1563">
        <f>IF(O1563="","",IF(O1563&lt;=30,"0-30 dias",IF(O1563&lt;=60,"31-60 dias",IF(O1563&lt;=90,"61-90 dias","Mais de 90 dias"))))</f>
        <v/>
      </c>
      <c r="O1563">
        <f>IF(OR(M1563="Pendente",M1563="Em andamento"),IF(J1563="","",TODAY()-J1563),"")</f>
        <v/>
      </c>
      <c r="P1563" t="n">
        <v>10562</v>
      </c>
      <c r="Q1563" t="inlineStr">
        <is>
          <t>Clima &amp; Cia (10562)</t>
        </is>
      </c>
      <c r="R1563" t="inlineStr">
        <is>
          <t>PC-0035</t>
        </is>
      </c>
      <c r="S1563" t="inlineStr">
        <is>
          <t>Válvula extratora modelo 01</t>
        </is>
      </c>
      <c r="T1563" t="n">
        <v>1</v>
      </c>
      <c r="U1563" t="n">
        <v>106</v>
      </c>
      <c r="V1563">
        <f>IF(J1563="","",MONTH(J1563))</f>
        <v/>
      </c>
      <c r="W1563">
        <f>IF(J1563="","",YEAR(J1563))</f>
        <v/>
      </c>
      <c r="X1563" t="inlineStr">
        <is>
          <t>TransNorte</t>
        </is>
      </c>
      <c r="Y1563">
        <f>IFERROR(INDEX(Rastreio!$H$2:$H$200,MATCH(X1563&amp;"|"&amp;U1563,Rastreio!$A$2:$A$200,0)),"")</f>
        <v/>
      </c>
    </row>
    <row r="1564">
      <c r="A1564">
        <f>IFERROR(INDEX(STAs!$G$2:$G$61,MATCH(P1564,STAs!$F$2:$F$61,0))&amp;"","")</f>
        <v/>
      </c>
      <c r="B1564" t="n">
        <v>20011365</v>
      </c>
      <c r="C1564" t="inlineStr">
        <is>
          <t>Não</t>
        </is>
      </c>
      <c r="D1564" t="inlineStr">
        <is>
          <t>BA</t>
        </is>
      </c>
      <c r="E1564" t="inlineStr">
        <is>
          <t>NORDESTE</t>
        </is>
      </c>
      <c r="F1564" t="inlineStr">
        <is>
          <t>Cliente A - Refrigerador</t>
        </is>
      </c>
      <c r="G1564" t="inlineStr">
        <is>
          <t>Refrigeradores</t>
        </is>
      </c>
      <c r="H1564" s="10" t="n">
        <v>35</v>
      </c>
      <c r="I1564" s="10">
        <f>IFERROR(T1564*H1564,0)</f>
        <v/>
      </c>
      <c r="J1564" s="11" t="n">
        <v>46188</v>
      </c>
      <c r="K1564" s="11" t="n"/>
      <c r="L1564" t="inlineStr">
        <is>
          <t>Aguardando devolução</t>
        </is>
      </c>
      <c r="M1564">
        <f>IF(L1564="","",IFERROR(VLOOKUP(L1564,mapGrupoStatus,2,0),"Outros"))</f>
        <v/>
      </c>
      <c r="N1564">
        <f>IF(O1564="","",IF(O1564&lt;=30,"0-30 dias",IF(O1564&lt;=60,"31-60 dias",IF(O1564&lt;=90,"61-90 dias","Mais de 90 dias"))))</f>
        <v/>
      </c>
      <c r="O1564">
        <f>IF(OR(M1564="Pendente",M1564="Em andamento"),IF(J1564="","",TODAY()-J1564),"")</f>
        <v/>
      </c>
      <c r="P1564" t="n">
        <v>11538</v>
      </c>
      <c r="Q1564" t="inlineStr">
        <is>
          <t>Clima Manutenção (11538)</t>
        </is>
      </c>
      <c r="R1564" t="inlineStr">
        <is>
          <t>PC-0020</t>
        </is>
      </c>
      <c r="S1564" t="inlineStr">
        <is>
          <t>Gaxeta da porta modelo 03</t>
        </is>
      </c>
      <c r="T1564" t="n">
        <v>1</v>
      </c>
      <c r="U1564" t="inlineStr"/>
      <c r="V1564">
        <f>IF(J1564="","",MONTH(J1564))</f>
        <v/>
      </c>
      <c r="W1564">
        <f>IF(J1564="","",YEAR(J1564))</f>
        <v/>
      </c>
      <c r="X1564" t="inlineStr"/>
      <c r="Y1564">
        <f>IFERROR(INDEX(Rastreio!$H$2:$H$200,MATCH(X1564&amp;"|"&amp;U1564,Rastreio!$A$2:$A$200,0)),"")</f>
        <v/>
      </c>
    </row>
    <row r="1565">
      <c r="A1565">
        <f>IFERROR(INDEX(STAs!$G$2:$G$61,MATCH(P1565,STAs!$F$2:$F$61,0))&amp;"","")</f>
        <v/>
      </c>
      <c r="B1565" t="n">
        <v>20012975</v>
      </c>
      <c r="C1565" t="inlineStr">
        <is>
          <t>Não</t>
        </is>
      </c>
      <c r="D1565" t="inlineStr">
        <is>
          <t>PI</t>
        </is>
      </c>
      <c r="E1565" t="inlineStr">
        <is>
          <t>NORDESTE</t>
        </is>
      </c>
      <c r="F1565" t="inlineStr">
        <is>
          <t>Cliente A - Refrigerador</t>
        </is>
      </c>
      <c r="G1565" t="inlineStr">
        <is>
          <t>Chopeiras</t>
        </is>
      </c>
      <c r="H1565" s="10" t="n">
        <v>115</v>
      </c>
      <c r="I1565" s="10">
        <f>IFERROR(T1565*H1565,0)</f>
        <v/>
      </c>
      <c r="J1565" s="11" t="n">
        <v>46188</v>
      </c>
      <c r="K1565" s="11" t="n"/>
      <c r="L1565" t="inlineStr">
        <is>
          <t>Debitar do STA</t>
        </is>
      </c>
      <c r="M1565">
        <f>IF(L1565="","",IFERROR(VLOOKUP(L1565,mapGrupoStatus,2,0),"Outros"))</f>
        <v/>
      </c>
      <c r="N1565">
        <f>IF(O1565="","",IF(O1565&lt;=30,"0-30 dias",IF(O1565&lt;=60,"31-60 dias",IF(O1565&lt;=90,"61-90 dias","Mais de 90 dias"))))</f>
        <v/>
      </c>
      <c r="O1565">
        <f>IF(OR(M1565="Pendente",M1565="Em andamento"),IF(J1565="","",TODAY()-J1565),"")</f>
        <v/>
      </c>
      <c r="P1565" t="n">
        <v>10562</v>
      </c>
      <c r="Q1565" t="inlineStr">
        <is>
          <t>Clima &amp; Cia (10562)</t>
        </is>
      </c>
      <c r="R1565" t="inlineStr">
        <is>
          <t>PC-0033</t>
        </is>
      </c>
      <c r="S1565" t="inlineStr">
        <is>
          <t>Regulador de pressão modelo 02</t>
        </is>
      </c>
      <c r="T1565" t="n">
        <v>1</v>
      </c>
      <c r="U1565" t="inlineStr"/>
      <c r="V1565">
        <f>IF(J1565="","",MONTH(J1565))</f>
        <v/>
      </c>
      <c r="W1565">
        <f>IF(J1565="","",YEAR(J1565))</f>
        <v/>
      </c>
      <c r="X1565" t="inlineStr"/>
      <c r="Y1565">
        <f>IFERROR(INDEX(Rastreio!$H$2:$H$200,MATCH(X1565&amp;"|"&amp;U1565,Rastreio!$A$2:$A$200,0)),"")</f>
        <v/>
      </c>
    </row>
    <row r="1566">
      <c r="A1566">
        <f>IFERROR(INDEX(STAs!$G$2:$G$61,MATCH(P1566,STAs!$F$2:$F$61,0))&amp;"","")</f>
        <v/>
      </c>
      <c r="B1566" t="n">
        <v>20030291</v>
      </c>
      <c r="C1566" t="inlineStr">
        <is>
          <t>Não</t>
        </is>
      </c>
      <c r="D1566" t="inlineStr">
        <is>
          <t>MS</t>
        </is>
      </c>
      <c r="E1566" t="inlineStr">
        <is>
          <t>CENTRO OESTE</t>
        </is>
      </c>
      <c r="F1566" t="inlineStr">
        <is>
          <t>Cliente A - Refrigerador</t>
        </is>
      </c>
      <c r="G1566" t="inlineStr">
        <is>
          <t>Chopeiras</t>
        </is>
      </c>
      <c r="H1566" s="10" t="n">
        <v>85</v>
      </c>
      <c r="I1566" s="10">
        <f>IFERROR(T1566*H1566,0)</f>
        <v/>
      </c>
      <c r="J1566" s="11" t="n">
        <v>46188</v>
      </c>
      <c r="K1566" s="11" t="n">
        <v>46235</v>
      </c>
      <c r="L1566" t="inlineStr">
        <is>
          <t>Ok. Devolvida</t>
        </is>
      </c>
      <c r="M1566">
        <f>IF(L1566="","",IFERROR(VLOOKUP(L1566,mapGrupoStatus,2,0),"Outros"))</f>
        <v/>
      </c>
      <c r="N1566">
        <f>IF(O1566="","",IF(O1566&lt;=30,"0-30 dias",IF(O1566&lt;=60,"31-60 dias",IF(O1566&lt;=90,"61-90 dias","Mais de 90 dias"))))</f>
        <v/>
      </c>
      <c r="O1566">
        <f>IF(OR(M1566="Pendente",M1566="Em andamento"),IF(J1566="","",TODAY()-J1566),"")</f>
        <v/>
      </c>
      <c r="P1566" t="n">
        <v>12280</v>
      </c>
      <c r="Q1566" t="inlineStr">
        <is>
          <t>Termotec &amp; Cia (12280)</t>
        </is>
      </c>
      <c r="R1566" t="inlineStr">
        <is>
          <t>PC-0026</t>
        </is>
      </c>
      <c r="S1566" t="inlineStr">
        <is>
          <t>Torneira de chopp modelo 01</t>
        </is>
      </c>
      <c r="T1566" t="n">
        <v>1</v>
      </c>
      <c r="U1566" t="n">
        <v>153</v>
      </c>
      <c r="V1566">
        <f>IF(J1566="","",MONTH(J1566))</f>
        <v/>
      </c>
      <c r="W1566">
        <f>IF(J1566="","",YEAR(J1566))</f>
        <v/>
      </c>
      <c r="X1566" t="inlineStr">
        <is>
          <t>TransNorte</t>
        </is>
      </c>
      <c r="Y1566">
        <f>IFERROR(INDEX(Rastreio!$H$2:$H$200,MATCH(X1566&amp;"|"&amp;U1566,Rastreio!$A$2:$A$200,0)),"")</f>
        <v/>
      </c>
    </row>
    <row r="1567">
      <c r="A1567">
        <f>IFERROR(INDEX(STAs!$G$2:$G$61,MATCH(P1567,STAs!$F$2:$F$61,0))&amp;"","")</f>
        <v/>
      </c>
      <c r="B1567" t="n">
        <v>20034069</v>
      </c>
      <c r="C1567" t="inlineStr">
        <is>
          <t>Não</t>
        </is>
      </c>
      <c r="D1567" t="inlineStr">
        <is>
          <t>MS</t>
        </is>
      </c>
      <c r="E1567" t="inlineStr">
        <is>
          <t>CENTRO OESTE</t>
        </is>
      </c>
      <c r="F1567" t="inlineStr">
        <is>
          <t>Cliente C - Misturador</t>
        </is>
      </c>
      <c r="G1567" t="inlineStr">
        <is>
          <t>Misturadores</t>
        </is>
      </c>
      <c r="H1567" s="10" t="n">
        <v>60</v>
      </c>
      <c r="I1567" s="10">
        <f>IFERROR(T1567*H1567,0)</f>
        <v/>
      </c>
      <c r="J1567" s="11" t="n">
        <v>46188</v>
      </c>
      <c r="K1567" s="11" t="n"/>
      <c r="L1567" t="inlineStr">
        <is>
          <t>Em transporte</t>
        </is>
      </c>
      <c r="M1567">
        <f>IF(L1567="","",IFERROR(VLOOKUP(L1567,mapGrupoStatus,2,0),"Outros"))</f>
        <v/>
      </c>
      <c r="N1567">
        <f>IF(O1567="","",IF(O1567&lt;=30,"0-30 dias",IF(O1567&lt;=60,"31-60 dias",IF(O1567&lt;=90,"61-90 dias","Mais de 90 dias"))))</f>
        <v/>
      </c>
      <c r="O1567">
        <f>IF(OR(M1567="Pendente",M1567="Em andamento"),IF(J1567="","",TODAY()-J1567),"")</f>
        <v/>
      </c>
      <c r="P1567" t="n">
        <v>12280</v>
      </c>
      <c r="Q1567" t="inlineStr">
        <is>
          <t>Termotec &amp; Cia (12280)</t>
        </is>
      </c>
      <c r="R1567" t="inlineStr">
        <is>
          <t>PC-0046</t>
        </is>
      </c>
      <c r="S1567" t="inlineStr">
        <is>
          <t>Sensor de nível modelo 02</t>
        </is>
      </c>
      <c r="T1567" t="n">
        <v>2</v>
      </c>
      <c r="U1567" t="n">
        <v>158</v>
      </c>
      <c r="V1567">
        <f>IF(J1567="","",MONTH(J1567))</f>
        <v/>
      </c>
      <c r="W1567">
        <f>IF(J1567="","",YEAR(J1567))</f>
        <v/>
      </c>
      <c r="X1567" t="inlineStr">
        <is>
          <t>CargoMax</t>
        </is>
      </c>
      <c r="Y1567">
        <f>IFERROR(INDEX(Rastreio!$H$2:$H$200,MATCH(X1567&amp;"|"&amp;U1567,Rastreio!$A$2:$A$200,0)),"")</f>
        <v/>
      </c>
    </row>
    <row r="1568">
      <c r="A1568">
        <f>IFERROR(INDEX(STAs!$G$2:$G$61,MATCH(P1568,STAs!$F$2:$F$61,0))&amp;"","")</f>
        <v/>
      </c>
      <c r="B1568" t="n">
        <v>20037314</v>
      </c>
      <c r="C1568" t="inlineStr">
        <is>
          <t>Não</t>
        </is>
      </c>
      <c r="D1568" t="inlineStr">
        <is>
          <t>SP</t>
        </is>
      </c>
      <c r="E1568" t="inlineStr">
        <is>
          <t>SUDESTE SP</t>
        </is>
      </c>
      <c r="F1568" t="inlineStr">
        <is>
          <t>Cliente A - Refrigerador</t>
        </is>
      </c>
      <c r="G1568" t="inlineStr">
        <is>
          <t>Chopeiras</t>
        </is>
      </c>
      <c r="H1568" s="10" t="n">
        <v>120</v>
      </c>
      <c r="I1568" s="10">
        <f>IFERROR(T1568*H1568,0)</f>
        <v/>
      </c>
      <c r="J1568" s="11" t="n">
        <v>46188</v>
      </c>
      <c r="K1568" s="11" t="n"/>
      <c r="L1568" t="inlineStr">
        <is>
          <t>Em transporte</t>
        </is>
      </c>
      <c r="M1568">
        <f>IF(L1568="","",IFERROR(VLOOKUP(L1568,mapGrupoStatus,2,0),"Outros"))</f>
        <v/>
      </c>
      <c r="N1568">
        <f>IF(O1568="","",IF(O1568&lt;=30,"0-30 dias",IF(O1568&lt;=60,"31-60 dias",IF(O1568&lt;=90,"61-90 dias","Mais de 90 dias"))))</f>
        <v/>
      </c>
      <c r="O1568">
        <f>IF(OR(M1568="Pendente",M1568="Em andamento"),IF(J1568="","",TODAY()-J1568),"")</f>
        <v/>
      </c>
      <c r="P1568" t="n">
        <v>12901</v>
      </c>
      <c r="Q1568" t="inlineStr">
        <is>
          <t>Frio Serviços (12901)</t>
        </is>
      </c>
      <c r="R1568" t="inlineStr">
        <is>
          <t>PC-0032</t>
        </is>
      </c>
      <c r="S1568" t="inlineStr">
        <is>
          <t>Regulador de pressão modelo 01</t>
        </is>
      </c>
      <c r="T1568" t="n">
        <v>1</v>
      </c>
      <c r="U1568" t="n">
        <v>153</v>
      </c>
      <c r="V1568">
        <f>IF(J1568="","",MONTH(J1568))</f>
        <v/>
      </c>
      <c r="W1568">
        <f>IF(J1568="","",YEAR(J1568))</f>
        <v/>
      </c>
      <c r="X1568" t="inlineStr">
        <is>
          <t>EntregaJá</t>
        </is>
      </c>
      <c r="Y1568">
        <f>IFERROR(INDEX(Rastreio!$H$2:$H$200,MATCH(X1568&amp;"|"&amp;U1568,Rastreio!$A$2:$A$200,0)),"")</f>
        <v/>
      </c>
    </row>
    <row r="1569">
      <c r="A1569">
        <f>IFERROR(INDEX(STAs!$G$2:$G$61,MATCH(P1569,STAs!$F$2:$F$61,0))&amp;"","")</f>
        <v/>
      </c>
      <c r="B1569" t="n">
        <v>20038212</v>
      </c>
      <c r="C1569" t="inlineStr">
        <is>
          <t>Não</t>
        </is>
      </c>
      <c r="D1569" t="inlineStr">
        <is>
          <t>DF</t>
        </is>
      </c>
      <c r="E1569" t="inlineStr">
        <is>
          <t>CENTRO OESTE</t>
        </is>
      </c>
      <c r="F1569" t="inlineStr">
        <is>
          <t>Cliente A - Refrigerador</t>
        </is>
      </c>
      <c r="G1569" t="inlineStr">
        <is>
          <t>Chopeiras</t>
        </is>
      </c>
      <c r="H1569" s="10" t="n">
        <v>100</v>
      </c>
      <c r="I1569" s="10">
        <f>IFERROR(T1569*H1569,0)</f>
        <v/>
      </c>
      <c r="J1569" s="11" t="n">
        <v>46188</v>
      </c>
      <c r="K1569" s="11" t="n">
        <v>46242</v>
      </c>
      <c r="L1569" t="inlineStr">
        <is>
          <t>Ok. Devolvida</t>
        </is>
      </c>
      <c r="M1569">
        <f>IF(L1569="","",IFERROR(VLOOKUP(L1569,mapGrupoStatus,2,0),"Outros"))</f>
        <v/>
      </c>
      <c r="N1569">
        <f>IF(O1569="","",IF(O1569&lt;=30,"0-30 dias",IF(O1569&lt;=60,"31-60 dias",IF(O1569&lt;=90,"61-90 dias","Mais de 90 dias"))))</f>
        <v/>
      </c>
      <c r="O1569">
        <f>IF(OR(M1569="Pendente",M1569="Em andamento"),IF(J1569="","",TODAY()-J1569),"")</f>
        <v/>
      </c>
      <c r="P1569" t="n">
        <v>10021</v>
      </c>
      <c r="Q1569" t="inlineStr">
        <is>
          <t>Termotec Técnica (10021)</t>
        </is>
      </c>
      <c r="R1569" t="inlineStr">
        <is>
          <t>PC-0027</t>
        </is>
      </c>
      <c r="S1569" t="inlineStr">
        <is>
          <t>Torneira de chopp modelo 02</t>
        </is>
      </c>
      <c r="T1569" t="n">
        <v>1</v>
      </c>
      <c r="U1569" t="n">
        <v>166</v>
      </c>
      <c r="V1569">
        <f>IF(J1569="","",MONTH(J1569))</f>
        <v/>
      </c>
      <c r="W1569">
        <f>IF(J1569="","",YEAR(J1569))</f>
        <v/>
      </c>
      <c r="X1569" t="inlineStr">
        <is>
          <t>TransNorte</t>
        </is>
      </c>
      <c r="Y1569">
        <f>IFERROR(INDEX(Rastreio!$H$2:$H$200,MATCH(X1569&amp;"|"&amp;U1569,Rastreio!$A$2:$A$200,0)),"")</f>
        <v/>
      </c>
    </row>
    <row r="1570">
      <c r="A1570">
        <f>IFERROR(INDEX(STAs!$G$2:$G$61,MATCH(P1570,STAs!$F$2:$F$61,0))&amp;"","")</f>
        <v/>
      </c>
      <c r="B1570" t="n">
        <v>20013725</v>
      </c>
      <c r="C1570" t="inlineStr">
        <is>
          <t>Não</t>
        </is>
      </c>
      <c r="D1570" t="inlineStr">
        <is>
          <t>ES</t>
        </is>
      </c>
      <c r="E1570" t="inlineStr">
        <is>
          <t>SUDESTE RJ e ES</t>
        </is>
      </c>
      <c r="F1570" t="inlineStr">
        <is>
          <t>Cliente A - Refrigerador</t>
        </is>
      </c>
      <c r="G1570" t="inlineStr">
        <is>
          <t>Refrigeradores</t>
        </is>
      </c>
      <c r="H1570" s="10" t="n">
        <v>70</v>
      </c>
      <c r="I1570" s="10">
        <f>IFERROR(T1570*H1570,0)</f>
        <v/>
      </c>
      <c r="J1570" s="11" t="n">
        <v>46189</v>
      </c>
      <c r="K1570" s="11" t="n">
        <v>46240</v>
      </c>
      <c r="L1570" t="inlineStr">
        <is>
          <t>Ok. Devolvida</t>
        </is>
      </c>
      <c r="M1570">
        <f>IF(L1570="","",IFERROR(VLOOKUP(L1570,mapGrupoStatus,2,0),"Outros"))</f>
        <v/>
      </c>
      <c r="N1570">
        <f>IF(O1570="","",IF(O1570&lt;=30,"0-30 dias",IF(O1570&lt;=60,"31-60 dias",IF(O1570&lt;=90,"61-90 dias","Mais de 90 dias"))))</f>
        <v/>
      </c>
      <c r="O1570">
        <f>IF(OR(M1570="Pendente",M1570="Em andamento"),IF(J1570="","",TODAY()-J1570),"")</f>
        <v/>
      </c>
      <c r="P1570" t="n">
        <v>11162</v>
      </c>
      <c r="Q1570" t="inlineStr">
        <is>
          <t>Ártico Refrigeração (11162)</t>
        </is>
      </c>
      <c r="R1570" t="inlineStr">
        <is>
          <t>PC-0009</t>
        </is>
      </c>
      <c r="S1570" t="inlineStr">
        <is>
          <t>Ventilador modelo 03</t>
        </is>
      </c>
      <c r="T1570" t="n">
        <v>2</v>
      </c>
      <c r="U1570" t="n">
        <v>124</v>
      </c>
      <c r="V1570">
        <f>IF(J1570="","",MONTH(J1570))</f>
        <v/>
      </c>
      <c r="W1570">
        <f>IF(J1570="","",YEAR(J1570))</f>
        <v/>
      </c>
      <c r="X1570" t="inlineStr">
        <is>
          <t>EntregaJá</t>
        </is>
      </c>
      <c r="Y1570">
        <f>IFERROR(INDEX(Rastreio!$H$2:$H$200,MATCH(X1570&amp;"|"&amp;U1570,Rastreio!$A$2:$A$200,0)),"")</f>
        <v/>
      </c>
    </row>
    <row r="1571">
      <c r="A1571">
        <f>IFERROR(INDEX(STAs!$G$2:$G$61,MATCH(P1571,STAs!$F$2:$F$61,0))&amp;"","")</f>
        <v/>
      </c>
      <c r="B1571" t="n">
        <v>20014645</v>
      </c>
      <c r="C1571" t="inlineStr">
        <is>
          <t>Não</t>
        </is>
      </c>
      <c r="D1571" t="inlineStr">
        <is>
          <t>AP</t>
        </is>
      </c>
      <c r="E1571" t="inlineStr">
        <is>
          <t>NORTE</t>
        </is>
      </c>
      <c r="F1571" t="inlineStr">
        <is>
          <t>Cliente C - Misturador</t>
        </is>
      </c>
      <c r="G1571" t="inlineStr">
        <is>
          <t>Misturadores</t>
        </is>
      </c>
      <c r="H1571" s="10" t="n">
        <v>60</v>
      </c>
      <c r="I1571" s="10">
        <f>IFERROR(T1571*H1571,0)</f>
        <v/>
      </c>
      <c r="J1571" s="11" t="n">
        <v>46189</v>
      </c>
      <c r="K1571" s="11" t="n">
        <v>46231</v>
      </c>
      <c r="L1571" t="inlineStr">
        <is>
          <t>Ok. Devolvida</t>
        </is>
      </c>
      <c r="M1571">
        <f>IF(L1571="","",IFERROR(VLOOKUP(L1571,mapGrupoStatus,2,0),"Outros"))</f>
        <v/>
      </c>
      <c r="N1571">
        <f>IF(O1571="","",IF(O1571&lt;=30,"0-30 dias",IF(O1571&lt;=60,"31-60 dias",IF(O1571&lt;=90,"61-90 dias","Mais de 90 dias"))))</f>
        <v/>
      </c>
      <c r="O1571">
        <f>IF(OR(M1571="Pendente",M1571="Em andamento"),IF(J1571="","",TODAY()-J1571),"")</f>
        <v/>
      </c>
      <c r="P1571" t="n">
        <v>11859</v>
      </c>
      <c r="Q1571" t="inlineStr">
        <is>
          <t>Ice Tech Serviços (11859)</t>
        </is>
      </c>
      <c r="R1571" t="inlineStr">
        <is>
          <t>PC-0048</t>
        </is>
      </c>
      <c r="S1571" t="inlineStr">
        <is>
          <t>Sensor de nível modelo 04</t>
        </is>
      </c>
      <c r="T1571" t="n">
        <v>3</v>
      </c>
      <c r="U1571" t="n">
        <v>123</v>
      </c>
      <c r="V1571">
        <f>IF(J1571="","",MONTH(J1571))</f>
        <v/>
      </c>
      <c r="W1571">
        <f>IF(J1571="","",YEAR(J1571))</f>
        <v/>
      </c>
      <c r="X1571" t="inlineStr">
        <is>
          <t>TransNorte</t>
        </is>
      </c>
      <c r="Y1571">
        <f>IFERROR(INDEX(Rastreio!$H$2:$H$200,MATCH(X1571&amp;"|"&amp;U1571,Rastreio!$A$2:$A$200,0)),"")</f>
        <v/>
      </c>
    </row>
    <row r="1572">
      <c r="A1572">
        <f>IFERROR(INDEX(STAs!$G$2:$G$61,MATCH(P1572,STAs!$F$2:$F$61,0))&amp;"","")</f>
        <v/>
      </c>
      <c r="B1572" t="n">
        <v>20029305</v>
      </c>
      <c r="C1572" t="inlineStr">
        <is>
          <t>Não</t>
        </is>
      </c>
      <c r="D1572" t="inlineStr">
        <is>
          <t>BA</t>
        </is>
      </c>
      <c r="E1572" t="inlineStr">
        <is>
          <t>NORDESTE</t>
        </is>
      </c>
      <c r="F1572" t="inlineStr">
        <is>
          <t>Cliente B - Chopeira</t>
        </is>
      </c>
      <c r="G1572" t="inlineStr">
        <is>
          <t>Refrigeradores</t>
        </is>
      </c>
      <c r="H1572" s="10" t="n">
        <v>155</v>
      </c>
      <c r="I1572" s="10">
        <f>IFERROR(T1572*H1572,0)</f>
        <v/>
      </c>
      <c r="J1572" s="11" t="n">
        <v>46189</v>
      </c>
      <c r="K1572" s="11" t="n">
        <v>46227</v>
      </c>
      <c r="L1572" t="inlineStr">
        <is>
          <t>Ok. Devolvida</t>
        </is>
      </c>
      <c r="M1572">
        <f>IF(L1572="","",IFERROR(VLOOKUP(L1572,mapGrupoStatus,2,0),"Outros"))</f>
        <v/>
      </c>
      <c r="N1572">
        <f>IF(O1572="","",IF(O1572&lt;=30,"0-30 dias",IF(O1572&lt;=60,"31-60 dias",IF(O1572&lt;=90,"61-90 dias","Mais de 90 dias"))))</f>
        <v/>
      </c>
      <c r="O1572">
        <f>IF(OR(M1572="Pendente",M1572="Em andamento"),IF(J1572="","",TODAY()-J1572),"")</f>
        <v/>
      </c>
      <c r="P1572" t="n">
        <v>11538</v>
      </c>
      <c r="Q1572" t="inlineStr">
        <is>
          <t>Clima Manutenção (11538)</t>
        </is>
      </c>
      <c r="R1572" t="inlineStr">
        <is>
          <t>PC-0022</t>
        </is>
      </c>
      <c r="S1572" t="inlineStr">
        <is>
          <t>Controlador digital modelo 02</t>
        </is>
      </c>
      <c r="T1572" t="n">
        <v>1</v>
      </c>
      <c r="U1572" t="n">
        <v>152</v>
      </c>
      <c r="V1572">
        <f>IF(J1572="","",MONTH(J1572))</f>
        <v/>
      </c>
      <c r="W1572">
        <f>IF(J1572="","",YEAR(J1572))</f>
        <v/>
      </c>
      <c r="X1572" t="inlineStr">
        <is>
          <t>CargoMax</t>
        </is>
      </c>
      <c r="Y1572">
        <f>IFERROR(INDEX(Rastreio!$H$2:$H$200,MATCH(X1572&amp;"|"&amp;U1572,Rastreio!$A$2:$A$200,0)),"")</f>
        <v/>
      </c>
    </row>
    <row r="1573">
      <c r="A1573">
        <f>IFERROR(INDEX(STAs!$G$2:$G$61,MATCH(P1573,STAs!$F$2:$F$61,0))&amp;"","")</f>
        <v/>
      </c>
      <c r="B1573" t="n">
        <v>20032103</v>
      </c>
      <c r="C1573" t="inlineStr">
        <is>
          <t>Não</t>
        </is>
      </c>
      <c r="D1573" t="inlineStr">
        <is>
          <t>DF</t>
        </is>
      </c>
      <c r="E1573" t="inlineStr">
        <is>
          <t>CENTRO OESTE</t>
        </is>
      </c>
      <c r="F1573" t="inlineStr">
        <is>
          <t>Cliente A - Refrigerador</t>
        </is>
      </c>
      <c r="G1573" t="inlineStr">
        <is>
          <t>Refrigeradores</t>
        </is>
      </c>
      <c r="H1573" s="10" t="n">
        <v>25</v>
      </c>
      <c r="I1573" s="10">
        <f>IFERROR(T1573*H1573,0)</f>
        <v/>
      </c>
      <c r="J1573" s="11" t="n">
        <v>46189</v>
      </c>
      <c r="K1573" s="11" t="n">
        <v>46212</v>
      </c>
      <c r="L1573" t="inlineStr">
        <is>
          <t>Ok. Devolvida</t>
        </is>
      </c>
      <c r="M1573">
        <f>IF(L1573="","",IFERROR(VLOOKUP(L1573,mapGrupoStatus,2,0),"Outros"))</f>
        <v/>
      </c>
      <c r="N1573">
        <f>IF(O1573="","",IF(O1573&lt;=30,"0-30 dias",IF(O1573&lt;=60,"31-60 dias",IF(O1573&lt;=90,"61-90 dias","Mais de 90 dias"))))</f>
        <v/>
      </c>
      <c r="O1573">
        <f>IF(OR(M1573="Pendente",M1573="Em andamento"),IF(J1573="","",TODAY()-J1573),"")</f>
        <v/>
      </c>
      <c r="P1573" t="n">
        <v>10021</v>
      </c>
      <c r="Q1573" t="inlineStr">
        <is>
          <t>Termotec Técnica (10021)</t>
        </is>
      </c>
      <c r="R1573" t="inlineStr">
        <is>
          <t>PC-0015</t>
        </is>
      </c>
      <c r="S1573" t="inlineStr">
        <is>
          <t>Filtro secador modelo 01</t>
        </is>
      </c>
      <c r="T1573" t="n">
        <v>1</v>
      </c>
      <c r="U1573" t="n">
        <v>151</v>
      </c>
      <c r="V1573">
        <f>IF(J1573="","",MONTH(J1573))</f>
        <v/>
      </c>
      <c r="W1573">
        <f>IF(J1573="","",YEAR(J1573))</f>
        <v/>
      </c>
      <c r="X1573" t="inlineStr">
        <is>
          <t>ViaCargo</t>
        </is>
      </c>
      <c r="Y1573">
        <f>IFERROR(INDEX(Rastreio!$H$2:$H$200,MATCH(X1573&amp;"|"&amp;U1573,Rastreio!$A$2:$A$200,0)),"")</f>
        <v/>
      </c>
    </row>
    <row r="1574">
      <c r="A1574">
        <f>IFERROR(INDEX(STAs!$G$2:$G$61,MATCH(P1574,STAs!$F$2:$F$61,0))&amp;"","")</f>
        <v/>
      </c>
      <c r="B1574" t="n">
        <v>20035555</v>
      </c>
      <c r="C1574" t="inlineStr">
        <is>
          <t>Não</t>
        </is>
      </c>
      <c r="D1574" t="inlineStr">
        <is>
          <t>AM</t>
        </is>
      </c>
      <c r="E1574" t="inlineStr">
        <is>
          <t>NORTE</t>
        </is>
      </c>
      <c r="F1574" t="inlineStr">
        <is>
          <t>Cliente B - Chopeira</t>
        </is>
      </c>
      <c r="G1574" t="inlineStr">
        <is>
          <t>Misturadores</t>
        </is>
      </c>
      <c r="H1574" s="10" t="n">
        <v>185</v>
      </c>
      <c r="I1574" s="10">
        <f>IFERROR(T1574*H1574,0)</f>
        <v/>
      </c>
      <c r="J1574" s="11" t="n">
        <v>46189</v>
      </c>
      <c r="K1574" s="11" t="n"/>
      <c r="L1574" t="inlineStr">
        <is>
          <t>Não Devolve-Norte</t>
        </is>
      </c>
      <c r="M1574">
        <f>IF(L1574="","",IFERROR(VLOOKUP(L1574,mapGrupoStatus,2,0),"Outros"))</f>
        <v/>
      </c>
      <c r="N1574">
        <f>IF(O1574="","",IF(O1574&lt;=30,"0-30 dias",IF(O1574&lt;=60,"31-60 dias",IF(O1574&lt;=90,"61-90 dias","Mais de 90 dias"))))</f>
        <v/>
      </c>
      <c r="O1574">
        <f>IF(OR(M1574="Pendente",M1574="Em andamento"),IF(J1574="","",TODAY()-J1574),"")</f>
        <v/>
      </c>
      <c r="P1574" t="n">
        <v>12269</v>
      </c>
      <c r="Q1574" t="inlineStr">
        <is>
          <t>Polar Técnica (12269)</t>
        </is>
      </c>
      <c r="R1574" t="inlineStr">
        <is>
          <t>PC-0041</t>
        </is>
      </c>
      <c r="S1574" t="inlineStr">
        <is>
          <t>Motor agitador modelo 02</t>
        </is>
      </c>
      <c r="T1574" t="n">
        <v>2</v>
      </c>
      <c r="U1574" t="inlineStr"/>
      <c r="V1574">
        <f>IF(J1574="","",MONTH(J1574))</f>
        <v/>
      </c>
      <c r="W1574">
        <f>IF(J1574="","",YEAR(J1574))</f>
        <v/>
      </c>
      <c r="X1574" t="inlineStr"/>
      <c r="Y1574">
        <f>IFERROR(INDEX(Rastreio!$H$2:$H$200,MATCH(X1574&amp;"|"&amp;U1574,Rastreio!$A$2:$A$200,0)),"")</f>
        <v/>
      </c>
    </row>
    <row r="1575">
      <c r="A1575">
        <f>IFERROR(INDEX(STAs!$G$2:$G$61,MATCH(P1575,STAs!$F$2:$F$61,0))&amp;"","")</f>
        <v/>
      </c>
      <c r="B1575" t="n">
        <v>20016336</v>
      </c>
      <c r="C1575" t="inlineStr">
        <is>
          <t>Não</t>
        </is>
      </c>
      <c r="D1575" t="inlineStr">
        <is>
          <t>AM</t>
        </is>
      </c>
      <c r="E1575" t="inlineStr">
        <is>
          <t>NORTE</t>
        </is>
      </c>
      <c r="F1575" t="inlineStr">
        <is>
          <t>Cliente C - Misturador</t>
        </is>
      </c>
      <c r="G1575" t="inlineStr">
        <is>
          <t>Misturadores</t>
        </is>
      </c>
      <c r="H1575" s="10" t="n">
        <v>255</v>
      </c>
      <c r="I1575" s="10">
        <f>IFERROR(T1575*H1575,0)</f>
        <v/>
      </c>
      <c r="J1575" s="11" t="n">
        <v>46190</v>
      </c>
      <c r="K1575" s="11" t="n"/>
      <c r="L1575" t="inlineStr">
        <is>
          <t>Aguardando Transporte</t>
        </is>
      </c>
      <c r="M1575">
        <f>IF(L1575="","",IFERROR(VLOOKUP(L1575,mapGrupoStatus,2,0),"Outros"))</f>
        <v/>
      </c>
      <c r="N1575">
        <f>IF(O1575="","",IF(O1575&lt;=30,"0-30 dias",IF(O1575&lt;=60,"31-60 dias",IF(O1575&lt;=90,"61-90 dias","Mais de 90 dias"))))</f>
        <v/>
      </c>
      <c r="O1575">
        <f>IF(OR(M1575="Pendente",M1575="Em andamento"),IF(J1575="","",TODAY()-J1575),"")</f>
        <v/>
      </c>
      <c r="P1575" t="n">
        <v>12269</v>
      </c>
      <c r="Q1575" t="inlineStr">
        <is>
          <t>Polar Técnica (12269)</t>
        </is>
      </c>
      <c r="R1575" t="inlineStr">
        <is>
          <t>PC-0037</t>
        </is>
      </c>
      <c r="S1575" t="inlineStr">
        <is>
          <t>Bomba de recirculação modelo 01</t>
        </is>
      </c>
      <c r="T1575" t="n">
        <v>1</v>
      </c>
      <c r="U1575" t="n">
        <v>131</v>
      </c>
      <c r="V1575">
        <f>IF(J1575="","",MONTH(J1575))</f>
        <v/>
      </c>
      <c r="W1575">
        <f>IF(J1575="","",YEAR(J1575))</f>
        <v/>
      </c>
      <c r="X1575" t="inlineStr">
        <is>
          <t>ViaCargo</t>
        </is>
      </c>
      <c r="Y1575">
        <f>IFERROR(INDEX(Rastreio!$H$2:$H$200,MATCH(X1575&amp;"|"&amp;U1575,Rastreio!$A$2:$A$200,0)),"")</f>
        <v/>
      </c>
    </row>
    <row r="1576">
      <c r="A1576">
        <f>IFERROR(INDEX(STAs!$G$2:$G$61,MATCH(P1576,STAs!$F$2:$F$61,0))&amp;"","")</f>
        <v/>
      </c>
      <c r="B1576" t="n">
        <v>20033312</v>
      </c>
      <c r="C1576" t="inlineStr">
        <is>
          <t>Não</t>
        </is>
      </c>
      <c r="D1576" t="inlineStr">
        <is>
          <t>RS</t>
        </is>
      </c>
      <c r="E1576" t="inlineStr">
        <is>
          <t>SUL</t>
        </is>
      </c>
      <c r="F1576" t="inlineStr">
        <is>
          <t>Cliente B - Chopeira</t>
        </is>
      </c>
      <c r="G1576" t="inlineStr">
        <is>
          <t>Refrigeradores</t>
        </is>
      </c>
      <c r="H1576" s="10" t="n">
        <v>35</v>
      </c>
      <c r="I1576" s="10">
        <f>IFERROR(T1576*H1576,0)</f>
        <v/>
      </c>
      <c r="J1576" s="11" t="n">
        <v>46190</v>
      </c>
      <c r="K1576" s="11" t="n">
        <v>46228</v>
      </c>
      <c r="L1576" t="inlineStr">
        <is>
          <t>Ok. Devolvida</t>
        </is>
      </c>
      <c r="M1576">
        <f>IF(L1576="","",IFERROR(VLOOKUP(L1576,mapGrupoStatus,2,0),"Outros"))</f>
        <v/>
      </c>
      <c r="N1576">
        <f>IF(O1576="","",IF(O1576&lt;=30,"0-30 dias",IF(O1576&lt;=60,"31-60 dias",IF(O1576&lt;=90,"61-90 dias","Mais de 90 dias"))))</f>
        <v/>
      </c>
      <c r="O1576">
        <f>IF(OR(M1576="Pendente",M1576="Em andamento"),IF(J1576="","",TODAY()-J1576),"")</f>
        <v/>
      </c>
      <c r="P1576" t="n">
        <v>12617</v>
      </c>
      <c r="Q1576" t="inlineStr">
        <is>
          <t>Gelo Manutenção (12617)</t>
        </is>
      </c>
      <c r="R1576" t="inlineStr">
        <is>
          <t>PC-0016</t>
        </is>
      </c>
      <c r="S1576" t="inlineStr">
        <is>
          <t>Filtro secador modelo 02</t>
        </is>
      </c>
      <c r="T1576" t="n">
        <v>1</v>
      </c>
      <c r="U1576" t="n">
        <v>160</v>
      </c>
      <c r="V1576">
        <f>IF(J1576="","",MONTH(J1576))</f>
        <v/>
      </c>
      <c r="W1576">
        <f>IF(J1576="","",YEAR(J1576))</f>
        <v/>
      </c>
      <c r="X1576" t="inlineStr">
        <is>
          <t>TransNorte</t>
        </is>
      </c>
      <c r="Y1576">
        <f>IFERROR(INDEX(Rastreio!$H$2:$H$200,MATCH(X1576&amp;"|"&amp;U1576,Rastreio!$A$2:$A$200,0)),"")</f>
        <v/>
      </c>
    </row>
    <row r="1577">
      <c r="A1577">
        <f>IFERROR(INDEX(STAs!$G$2:$G$61,MATCH(P1577,STAs!$F$2:$F$61,0))&amp;"","")</f>
        <v/>
      </c>
      <c r="B1577" t="n">
        <v>20038357</v>
      </c>
      <c r="C1577" t="inlineStr">
        <is>
          <t>Não</t>
        </is>
      </c>
      <c r="D1577" t="inlineStr">
        <is>
          <t>RJ</t>
        </is>
      </c>
      <c r="E1577" t="inlineStr">
        <is>
          <t>SUDESTE RJ e ES</t>
        </is>
      </c>
      <c r="F1577" t="inlineStr">
        <is>
          <t>Cliente C - Misturador</t>
        </is>
      </c>
      <c r="G1577" t="inlineStr">
        <is>
          <t>Refrigeradores</t>
        </is>
      </c>
      <c r="H1577" s="10" t="n">
        <v>155</v>
      </c>
      <c r="I1577" s="10">
        <f>IFERROR(T1577*H1577,0)</f>
        <v/>
      </c>
      <c r="J1577" s="11" t="n">
        <v>46190</v>
      </c>
      <c r="K1577" s="11" t="n">
        <v>46214</v>
      </c>
      <c r="L1577" t="inlineStr">
        <is>
          <t>Ok. Devolvida</t>
        </is>
      </c>
      <c r="M1577">
        <f>IF(L1577="","",IFERROR(VLOOKUP(L1577,mapGrupoStatus,2,0),"Outros"))</f>
        <v/>
      </c>
      <c r="N1577">
        <f>IF(O1577="","",IF(O1577&lt;=30,"0-30 dias",IF(O1577&lt;=60,"31-60 dias",IF(O1577&lt;=90,"61-90 dias","Mais de 90 dias"))))</f>
        <v/>
      </c>
      <c r="O1577">
        <f>IF(OR(M1577="Pendente",M1577="Em andamento"),IF(J1577="","",TODAY()-J1577),"")</f>
        <v/>
      </c>
      <c r="P1577" t="n">
        <v>12811</v>
      </c>
      <c r="Q1577" t="inlineStr">
        <is>
          <t>Norte Frio Técnica (12811)</t>
        </is>
      </c>
      <c r="R1577" t="inlineStr">
        <is>
          <t>PC-0021</t>
        </is>
      </c>
      <c r="S1577" t="inlineStr">
        <is>
          <t>Controlador digital modelo 01</t>
        </is>
      </c>
      <c r="T1577" t="n">
        <v>1</v>
      </c>
      <c r="U1577" t="n">
        <v>166</v>
      </c>
      <c r="V1577">
        <f>IF(J1577="","",MONTH(J1577))</f>
        <v/>
      </c>
      <c r="W1577">
        <f>IF(J1577="","",YEAR(J1577))</f>
        <v/>
      </c>
      <c r="X1577" t="inlineStr">
        <is>
          <t>TransNorte</t>
        </is>
      </c>
      <c r="Y1577">
        <f>IFERROR(INDEX(Rastreio!$H$2:$H$200,MATCH(X1577&amp;"|"&amp;U1577,Rastreio!$A$2:$A$200,0)),"")</f>
        <v/>
      </c>
    </row>
    <row r="1578">
      <c r="A1578">
        <f>IFERROR(INDEX(STAs!$G$2:$G$61,MATCH(P1578,STAs!$F$2:$F$61,0))&amp;"","")</f>
        <v/>
      </c>
      <c r="B1578" t="n">
        <v>20004138</v>
      </c>
      <c r="C1578" t="inlineStr">
        <is>
          <t>Não</t>
        </is>
      </c>
      <c r="D1578" t="inlineStr">
        <is>
          <t>BA</t>
        </is>
      </c>
      <c r="E1578" t="inlineStr">
        <is>
          <t>NORDESTE</t>
        </is>
      </c>
      <c r="F1578" t="inlineStr">
        <is>
          <t>Cliente C - Misturador</t>
        </is>
      </c>
      <c r="G1578" t="inlineStr">
        <is>
          <t>Refrigeradores</t>
        </is>
      </c>
      <c r="H1578" s="10" t="n">
        <v>155</v>
      </c>
      <c r="I1578" s="10">
        <f>IFERROR(T1578*H1578,0)</f>
        <v/>
      </c>
      <c r="J1578" s="11" t="n">
        <v>46191</v>
      </c>
      <c r="K1578" s="11" t="n"/>
      <c r="L1578" t="inlineStr">
        <is>
          <t>Em andamento</t>
        </is>
      </c>
      <c r="M1578">
        <f>IF(L1578="","",IFERROR(VLOOKUP(L1578,mapGrupoStatus,2,0),"Outros"))</f>
        <v/>
      </c>
      <c r="N1578">
        <f>IF(O1578="","",IF(O1578&lt;=30,"0-30 dias",IF(O1578&lt;=60,"31-60 dias",IF(O1578&lt;=90,"61-90 dias","Mais de 90 dias"))))</f>
        <v/>
      </c>
      <c r="O1578">
        <f>IF(OR(M1578="Pendente",M1578="Em andamento"),IF(J1578="","",TODAY()-J1578),"")</f>
        <v/>
      </c>
      <c r="P1578" t="n">
        <v>12194</v>
      </c>
      <c r="Q1578" t="inlineStr">
        <is>
          <t>Polar &amp; Cia (12194)</t>
        </is>
      </c>
      <c r="R1578" t="inlineStr">
        <is>
          <t>PC-0022</t>
        </is>
      </c>
      <c r="S1578" t="inlineStr">
        <is>
          <t>Controlador digital modelo 02</t>
        </is>
      </c>
      <c r="T1578" t="n">
        <v>2</v>
      </c>
      <c r="U1578" t="n">
        <v>107</v>
      </c>
      <c r="V1578">
        <f>IF(J1578="","",MONTH(J1578))</f>
        <v/>
      </c>
      <c r="W1578">
        <f>IF(J1578="","",YEAR(J1578))</f>
        <v/>
      </c>
      <c r="X1578" t="inlineStr">
        <is>
          <t>TransNorte</t>
        </is>
      </c>
      <c r="Y1578">
        <f>IFERROR(INDEX(Rastreio!$H$2:$H$200,MATCH(X1578&amp;"|"&amp;U1578,Rastreio!$A$2:$A$200,0)),"")</f>
        <v/>
      </c>
    </row>
    <row r="1579">
      <c r="A1579">
        <f>IFERROR(INDEX(STAs!$G$2:$G$61,MATCH(P1579,STAs!$F$2:$F$61,0))&amp;"","")</f>
        <v/>
      </c>
      <c r="B1579" t="n">
        <v>20007617</v>
      </c>
      <c r="C1579" t="inlineStr">
        <is>
          <t>Não</t>
        </is>
      </c>
      <c r="D1579" t="inlineStr">
        <is>
          <t>PR</t>
        </is>
      </c>
      <c r="E1579" t="inlineStr">
        <is>
          <t>SUL</t>
        </is>
      </c>
      <c r="F1579" t="inlineStr">
        <is>
          <t>Cliente C - Misturador</t>
        </is>
      </c>
      <c r="G1579" t="inlineStr">
        <is>
          <t>Misturadores</t>
        </is>
      </c>
      <c r="H1579" s="10" t="n">
        <v>255</v>
      </c>
      <c r="I1579" s="10">
        <f>IFERROR(T1579*H1579,0)</f>
        <v/>
      </c>
      <c r="J1579" s="11" t="n">
        <v>46191</v>
      </c>
      <c r="K1579" s="11" t="n">
        <v>46234</v>
      </c>
      <c r="L1579" t="inlineStr">
        <is>
          <t>Ok. Devolvida</t>
        </is>
      </c>
      <c r="M1579">
        <f>IF(L1579="","",IFERROR(VLOOKUP(L1579,mapGrupoStatus,2,0),"Outros"))</f>
        <v/>
      </c>
      <c r="N1579">
        <f>IF(O1579="","",IF(O1579&lt;=30,"0-30 dias",IF(O1579&lt;=60,"31-60 dias",IF(O1579&lt;=90,"61-90 dias","Mais de 90 dias"))))</f>
        <v/>
      </c>
      <c r="O1579">
        <f>IF(OR(M1579="Pendente",M1579="Em andamento"),IF(J1579="","",TODAY()-J1579),"")</f>
        <v/>
      </c>
      <c r="P1579" t="n">
        <v>12089</v>
      </c>
      <c r="Q1579" t="inlineStr">
        <is>
          <t>Termotec Serviços (12089)</t>
        </is>
      </c>
      <c r="R1579" t="inlineStr">
        <is>
          <t>PC-0037</t>
        </is>
      </c>
      <c r="S1579" t="inlineStr">
        <is>
          <t>Bomba de recirculação modelo 01</t>
        </is>
      </c>
      <c r="T1579" t="n">
        <v>1</v>
      </c>
      <c r="U1579" t="n">
        <v>120</v>
      </c>
      <c r="V1579">
        <f>IF(J1579="","",MONTH(J1579))</f>
        <v/>
      </c>
      <c r="W1579">
        <f>IF(J1579="","",YEAR(J1579))</f>
        <v/>
      </c>
      <c r="X1579" t="inlineStr">
        <is>
          <t>ViaCargo</t>
        </is>
      </c>
      <c r="Y1579">
        <f>IFERROR(INDEX(Rastreio!$H$2:$H$200,MATCH(X1579&amp;"|"&amp;U1579,Rastreio!$A$2:$A$200,0)),"")</f>
        <v/>
      </c>
    </row>
    <row r="1580">
      <c r="A1580">
        <f>IFERROR(INDEX(STAs!$G$2:$G$61,MATCH(P1580,STAs!$F$2:$F$61,0))&amp;"","")</f>
        <v/>
      </c>
      <c r="B1580" t="n">
        <v>20021599</v>
      </c>
      <c r="C1580" t="inlineStr">
        <is>
          <t>Não</t>
        </is>
      </c>
      <c r="D1580" t="inlineStr">
        <is>
          <t>RJ</t>
        </is>
      </c>
      <c r="E1580" t="inlineStr">
        <is>
          <t>SUDESTE RJ e ES</t>
        </is>
      </c>
      <c r="F1580" t="inlineStr">
        <is>
          <t>Cliente A - Refrigerador</t>
        </is>
      </c>
      <c r="G1580" t="inlineStr">
        <is>
          <t>Misturadores</t>
        </is>
      </c>
      <c r="H1580" s="10" t="n">
        <v>265</v>
      </c>
      <c r="I1580" s="10">
        <f>IFERROR(T1580*H1580,0)</f>
        <v/>
      </c>
      <c r="J1580" s="11" t="n">
        <v>46191</v>
      </c>
      <c r="K1580" s="11" t="n"/>
      <c r="L1580" t="inlineStr">
        <is>
          <t>Aguardando devolução</t>
        </is>
      </c>
      <c r="M1580">
        <f>IF(L1580="","",IFERROR(VLOOKUP(L1580,mapGrupoStatus,2,0),"Outros"))</f>
        <v/>
      </c>
      <c r="N1580">
        <f>IF(O1580="","",IF(O1580&lt;=30,"0-30 dias",IF(O1580&lt;=60,"31-60 dias",IF(O1580&lt;=90,"61-90 dias","Mais de 90 dias"))))</f>
        <v/>
      </c>
      <c r="O1580">
        <f>IF(OR(M1580="Pendente",M1580="Em andamento"),IF(J1580="","",TODAY()-J1580),"")</f>
        <v/>
      </c>
      <c r="P1580" t="n">
        <v>11059</v>
      </c>
      <c r="Q1580" t="inlineStr">
        <is>
          <t>Frio Ltda (11059)</t>
        </is>
      </c>
      <c r="R1580" t="inlineStr">
        <is>
          <t>PC-0038</t>
        </is>
      </c>
      <c r="S1580" t="inlineStr">
        <is>
          <t>Bomba de recirculação modelo 02</t>
        </is>
      </c>
      <c r="T1580" t="n">
        <v>1</v>
      </c>
      <c r="U1580" t="inlineStr"/>
      <c r="V1580">
        <f>IF(J1580="","",MONTH(J1580))</f>
        <v/>
      </c>
      <c r="W1580">
        <f>IF(J1580="","",YEAR(J1580))</f>
        <v/>
      </c>
      <c r="X1580" t="inlineStr"/>
      <c r="Y1580">
        <f>IFERROR(INDEX(Rastreio!$H$2:$H$200,MATCH(X1580&amp;"|"&amp;U1580,Rastreio!$A$2:$A$200,0)),"")</f>
        <v/>
      </c>
    </row>
    <row r="1581">
      <c r="A1581">
        <f>IFERROR(INDEX(STAs!$G$2:$G$61,MATCH(P1581,STAs!$F$2:$F$61,0))&amp;"","")</f>
        <v/>
      </c>
      <c r="B1581" t="n">
        <v>20026491</v>
      </c>
      <c r="C1581" t="inlineStr">
        <is>
          <t>Não</t>
        </is>
      </c>
      <c r="D1581" t="inlineStr">
        <is>
          <t>ES</t>
        </is>
      </c>
      <c r="E1581" t="inlineStr">
        <is>
          <t>SUDESTE RJ e ES</t>
        </is>
      </c>
      <c r="F1581" t="inlineStr">
        <is>
          <t>Cliente A - Refrigerador</t>
        </is>
      </c>
      <c r="G1581" t="inlineStr">
        <is>
          <t>Refrigeradores</t>
        </is>
      </c>
      <c r="H1581" s="10" t="n">
        <v>190</v>
      </c>
      <c r="I1581" s="10">
        <f>IFERROR(T1581*H1581,0)</f>
        <v/>
      </c>
      <c r="J1581" s="11" t="n">
        <v>46191</v>
      </c>
      <c r="K1581" s="11" t="n"/>
      <c r="L1581" t="inlineStr">
        <is>
          <t>Aguardando devolução</t>
        </is>
      </c>
      <c r="M1581">
        <f>IF(L1581="","",IFERROR(VLOOKUP(L1581,mapGrupoStatus,2,0),"Outros"))</f>
        <v/>
      </c>
      <c r="N1581">
        <f>IF(O1581="","",IF(O1581&lt;=30,"0-30 dias",IF(O1581&lt;=60,"31-60 dias",IF(O1581&lt;=90,"61-90 dias","Mais de 90 dias"))))</f>
        <v/>
      </c>
      <c r="O1581">
        <f>IF(OR(M1581="Pendente",M1581="Em andamento"),IF(J1581="","",TODAY()-J1581),"")</f>
        <v/>
      </c>
      <c r="P1581" t="n">
        <v>11099</v>
      </c>
      <c r="Q1581" t="inlineStr">
        <is>
          <t>Refrigel Serviços (11099)</t>
        </is>
      </c>
      <c r="R1581" t="inlineStr">
        <is>
          <t>PC-0014</t>
        </is>
      </c>
      <c r="S1581" t="inlineStr">
        <is>
          <t>Placa eletrônica modelo 04</t>
        </is>
      </c>
      <c r="T1581" t="n">
        <v>1</v>
      </c>
      <c r="U1581" t="inlineStr"/>
      <c r="V1581">
        <f>IF(J1581="","",MONTH(J1581))</f>
        <v/>
      </c>
      <c r="W1581">
        <f>IF(J1581="","",YEAR(J1581))</f>
        <v/>
      </c>
      <c r="X1581" t="inlineStr"/>
      <c r="Y1581">
        <f>IFERROR(INDEX(Rastreio!$H$2:$H$200,MATCH(X1581&amp;"|"&amp;U1581,Rastreio!$A$2:$A$200,0)),"")</f>
        <v/>
      </c>
    </row>
    <row r="1582">
      <c r="A1582">
        <f>IFERROR(INDEX(STAs!$G$2:$G$61,MATCH(P1582,STAs!$F$2:$F$61,0))&amp;"","")</f>
        <v/>
      </c>
      <c r="B1582" t="n">
        <v>20027355</v>
      </c>
      <c r="C1582" t="inlineStr">
        <is>
          <t>Não</t>
        </is>
      </c>
      <c r="D1582" t="inlineStr">
        <is>
          <t>AC</t>
        </is>
      </c>
      <c r="E1582" t="inlineStr">
        <is>
          <t>NORTE</t>
        </is>
      </c>
      <c r="F1582" t="inlineStr">
        <is>
          <t>Cliente B - Chopeira</t>
        </is>
      </c>
      <c r="G1582" t="inlineStr">
        <is>
          <t>Chopeiras</t>
        </is>
      </c>
      <c r="H1582" s="10" t="n">
        <v>85</v>
      </c>
      <c r="I1582" s="10">
        <f>IFERROR(T1582*H1582,0)</f>
        <v/>
      </c>
      <c r="J1582" s="11" t="n">
        <v>46191</v>
      </c>
      <c r="K1582" s="11" t="n"/>
      <c r="L1582" t="inlineStr">
        <is>
          <t>Não Devolve-Norte</t>
        </is>
      </c>
      <c r="M1582">
        <f>IF(L1582="","",IFERROR(VLOOKUP(L1582,mapGrupoStatus,2,0),"Outros"))</f>
        <v/>
      </c>
      <c r="N1582">
        <f>IF(O1582="","",IF(O1582&lt;=30,"0-30 dias",IF(O1582&lt;=60,"31-60 dias",IF(O1582&lt;=90,"61-90 dias","Mais de 90 dias"))))</f>
        <v/>
      </c>
      <c r="O1582">
        <f>IF(OR(M1582="Pendente",M1582="Em andamento"),IF(J1582="","",TODAY()-J1582),"")</f>
        <v/>
      </c>
      <c r="P1582" t="n">
        <v>10372</v>
      </c>
      <c r="Q1582" t="inlineStr">
        <is>
          <t>Zero Grau ME (10372)</t>
        </is>
      </c>
      <c r="R1582" t="inlineStr">
        <is>
          <t>PC-0028</t>
        </is>
      </c>
      <c r="S1582" t="inlineStr">
        <is>
          <t>Torneira de chopp modelo 03</t>
        </is>
      </c>
      <c r="T1582" t="n">
        <v>1</v>
      </c>
      <c r="U1582" t="inlineStr"/>
      <c r="V1582">
        <f>IF(J1582="","",MONTH(J1582))</f>
        <v/>
      </c>
      <c r="W1582">
        <f>IF(J1582="","",YEAR(J1582))</f>
        <v/>
      </c>
      <c r="X1582" t="inlineStr"/>
      <c r="Y1582">
        <f>IFERROR(INDEX(Rastreio!$H$2:$H$200,MATCH(X1582&amp;"|"&amp;U1582,Rastreio!$A$2:$A$200,0)),"")</f>
        <v/>
      </c>
    </row>
    <row r="1583">
      <c r="A1583">
        <f>IFERROR(INDEX(STAs!$G$2:$G$61,MATCH(P1583,STAs!$F$2:$F$61,0))&amp;"","")</f>
        <v/>
      </c>
      <c r="B1583" t="n">
        <v>20000634</v>
      </c>
      <c r="C1583" t="inlineStr">
        <is>
          <t>Não</t>
        </is>
      </c>
      <c r="D1583" t="inlineStr">
        <is>
          <t>RJ</t>
        </is>
      </c>
      <c r="E1583" t="inlineStr">
        <is>
          <t>SUDESTE RJ e ES</t>
        </is>
      </c>
      <c r="F1583" t="inlineStr">
        <is>
          <t>Cliente B - Chopeira</t>
        </is>
      </c>
      <c r="G1583" t="inlineStr">
        <is>
          <t>Refrigeradores</t>
        </is>
      </c>
      <c r="H1583" s="10" t="n">
        <v>35</v>
      </c>
      <c r="I1583" s="10">
        <f>IFERROR(T1583*H1583,0)</f>
        <v/>
      </c>
      <c r="J1583" s="11" t="n">
        <v>46192</v>
      </c>
      <c r="K1583" s="11" t="n"/>
      <c r="L1583" t="inlineStr">
        <is>
          <t>Debitar do STA</t>
        </is>
      </c>
      <c r="M1583">
        <f>IF(L1583="","",IFERROR(VLOOKUP(L1583,mapGrupoStatus,2,0),"Outros"))</f>
        <v/>
      </c>
      <c r="N1583">
        <f>IF(O1583="","",IF(O1583&lt;=30,"0-30 dias",IF(O1583&lt;=60,"31-60 dias",IF(O1583&lt;=90,"61-90 dias","Mais de 90 dias"))))</f>
        <v/>
      </c>
      <c r="O1583">
        <f>IF(OR(M1583="Pendente",M1583="Em andamento"),IF(J1583="","",TODAY()-J1583),"")</f>
        <v/>
      </c>
      <c r="P1583" t="n">
        <v>12336</v>
      </c>
      <c r="Q1583" t="inlineStr">
        <is>
          <t>Termotec ME (12336)</t>
        </is>
      </c>
      <c r="R1583" t="inlineStr">
        <is>
          <t>PC-0020</t>
        </is>
      </c>
      <c r="S1583" t="inlineStr">
        <is>
          <t>Gaxeta da porta modelo 03</t>
        </is>
      </c>
      <c r="T1583" t="n">
        <v>1</v>
      </c>
      <c r="U1583" t="inlineStr"/>
      <c r="V1583">
        <f>IF(J1583="","",MONTH(J1583))</f>
        <v/>
      </c>
      <c r="W1583">
        <f>IF(J1583="","",YEAR(J1583))</f>
        <v/>
      </c>
      <c r="X1583" t="inlineStr"/>
      <c r="Y1583">
        <f>IFERROR(INDEX(Rastreio!$H$2:$H$200,MATCH(X1583&amp;"|"&amp;U1583,Rastreio!$A$2:$A$200,0)),"")</f>
        <v/>
      </c>
    </row>
    <row r="1584">
      <c r="A1584">
        <f>IFERROR(INDEX(STAs!$G$2:$G$61,MATCH(P1584,STAs!$F$2:$F$61,0))&amp;"","")</f>
        <v/>
      </c>
      <c r="B1584" t="n">
        <v>20008557</v>
      </c>
      <c r="C1584" t="inlineStr">
        <is>
          <t>Não</t>
        </is>
      </c>
      <c r="D1584" t="inlineStr">
        <is>
          <t>PI</t>
        </is>
      </c>
      <c r="E1584" t="inlineStr">
        <is>
          <t>NORDESTE</t>
        </is>
      </c>
      <c r="F1584" t="inlineStr">
        <is>
          <t>Cliente B - Chopeira</t>
        </is>
      </c>
      <c r="G1584" t="inlineStr">
        <is>
          <t>Refrigeradores</t>
        </is>
      </c>
      <c r="H1584" s="10" t="n">
        <v>155</v>
      </c>
      <c r="I1584" s="10">
        <f>IFERROR(T1584*H1584,0)</f>
        <v/>
      </c>
      <c r="J1584" s="11" t="n">
        <v>46192</v>
      </c>
      <c r="K1584" s="11" t="n"/>
      <c r="L1584" t="inlineStr">
        <is>
          <t>NF Vencida</t>
        </is>
      </c>
      <c r="M1584">
        <f>IF(L1584="","",IFERROR(VLOOKUP(L1584,mapGrupoStatus,2,0),"Outros"))</f>
        <v/>
      </c>
      <c r="N1584">
        <f>IF(O1584="","",IF(O1584&lt;=30,"0-30 dias",IF(O1584&lt;=60,"31-60 dias",IF(O1584&lt;=90,"61-90 dias","Mais de 90 dias"))))</f>
        <v/>
      </c>
      <c r="O1584">
        <f>IF(OR(M1584="Pendente",M1584="Em andamento"),IF(J1584="","",TODAY()-J1584),"")</f>
        <v/>
      </c>
      <c r="P1584" t="n">
        <v>10562</v>
      </c>
      <c r="Q1584" t="inlineStr">
        <is>
          <t>Clima &amp; Cia (10562)</t>
        </is>
      </c>
      <c r="R1584" t="inlineStr">
        <is>
          <t>PC-0022</t>
        </is>
      </c>
      <c r="S1584" t="inlineStr">
        <is>
          <t>Controlador digital modelo 02</t>
        </is>
      </c>
      <c r="T1584" t="n">
        <v>1</v>
      </c>
      <c r="U1584" t="inlineStr"/>
      <c r="V1584">
        <f>IF(J1584="","",MONTH(J1584))</f>
        <v/>
      </c>
      <c r="W1584">
        <f>IF(J1584="","",YEAR(J1584))</f>
        <v/>
      </c>
      <c r="X1584" t="inlineStr"/>
      <c r="Y1584">
        <f>IFERROR(INDEX(Rastreio!$H$2:$H$200,MATCH(X1584&amp;"|"&amp;U1584,Rastreio!$A$2:$A$200,0)),"")</f>
        <v/>
      </c>
    </row>
    <row r="1585">
      <c r="A1585">
        <f>IFERROR(INDEX(STAs!$G$2:$G$61,MATCH(P1585,STAs!$F$2:$F$61,0))&amp;"","")</f>
        <v/>
      </c>
      <c r="B1585" t="n">
        <v>20010296</v>
      </c>
      <c r="C1585" t="inlineStr">
        <is>
          <t>Não</t>
        </is>
      </c>
      <c r="D1585" t="inlineStr">
        <is>
          <t>AM</t>
        </is>
      </c>
      <c r="E1585" t="inlineStr">
        <is>
          <t>NORTE</t>
        </is>
      </c>
      <c r="F1585" t="inlineStr">
        <is>
          <t>Cliente A - Refrigerador</t>
        </is>
      </c>
      <c r="G1585" t="inlineStr">
        <is>
          <t>Misturadores</t>
        </is>
      </c>
      <c r="H1585" s="10" t="n">
        <v>265</v>
      </c>
      <c r="I1585" s="10">
        <f>IFERROR(T1585*H1585,0)</f>
        <v/>
      </c>
      <c r="J1585" s="11" t="n">
        <v>46192</v>
      </c>
      <c r="K1585" s="11" t="n">
        <v>46220</v>
      </c>
      <c r="L1585" t="inlineStr">
        <is>
          <t>Ok. Devolvida</t>
        </is>
      </c>
      <c r="M1585">
        <f>IF(L1585="","",IFERROR(VLOOKUP(L1585,mapGrupoStatus,2,0),"Outros"))</f>
        <v/>
      </c>
      <c r="N1585">
        <f>IF(O1585="","",IF(O1585&lt;=30,"0-30 dias",IF(O1585&lt;=60,"31-60 dias",IF(O1585&lt;=90,"61-90 dias","Mais de 90 dias"))))</f>
        <v/>
      </c>
      <c r="O1585">
        <f>IF(OR(M1585="Pendente",M1585="Em andamento"),IF(J1585="","",TODAY()-J1585),"")</f>
        <v/>
      </c>
      <c r="P1585" t="n">
        <v>10842</v>
      </c>
      <c r="Q1585" t="inlineStr">
        <is>
          <t>Frigo &amp; Cia (10842)</t>
        </is>
      </c>
      <c r="R1585" t="inlineStr">
        <is>
          <t>PC-0038</t>
        </is>
      </c>
      <c r="S1585" t="inlineStr">
        <is>
          <t>Bomba de recirculação modelo 02</t>
        </is>
      </c>
      <c r="T1585" t="n">
        <v>1</v>
      </c>
      <c r="U1585" t="n">
        <v>120</v>
      </c>
      <c r="V1585">
        <f>IF(J1585="","",MONTH(J1585))</f>
        <v/>
      </c>
      <c r="W1585">
        <f>IF(J1585="","",YEAR(J1585))</f>
        <v/>
      </c>
      <c r="X1585" t="inlineStr">
        <is>
          <t>CargoMax</t>
        </is>
      </c>
      <c r="Y1585">
        <f>IFERROR(INDEX(Rastreio!$H$2:$H$200,MATCH(X1585&amp;"|"&amp;U1585,Rastreio!$A$2:$A$200,0)),"")</f>
        <v/>
      </c>
    </row>
    <row r="1586">
      <c r="A1586">
        <f>IFERROR(INDEX(STAs!$G$2:$G$61,MATCH(P1586,STAs!$F$2:$F$61,0))&amp;"","")</f>
        <v/>
      </c>
      <c r="B1586" t="n">
        <v>20012493</v>
      </c>
      <c r="C1586" t="inlineStr">
        <is>
          <t>Não</t>
        </is>
      </c>
      <c r="D1586" t="inlineStr">
        <is>
          <t>MS</t>
        </is>
      </c>
      <c r="E1586" t="inlineStr">
        <is>
          <t>CENTRO OESTE</t>
        </is>
      </c>
      <c r="F1586" t="inlineStr">
        <is>
          <t>Cliente C - Misturador</t>
        </is>
      </c>
      <c r="G1586" t="inlineStr">
        <is>
          <t>Misturadores</t>
        </is>
      </c>
      <c r="H1586" s="10" t="n">
        <v>255</v>
      </c>
      <c r="I1586" s="10">
        <f>IFERROR(T1586*H1586,0)</f>
        <v/>
      </c>
      <c r="J1586" s="11" t="n">
        <v>46192</v>
      </c>
      <c r="K1586" s="11" t="n"/>
      <c r="L1586" t="inlineStr">
        <is>
          <t>Debitar do STA</t>
        </is>
      </c>
      <c r="M1586">
        <f>IF(L1586="","",IFERROR(VLOOKUP(L1586,mapGrupoStatus,2,0),"Outros"))</f>
        <v/>
      </c>
      <c r="N1586">
        <f>IF(O1586="","",IF(O1586&lt;=30,"0-30 dias",IF(O1586&lt;=60,"31-60 dias",IF(O1586&lt;=90,"61-90 dias","Mais de 90 dias"))))</f>
        <v/>
      </c>
      <c r="O1586">
        <f>IF(OR(M1586="Pendente",M1586="Em andamento"),IF(J1586="","",TODAY()-J1586),"")</f>
        <v/>
      </c>
      <c r="P1586" t="n">
        <v>10302</v>
      </c>
      <c r="Q1586" t="inlineStr">
        <is>
          <t>Ice Tech Express (10302)</t>
        </is>
      </c>
      <c r="R1586" t="inlineStr">
        <is>
          <t>PC-0037</t>
        </is>
      </c>
      <c r="S1586" t="inlineStr">
        <is>
          <t>Bomba de recirculação modelo 01</t>
        </is>
      </c>
      <c r="T1586" t="n">
        <v>1</v>
      </c>
      <c r="U1586" t="inlineStr"/>
      <c r="V1586">
        <f>IF(J1586="","",MONTH(J1586))</f>
        <v/>
      </c>
      <c r="W1586">
        <f>IF(J1586="","",YEAR(J1586))</f>
        <v/>
      </c>
      <c r="X1586" t="inlineStr"/>
      <c r="Y1586">
        <f>IFERROR(INDEX(Rastreio!$H$2:$H$200,MATCH(X1586&amp;"|"&amp;U1586,Rastreio!$A$2:$A$200,0)),"")</f>
        <v/>
      </c>
    </row>
    <row r="1587">
      <c r="A1587">
        <f>IFERROR(INDEX(STAs!$G$2:$G$61,MATCH(P1587,STAs!$F$2:$F$61,0))&amp;"","")</f>
        <v/>
      </c>
      <c r="B1587" t="n">
        <v>20021761</v>
      </c>
      <c r="C1587" t="inlineStr">
        <is>
          <t>Sim</t>
        </is>
      </c>
      <c r="D1587" t="inlineStr">
        <is>
          <t>PR</t>
        </is>
      </c>
      <c r="E1587" t="inlineStr">
        <is>
          <t>SUL</t>
        </is>
      </c>
      <c r="F1587" t="inlineStr">
        <is>
          <t>Cliente B - Chopeira</t>
        </is>
      </c>
      <c r="G1587" t="inlineStr">
        <is>
          <t>Chopeiras</t>
        </is>
      </c>
      <c r="H1587" s="10" t="n">
        <v>115</v>
      </c>
      <c r="I1587" s="10">
        <f>IFERROR(T1587*H1587,0)</f>
        <v/>
      </c>
      <c r="J1587" s="11" t="n">
        <v>46192</v>
      </c>
      <c r="K1587" s="11" t="n"/>
      <c r="L1587" t="inlineStr">
        <is>
          <t>NF Vencida</t>
        </is>
      </c>
      <c r="M1587">
        <f>IF(L1587="","",IFERROR(VLOOKUP(L1587,mapGrupoStatus,2,0),"Outros"))</f>
        <v/>
      </c>
      <c r="N1587">
        <f>IF(O1587="","",IF(O1587&lt;=30,"0-30 dias",IF(O1587&lt;=60,"31-60 dias",IF(O1587&lt;=90,"61-90 dias","Mais de 90 dias"))))</f>
        <v/>
      </c>
      <c r="O1587">
        <f>IF(OR(M1587="Pendente",M1587="Em andamento"),IF(J1587="","",TODAY()-J1587),"")</f>
        <v/>
      </c>
      <c r="P1587" t="n">
        <v>10753</v>
      </c>
      <c r="Q1587" t="inlineStr">
        <is>
          <t>Refrigel &amp; Cia (10753)</t>
        </is>
      </c>
      <c r="R1587" t="inlineStr">
        <is>
          <t>PC-0034</t>
        </is>
      </c>
      <c r="S1587" t="inlineStr">
        <is>
          <t>Regulador de pressão modelo 03</t>
        </is>
      </c>
      <c r="T1587" t="n">
        <v>1</v>
      </c>
      <c r="U1587" t="inlineStr"/>
      <c r="V1587">
        <f>IF(J1587="","",MONTH(J1587))</f>
        <v/>
      </c>
      <c r="W1587">
        <f>IF(J1587="","",YEAR(J1587))</f>
        <v/>
      </c>
      <c r="X1587" t="inlineStr"/>
      <c r="Y1587">
        <f>IFERROR(INDEX(Rastreio!$H$2:$H$200,MATCH(X1587&amp;"|"&amp;U1587,Rastreio!$A$2:$A$200,0)),"")</f>
        <v/>
      </c>
    </row>
    <row r="1588">
      <c r="A1588">
        <f>IFERROR(INDEX(STAs!$G$2:$G$61,MATCH(P1588,STAs!$F$2:$F$61,0))&amp;"","")</f>
        <v/>
      </c>
      <c r="B1588" t="n">
        <v>20022174</v>
      </c>
      <c r="C1588" t="inlineStr">
        <is>
          <t>Não</t>
        </is>
      </c>
      <c r="D1588" t="inlineStr">
        <is>
          <t>GO</t>
        </is>
      </c>
      <c r="E1588" t="inlineStr">
        <is>
          <t>CENTRO OESTE</t>
        </is>
      </c>
      <c r="F1588" t="inlineStr">
        <is>
          <t>Cliente C - Misturador</t>
        </is>
      </c>
      <c r="G1588" t="inlineStr">
        <is>
          <t>Misturadores</t>
        </is>
      </c>
      <c r="H1588" s="10" t="n">
        <v>60</v>
      </c>
      <c r="I1588" s="10">
        <f>IFERROR(T1588*H1588,0)</f>
        <v/>
      </c>
      <c r="J1588" s="11" t="n">
        <v>46192</v>
      </c>
      <c r="K1588" s="11" t="n">
        <v>46203</v>
      </c>
      <c r="L1588" t="inlineStr">
        <is>
          <t>Ok. Devolvida</t>
        </is>
      </c>
      <c r="M1588">
        <f>IF(L1588="","",IFERROR(VLOOKUP(L1588,mapGrupoStatus,2,0),"Outros"))</f>
        <v/>
      </c>
      <c r="N1588">
        <f>IF(O1588="","",IF(O1588&lt;=30,"0-30 dias",IF(O1588&lt;=60,"31-60 dias",IF(O1588&lt;=90,"61-90 dias","Mais de 90 dias"))))</f>
        <v/>
      </c>
      <c r="O1588">
        <f>IF(OR(M1588="Pendente",M1588="Em andamento"),IF(J1588="","",TODAY()-J1588),"")</f>
        <v/>
      </c>
      <c r="P1588" t="n">
        <v>10317</v>
      </c>
      <c r="Q1588" t="inlineStr">
        <is>
          <t>Termotec Manutenção (10317)</t>
        </is>
      </c>
      <c r="R1588" t="inlineStr">
        <is>
          <t>PC-0046</t>
        </is>
      </c>
      <c r="S1588" t="inlineStr">
        <is>
          <t>Sensor de nível modelo 02</t>
        </is>
      </c>
      <c r="T1588" t="n">
        <v>1</v>
      </c>
      <c r="U1588" t="n">
        <v>139</v>
      </c>
      <c r="V1588">
        <f>IF(J1588="","",MONTH(J1588))</f>
        <v/>
      </c>
      <c r="W1588">
        <f>IF(J1588="","",YEAR(J1588))</f>
        <v/>
      </c>
      <c r="X1588" t="inlineStr">
        <is>
          <t>CargoMax</t>
        </is>
      </c>
      <c r="Y1588">
        <f>IFERROR(INDEX(Rastreio!$H$2:$H$200,MATCH(X1588&amp;"|"&amp;U1588,Rastreio!$A$2:$A$200,0)),"")</f>
        <v/>
      </c>
    </row>
    <row r="1589">
      <c r="A1589">
        <f>IFERROR(INDEX(STAs!$G$2:$G$61,MATCH(P1589,STAs!$F$2:$F$61,0))&amp;"","")</f>
        <v/>
      </c>
      <c r="B1589" t="n">
        <v>20025031</v>
      </c>
      <c r="C1589" t="inlineStr">
        <is>
          <t>Sim</t>
        </is>
      </c>
      <c r="D1589" t="inlineStr">
        <is>
          <t>PR</t>
        </is>
      </c>
      <c r="E1589" t="inlineStr">
        <is>
          <t>SUL</t>
        </is>
      </c>
      <c r="F1589" t="inlineStr">
        <is>
          <t>Cliente B - Chopeira</t>
        </is>
      </c>
      <c r="G1589" t="inlineStr">
        <is>
          <t>Refrigeradores</t>
        </is>
      </c>
      <c r="H1589" s="10" t="n">
        <v>40</v>
      </c>
      <c r="I1589" s="10">
        <f>IFERROR(T1589*H1589,0)</f>
        <v/>
      </c>
      <c r="J1589" s="11" t="n">
        <v>46192</v>
      </c>
      <c r="K1589" s="11" t="n"/>
      <c r="L1589" t="inlineStr">
        <is>
          <t>Aguardando devolução</t>
        </is>
      </c>
      <c r="M1589">
        <f>IF(L1589="","",IFERROR(VLOOKUP(L1589,mapGrupoStatus,2,0),"Outros"))</f>
        <v/>
      </c>
      <c r="N1589">
        <f>IF(O1589="","",IF(O1589&lt;=30,"0-30 dias",IF(O1589&lt;=60,"31-60 dias",IF(O1589&lt;=90,"61-90 dias","Mais de 90 dias"))))</f>
        <v/>
      </c>
      <c r="O1589">
        <f>IF(OR(M1589="Pendente",M1589="Em andamento"),IF(J1589="","",TODAY()-J1589),"")</f>
        <v/>
      </c>
      <c r="P1589" t="n">
        <v>10753</v>
      </c>
      <c r="Q1589" t="inlineStr">
        <is>
          <t>Refrigel &amp; Cia (10753)</t>
        </is>
      </c>
      <c r="R1589" t="inlineStr">
        <is>
          <t>PC-0005</t>
        </is>
      </c>
      <c r="S1589" t="inlineStr">
        <is>
          <t>Termostato modelo 02</t>
        </is>
      </c>
      <c r="T1589" t="n">
        <v>1</v>
      </c>
      <c r="U1589" t="inlineStr"/>
      <c r="V1589">
        <f>IF(J1589="","",MONTH(J1589))</f>
        <v/>
      </c>
      <c r="W1589">
        <f>IF(J1589="","",YEAR(J1589))</f>
        <v/>
      </c>
      <c r="X1589" t="inlineStr"/>
      <c r="Y1589">
        <f>IFERROR(INDEX(Rastreio!$H$2:$H$200,MATCH(X1589&amp;"|"&amp;U1589,Rastreio!$A$2:$A$200,0)),"")</f>
        <v/>
      </c>
    </row>
    <row r="1590">
      <c r="A1590">
        <f>IFERROR(INDEX(STAs!$G$2:$G$61,MATCH(P1590,STAs!$F$2:$F$61,0))&amp;"","")</f>
        <v/>
      </c>
      <c r="B1590" t="n">
        <v>20025172</v>
      </c>
      <c r="C1590" t="inlineStr">
        <is>
          <t>Sim</t>
        </is>
      </c>
      <c r="D1590" t="inlineStr">
        <is>
          <t>PR</t>
        </is>
      </c>
      <c r="E1590" t="inlineStr">
        <is>
          <t>SUL</t>
        </is>
      </c>
      <c r="F1590" t="inlineStr">
        <is>
          <t>Cliente B - Chopeira</t>
        </is>
      </c>
      <c r="G1590" t="inlineStr">
        <is>
          <t>Refrigeradores</t>
        </is>
      </c>
      <c r="H1590" s="10" t="n">
        <v>45</v>
      </c>
      <c r="I1590" s="10">
        <f>IFERROR(T1590*H1590,0)</f>
        <v/>
      </c>
      <c r="J1590" s="11" t="n">
        <v>46192</v>
      </c>
      <c r="K1590" s="11" t="n"/>
      <c r="L1590" t="inlineStr">
        <is>
          <t>Em transporte</t>
        </is>
      </c>
      <c r="M1590">
        <f>IF(L1590="","",IFERROR(VLOOKUP(L1590,mapGrupoStatus,2,0),"Outros"))</f>
        <v/>
      </c>
      <c r="N1590">
        <f>IF(O1590="","",IF(O1590&lt;=30,"0-30 dias",IF(O1590&lt;=60,"31-60 dias",IF(O1590&lt;=90,"61-90 dias","Mais de 90 dias"))))</f>
        <v/>
      </c>
      <c r="O1590">
        <f>IF(OR(M1590="Pendente",M1590="Em andamento"),IF(J1590="","",TODAY()-J1590),"")</f>
        <v/>
      </c>
      <c r="P1590" t="n">
        <v>10753</v>
      </c>
      <c r="Q1590" t="inlineStr">
        <is>
          <t>Refrigel &amp; Cia (10753)</t>
        </is>
      </c>
      <c r="R1590" t="inlineStr">
        <is>
          <t>PC-0018</t>
        </is>
      </c>
      <c r="S1590" t="inlineStr">
        <is>
          <t>Gaxeta da porta modelo 01</t>
        </is>
      </c>
      <c r="T1590" t="n">
        <v>1</v>
      </c>
      <c r="U1590" t="n">
        <v>142</v>
      </c>
      <c r="V1590">
        <f>IF(J1590="","",MONTH(J1590))</f>
        <v/>
      </c>
      <c r="W1590">
        <f>IF(J1590="","",YEAR(J1590))</f>
        <v/>
      </c>
      <c r="X1590" t="inlineStr">
        <is>
          <t>CargoMax</t>
        </is>
      </c>
      <c r="Y1590">
        <f>IFERROR(INDEX(Rastreio!$H$2:$H$200,MATCH(X1590&amp;"|"&amp;U1590,Rastreio!$A$2:$A$200,0)),"")</f>
        <v/>
      </c>
    </row>
    <row r="1591">
      <c r="A1591">
        <f>IFERROR(INDEX(STAs!$G$2:$G$61,MATCH(P1591,STAs!$F$2:$F$61,0))&amp;"","")</f>
        <v/>
      </c>
      <c r="B1591" t="n">
        <v>20028178</v>
      </c>
      <c r="C1591" t="inlineStr">
        <is>
          <t>Não</t>
        </is>
      </c>
      <c r="D1591" t="inlineStr">
        <is>
          <t>PA</t>
        </is>
      </c>
      <c r="E1591" t="inlineStr">
        <is>
          <t>NORTE</t>
        </is>
      </c>
      <c r="F1591" t="inlineStr">
        <is>
          <t>Cliente A - Refrigerador</t>
        </is>
      </c>
      <c r="G1591" t="inlineStr">
        <is>
          <t>Refrigeradores</t>
        </is>
      </c>
      <c r="H1591" s="10" t="n">
        <v>30</v>
      </c>
      <c r="I1591" s="10">
        <f>IFERROR(T1591*H1591,0)</f>
        <v/>
      </c>
      <c r="J1591" s="11" t="n">
        <v>46192</v>
      </c>
      <c r="K1591" s="11" t="n">
        <v>46216</v>
      </c>
      <c r="L1591" t="inlineStr">
        <is>
          <t>Ok. Devolvida</t>
        </is>
      </c>
      <c r="M1591">
        <f>IF(L1591="","",IFERROR(VLOOKUP(L1591,mapGrupoStatus,2,0),"Outros"))</f>
        <v/>
      </c>
      <c r="N1591">
        <f>IF(O1591="","",IF(O1591&lt;=30,"0-30 dias",IF(O1591&lt;=60,"31-60 dias",IF(O1591&lt;=90,"61-90 dias","Mais de 90 dias"))))</f>
        <v/>
      </c>
      <c r="O1591">
        <f>IF(OR(M1591="Pendente",M1591="Em andamento"),IF(J1591="","",TODAY()-J1591),"")</f>
        <v/>
      </c>
      <c r="P1591" t="n">
        <v>11986</v>
      </c>
      <c r="Q1591" t="inlineStr">
        <is>
          <t>Polar Serviços (11986)</t>
        </is>
      </c>
      <c r="R1591" t="inlineStr">
        <is>
          <t>PC-0025</t>
        </is>
      </c>
      <c r="S1591" t="inlineStr">
        <is>
          <t>Relé de partida modelo 03</t>
        </is>
      </c>
      <c r="T1591" t="n">
        <v>1</v>
      </c>
      <c r="U1591" t="n">
        <v>151</v>
      </c>
      <c r="V1591">
        <f>IF(J1591="","",MONTH(J1591))</f>
        <v/>
      </c>
      <c r="W1591">
        <f>IF(J1591="","",YEAR(J1591))</f>
        <v/>
      </c>
      <c r="X1591" t="inlineStr">
        <is>
          <t>LogExpress</t>
        </is>
      </c>
      <c r="Y1591">
        <f>IFERROR(INDEX(Rastreio!$H$2:$H$200,MATCH(X1591&amp;"|"&amp;U1591,Rastreio!$A$2:$A$200,0)),"")</f>
        <v/>
      </c>
    </row>
    <row r="1592">
      <c r="A1592">
        <f>IFERROR(INDEX(STAs!$G$2:$G$61,MATCH(P1592,STAs!$F$2:$F$61,0))&amp;"","")</f>
        <v/>
      </c>
      <c r="B1592" t="n">
        <v>20012718</v>
      </c>
      <c r="C1592" t="inlineStr">
        <is>
          <t>Não</t>
        </is>
      </c>
      <c r="D1592" t="inlineStr">
        <is>
          <t>ES</t>
        </is>
      </c>
      <c r="E1592" t="inlineStr">
        <is>
          <t>SUDESTE RJ e ES</t>
        </is>
      </c>
      <c r="F1592" t="inlineStr">
        <is>
          <t>Cliente A - Refrigerador</t>
        </is>
      </c>
      <c r="G1592" t="inlineStr">
        <is>
          <t>Refrigeradores</t>
        </is>
      </c>
      <c r="H1592" s="10" t="n">
        <v>50</v>
      </c>
      <c r="I1592" s="10">
        <f>IFERROR(T1592*H1592,0)</f>
        <v/>
      </c>
      <c r="J1592" s="11" t="n">
        <v>46193</v>
      </c>
      <c r="K1592" s="11" t="n"/>
      <c r="L1592" t="inlineStr">
        <is>
          <t>Aguardando Transporte</t>
        </is>
      </c>
      <c r="M1592">
        <f>IF(L1592="","",IFERROR(VLOOKUP(L1592,mapGrupoStatus,2,0),"Outros"))</f>
        <v/>
      </c>
      <c r="N1592">
        <f>IF(O1592="","",IF(O1592&lt;=30,"0-30 dias",IF(O1592&lt;=60,"31-60 dias",IF(O1592&lt;=90,"61-90 dias","Mais de 90 dias"))))</f>
        <v/>
      </c>
      <c r="O1592">
        <f>IF(OR(M1592="Pendente",M1592="Em andamento"),IF(J1592="","",TODAY()-J1592),"")</f>
        <v/>
      </c>
      <c r="P1592" t="n">
        <v>11099</v>
      </c>
      <c r="Q1592" t="inlineStr">
        <is>
          <t>Refrigel Serviços (11099)</t>
        </is>
      </c>
      <c r="R1592" t="inlineStr">
        <is>
          <t>PC-0006</t>
        </is>
      </c>
      <c r="S1592" t="inlineStr">
        <is>
          <t>Termostato modelo 03</t>
        </is>
      </c>
      <c r="T1592" t="n">
        <v>1</v>
      </c>
      <c r="U1592" t="n">
        <v>125</v>
      </c>
      <c r="V1592">
        <f>IF(J1592="","",MONTH(J1592))</f>
        <v/>
      </c>
      <c r="W1592">
        <f>IF(J1592="","",YEAR(J1592))</f>
        <v/>
      </c>
      <c r="X1592" t="inlineStr">
        <is>
          <t>CargoMax</t>
        </is>
      </c>
      <c r="Y1592">
        <f>IFERROR(INDEX(Rastreio!$H$2:$H$200,MATCH(X1592&amp;"|"&amp;U1592,Rastreio!$A$2:$A$200,0)),"")</f>
        <v/>
      </c>
    </row>
    <row r="1593">
      <c r="A1593">
        <f>IFERROR(INDEX(STAs!$G$2:$G$61,MATCH(P1593,STAs!$F$2:$F$61,0))&amp;"","")</f>
        <v/>
      </c>
      <c r="B1593" t="n">
        <v>20013850</v>
      </c>
      <c r="C1593" t="inlineStr">
        <is>
          <t>Não</t>
        </is>
      </c>
      <c r="D1593" t="inlineStr">
        <is>
          <t>PA</t>
        </is>
      </c>
      <c r="E1593" t="inlineStr">
        <is>
          <t>NORTE</t>
        </is>
      </c>
      <c r="F1593" t="inlineStr">
        <is>
          <t>Cliente A - Refrigerador</t>
        </is>
      </c>
      <c r="G1593" t="inlineStr">
        <is>
          <t>Chopeiras</t>
        </is>
      </c>
      <c r="H1593" s="10" t="n">
        <v>85</v>
      </c>
      <c r="I1593" s="10">
        <f>IFERROR(T1593*H1593,0)</f>
        <v/>
      </c>
      <c r="J1593" s="11" t="n">
        <v>46193</v>
      </c>
      <c r="K1593" s="11" t="n"/>
      <c r="L1593" t="inlineStr">
        <is>
          <t>Não Devolve-Norte</t>
        </is>
      </c>
      <c r="M1593">
        <f>IF(L1593="","",IFERROR(VLOOKUP(L1593,mapGrupoStatus,2,0),"Outros"))</f>
        <v/>
      </c>
      <c r="N1593">
        <f>IF(O1593="","",IF(O1593&lt;=30,"0-30 dias",IF(O1593&lt;=60,"31-60 dias",IF(O1593&lt;=90,"61-90 dias","Mais de 90 dias"))))</f>
        <v/>
      </c>
      <c r="O1593">
        <f>IF(OR(M1593="Pendente",M1593="Em andamento"),IF(J1593="","",TODAY()-J1593),"")</f>
        <v/>
      </c>
      <c r="P1593" t="n">
        <v>11986</v>
      </c>
      <c r="Q1593" t="inlineStr">
        <is>
          <t>Polar Serviços (11986)</t>
        </is>
      </c>
      <c r="R1593" t="inlineStr">
        <is>
          <t>PC-0035</t>
        </is>
      </c>
      <c r="S1593" t="inlineStr">
        <is>
          <t>Válvula extratora modelo 01</t>
        </is>
      </c>
      <c r="T1593" t="n">
        <v>2</v>
      </c>
      <c r="U1593" t="inlineStr"/>
      <c r="V1593">
        <f>IF(J1593="","",MONTH(J1593))</f>
        <v/>
      </c>
      <c r="W1593">
        <f>IF(J1593="","",YEAR(J1593))</f>
        <v/>
      </c>
      <c r="X1593" t="inlineStr"/>
      <c r="Y1593">
        <f>IFERROR(INDEX(Rastreio!$H$2:$H$200,MATCH(X1593&amp;"|"&amp;U1593,Rastreio!$A$2:$A$200,0)),"")</f>
        <v/>
      </c>
    </row>
    <row r="1594">
      <c r="A1594">
        <f>IFERROR(INDEX(STAs!$G$2:$G$61,MATCH(P1594,STAs!$F$2:$F$61,0))&amp;"","")</f>
        <v/>
      </c>
      <c r="B1594" t="n">
        <v>20017334</v>
      </c>
      <c r="C1594" t="inlineStr">
        <is>
          <t>Não</t>
        </is>
      </c>
      <c r="D1594" t="inlineStr">
        <is>
          <t>RO</t>
        </is>
      </c>
      <c r="E1594" t="inlineStr">
        <is>
          <t>NORTE</t>
        </is>
      </c>
      <c r="F1594" t="inlineStr">
        <is>
          <t>Cliente B - Chopeira</t>
        </is>
      </c>
      <c r="G1594" t="inlineStr">
        <is>
          <t>Chopeiras</t>
        </is>
      </c>
      <c r="H1594" s="10" t="n">
        <v>85</v>
      </c>
      <c r="I1594" s="10">
        <f>IFERROR(T1594*H1594,0)</f>
        <v/>
      </c>
      <c r="J1594" s="11" t="n">
        <v>46193</v>
      </c>
      <c r="K1594" s="11" t="n">
        <v>46208</v>
      </c>
      <c r="L1594" t="inlineStr">
        <is>
          <t>Ok. Devolvida</t>
        </is>
      </c>
      <c r="M1594">
        <f>IF(L1594="","",IFERROR(VLOOKUP(L1594,mapGrupoStatus,2,0),"Outros"))</f>
        <v/>
      </c>
      <c r="N1594">
        <f>IF(O1594="","",IF(O1594&lt;=30,"0-30 dias",IF(O1594&lt;=60,"31-60 dias",IF(O1594&lt;=90,"61-90 dias","Mais de 90 dias"))))</f>
        <v/>
      </c>
      <c r="O1594">
        <f>IF(OR(M1594="Pendente",M1594="Em andamento"),IF(J1594="","",TODAY()-J1594),"")</f>
        <v/>
      </c>
      <c r="P1594" t="n">
        <v>12019</v>
      </c>
      <c r="Q1594" t="inlineStr">
        <is>
          <t>Ártico Serviços (12019)</t>
        </is>
      </c>
      <c r="R1594" t="inlineStr">
        <is>
          <t>PC-0036</t>
        </is>
      </c>
      <c r="S1594" t="inlineStr">
        <is>
          <t>Válvula extratora modelo 02</t>
        </is>
      </c>
      <c r="T1594" t="n">
        <v>1</v>
      </c>
      <c r="U1594" t="n">
        <v>130</v>
      </c>
      <c r="V1594">
        <f>IF(J1594="","",MONTH(J1594))</f>
        <v/>
      </c>
      <c r="W1594">
        <f>IF(J1594="","",YEAR(J1594))</f>
        <v/>
      </c>
      <c r="X1594" t="inlineStr">
        <is>
          <t>CargoMax</t>
        </is>
      </c>
      <c r="Y1594">
        <f>IFERROR(INDEX(Rastreio!$H$2:$H$200,MATCH(X1594&amp;"|"&amp;U1594,Rastreio!$A$2:$A$200,0)),"")</f>
        <v/>
      </c>
    </row>
    <row r="1595">
      <c r="A1595">
        <f>IFERROR(INDEX(STAs!$G$2:$G$61,MATCH(P1595,STAs!$F$2:$F$61,0))&amp;"","")</f>
        <v/>
      </c>
      <c r="B1595" t="n">
        <v>20018597</v>
      </c>
      <c r="C1595" t="inlineStr">
        <is>
          <t>Não</t>
        </is>
      </c>
      <c r="D1595" t="inlineStr">
        <is>
          <t>RR</t>
        </is>
      </c>
      <c r="E1595" t="inlineStr">
        <is>
          <t>NORTE</t>
        </is>
      </c>
      <c r="F1595" t="inlineStr">
        <is>
          <t>Cliente B - Chopeira</t>
        </is>
      </c>
      <c r="G1595" t="inlineStr">
        <is>
          <t>Refrigeradores</t>
        </is>
      </c>
      <c r="H1595" s="10" t="n">
        <v>325</v>
      </c>
      <c r="I1595" s="10">
        <f>IFERROR(T1595*H1595,0)</f>
        <v/>
      </c>
      <c r="J1595" s="11" t="n">
        <v>46193</v>
      </c>
      <c r="K1595" s="11" t="n">
        <v>46213</v>
      </c>
      <c r="L1595" t="inlineStr">
        <is>
          <t>Ok. Devolvida</t>
        </is>
      </c>
      <c r="M1595">
        <f>IF(L1595="","",IFERROR(VLOOKUP(L1595,mapGrupoStatus,2,0),"Outros"))</f>
        <v/>
      </c>
      <c r="N1595">
        <f>IF(O1595="","",IF(O1595&lt;=30,"0-30 dias",IF(O1595&lt;=60,"31-60 dias",IF(O1595&lt;=90,"61-90 dias","Mais de 90 dias"))))</f>
        <v/>
      </c>
      <c r="O1595">
        <f>IF(OR(M1595="Pendente",M1595="Em andamento"),IF(J1595="","",TODAY()-J1595),"")</f>
        <v/>
      </c>
      <c r="P1595" t="n">
        <v>11818</v>
      </c>
      <c r="Q1595" t="inlineStr">
        <is>
          <t>Termotec Ltda (11818)</t>
        </is>
      </c>
      <c r="R1595" t="inlineStr">
        <is>
          <t>PC-0001</t>
        </is>
      </c>
      <c r="S1595" t="inlineStr">
        <is>
          <t>Compressor modelo 01</t>
        </is>
      </c>
      <c r="T1595" t="n">
        <v>1</v>
      </c>
      <c r="U1595" t="n">
        <v>124</v>
      </c>
      <c r="V1595">
        <f>IF(J1595="","",MONTH(J1595))</f>
        <v/>
      </c>
      <c r="W1595">
        <f>IF(J1595="","",YEAR(J1595))</f>
        <v/>
      </c>
      <c r="X1595" t="inlineStr">
        <is>
          <t>RotaSul</t>
        </is>
      </c>
      <c r="Y1595">
        <f>IFERROR(INDEX(Rastreio!$H$2:$H$200,MATCH(X1595&amp;"|"&amp;U1595,Rastreio!$A$2:$A$200,0)),"")</f>
        <v/>
      </c>
    </row>
    <row r="1596">
      <c r="A1596">
        <f>IFERROR(INDEX(STAs!$G$2:$G$61,MATCH(P1596,STAs!$F$2:$F$61,0))&amp;"","")</f>
        <v/>
      </c>
      <c r="B1596" t="n">
        <v>20020102</v>
      </c>
      <c r="C1596" t="inlineStr">
        <is>
          <t>Não</t>
        </is>
      </c>
      <c r="D1596" t="inlineStr">
        <is>
          <t>MS</t>
        </is>
      </c>
      <c r="E1596" t="inlineStr">
        <is>
          <t>CENTRO OESTE</t>
        </is>
      </c>
      <c r="F1596" t="inlineStr">
        <is>
          <t>Cliente C - Misturador</t>
        </is>
      </c>
      <c r="G1596" t="inlineStr">
        <is>
          <t>Refrigeradores</t>
        </is>
      </c>
      <c r="H1596" s="10" t="n">
        <v>190</v>
      </c>
      <c r="I1596" s="10">
        <f>IFERROR(T1596*H1596,0)</f>
        <v/>
      </c>
      <c r="J1596" s="11" t="n">
        <v>46193</v>
      </c>
      <c r="K1596" s="11" t="n"/>
      <c r="L1596" t="inlineStr">
        <is>
          <t>Em andamento</t>
        </is>
      </c>
      <c r="M1596">
        <f>IF(L1596="","",IFERROR(VLOOKUP(L1596,mapGrupoStatus,2,0),"Outros"))</f>
        <v/>
      </c>
      <c r="N1596">
        <f>IF(O1596="","",IF(O1596&lt;=30,"0-30 dias",IF(O1596&lt;=60,"31-60 dias",IF(O1596&lt;=90,"61-90 dias","Mais de 90 dias"))))</f>
        <v/>
      </c>
      <c r="O1596">
        <f>IF(OR(M1596="Pendente",M1596="Em andamento"),IF(J1596="","",TODAY()-J1596),"")</f>
        <v/>
      </c>
      <c r="P1596" t="n">
        <v>10302</v>
      </c>
      <c r="Q1596" t="inlineStr">
        <is>
          <t>Ice Tech Express (10302)</t>
        </is>
      </c>
      <c r="R1596" t="inlineStr">
        <is>
          <t>PC-0011</t>
        </is>
      </c>
      <c r="S1596" t="inlineStr">
        <is>
          <t>Placa eletrônica modelo 01</t>
        </is>
      </c>
      <c r="T1596" t="n">
        <v>1</v>
      </c>
      <c r="U1596" t="n">
        <v>129</v>
      </c>
      <c r="V1596">
        <f>IF(J1596="","",MONTH(J1596))</f>
        <v/>
      </c>
      <c r="W1596">
        <f>IF(J1596="","",YEAR(J1596))</f>
        <v/>
      </c>
      <c r="X1596" t="inlineStr">
        <is>
          <t>EntregaJá</t>
        </is>
      </c>
      <c r="Y1596">
        <f>IFERROR(INDEX(Rastreio!$H$2:$H$200,MATCH(X1596&amp;"|"&amp;U1596,Rastreio!$A$2:$A$200,0)),"")</f>
        <v/>
      </c>
    </row>
    <row r="1597">
      <c r="A1597">
        <f>IFERROR(INDEX(STAs!$G$2:$G$61,MATCH(P1597,STAs!$F$2:$F$61,0))&amp;"","")</f>
        <v/>
      </c>
      <c r="B1597" t="n">
        <v>20004334</v>
      </c>
      <c r="C1597" t="inlineStr">
        <is>
          <t>Não</t>
        </is>
      </c>
      <c r="D1597" t="inlineStr">
        <is>
          <t>MS</t>
        </is>
      </c>
      <c r="E1597" t="inlineStr">
        <is>
          <t>CENTRO OESTE</t>
        </is>
      </c>
      <c r="F1597" t="inlineStr">
        <is>
          <t>Cliente B - Chopeira</t>
        </is>
      </c>
      <c r="G1597" t="inlineStr">
        <is>
          <t>Chopeiras</t>
        </is>
      </c>
      <c r="H1597" s="10" t="n">
        <v>115</v>
      </c>
      <c r="I1597" s="10">
        <f>IFERROR(T1597*H1597,0)</f>
        <v/>
      </c>
      <c r="J1597" s="11" t="n">
        <v>46194</v>
      </c>
      <c r="K1597" s="11" t="n">
        <v>46209</v>
      </c>
      <c r="L1597" t="inlineStr">
        <is>
          <t>Ok. Devolvida</t>
        </is>
      </c>
      <c r="M1597">
        <f>IF(L1597="","",IFERROR(VLOOKUP(L1597,mapGrupoStatus,2,0),"Outros"))</f>
        <v/>
      </c>
      <c r="N1597">
        <f>IF(O1597="","",IF(O1597&lt;=30,"0-30 dias",IF(O1597&lt;=60,"31-60 dias",IF(O1597&lt;=90,"61-90 dias","Mais de 90 dias"))))</f>
        <v/>
      </c>
      <c r="O1597">
        <f>IF(OR(M1597="Pendente",M1597="Em andamento"),IF(J1597="","",TODAY()-J1597),"")</f>
        <v/>
      </c>
      <c r="P1597" t="n">
        <v>11726</v>
      </c>
      <c r="Q1597" t="inlineStr">
        <is>
          <t>Norte Frio Refrigeração (11726)</t>
        </is>
      </c>
      <c r="R1597" t="inlineStr">
        <is>
          <t>PC-0033</t>
        </is>
      </c>
      <c r="S1597" t="inlineStr">
        <is>
          <t>Regulador de pressão modelo 02</t>
        </is>
      </c>
      <c r="T1597" t="n">
        <v>1</v>
      </c>
      <c r="U1597" t="n">
        <v>110</v>
      </c>
      <c r="V1597">
        <f>IF(J1597="","",MONTH(J1597))</f>
        <v/>
      </c>
      <c r="W1597">
        <f>IF(J1597="","",YEAR(J1597))</f>
        <v/>
      </c>
      <c r="X1597" t="inlineStr">
        <is>
          <t>ViaCargo</t>
        </is>
      </c>
      <c r="Y1597">
        <f>IFERROR(INDEX(Rastreio!$H$2:$H$200,MATCH(X1597&amp;"|"&amp;U1597,Rastreio!$A$2:$A$200,0)),"")</f>
        <v/>
      </c>
    </row>
    <row r="1598">
      <c r="A1598">
        <f>IFERROR(INDEX(STAs!$G$2:$G$61,MATCH(P1598,STAs!$F$2:$F$61,0))&amp;"","")</f>
        <v/>
      </c>
      <c r="B1598" t="n">
        <v>20006187</v>
      </c>
      <c r="C1598" t="inlineStr">
        <is>
          <t>Não</t>
        </is>
      </c>
      <c r="D1598" t="inlineStr">
        <is>
          <t>SC</t>
        </is>
      </c>
      <c r="E1598" t="inlineStr">
        <is>
          <t>SUL</t>
        </is>
      </c>
      <c r="F1598" t="inlineStr">
        <is>
          <t>Cliente C - Misturador</t>
        </is>
      </c>
      <c r="G1598" t="inlineStr">
        <is>
          <t>Refrigeradores</t>
        </is>
      </c>
      <c r="H1598" s="10" t="n">
        <v>45</v>
      </c>
      <c r="I1598" s="10">
        <f>IFERROR(T1598*H1598,0)</f>
        <v/>
      </c>
      <c r="J1598" s="11" t="n">
        <v>46194</v>
      </c>
      <c r="K1598" s="11" t="n">
        <v>46253</v>
      </c>
      <c r="L1598" t="inlineStr">
        <is>
          <t>Ok. Devolvida</t>
        </is>
      </c>
      <c r="M1598">
        <f>IF(L1598="","",IFERROR(VLOOKUP(L1598,mapGrupoStatus,2,0),"Outros"))</f>
        <v/>
      </c>
      <c r="N1598">
        <f>IF(O1598="","",IF(O1598&lt;=30,"0-30 dias",IF(O1598&lt;=60,"31-60 dias",IF(O1598&lt;=90,"61-90 dias","Mais de 90 dias"))))</f>
        <v/>
      </c>
      <c r="O1598">
        <f>IF(OR(M1598="Pendente",M1598="Em andamento"),IF(J1598="","",TODAY()-J1598),"")</f>
        <v/>
      </c>
      <c r="P1598" t="n">
        <v>12138</v>
      </c>
      <c r="Q1598" t="inlineStr">
        <is>
          <t>Refrigeração Serviços (12138)</t>
        </is>
      </c>
      <c r="R1598" t="inlineStr">
        <is>
          <t>PC-0019</t>
        </is>
      </c>
      <c r="S1598" t="inlineStr">
        <is>
          <t>Gaxeta da porta modelo 02</t>
        </is>
      </c>
      <c r="T1598" t="n">
        <v>2</v>
      </c>
      <c r="U1598" t="n">
        <v>110</v>
      </c>
      <c r="V1598">
        <f>IF(J1598="","",MONTH(J1598))</f>
        <v/>
      </c>
      <c r="W1598">
        <f>IF(J1598="","",YEAR(J1598))</f>
        <v/>
      </c>
      <c r="X1598" t="inlineStr">
        <is>
          <t>CargoMax</t>
        </is>
      </c>
      <c r="Y1598">
        <f>IFERROR(INDEX(Rastreio!$H$2:$H$200,MATCH(X1598&amp;"|"&amp;U1598,Rastreio!$A$2:$A$200,0)),"")</f>
        <v/>
      </c>
    </row>
    <row r="1599">
      <c r="A1599">
        <f>IFERROR(INDEX(STAs!$G$2:$G$61,MATCH(P1599,STAs!$F$2:$F$61,0))&amp;"","")</f>
        <v/>
      </c>
      <c r="B1599" t="n">
        <v>20009627</v>
      </c>
      <c r="C1599" t="inlineStr">
        <is>
          <t>Não</t>
        </is>
      </c>
      <c r="D1599" t="inlineStr">
        <is>
          <t>RO</t>
        </is>
      </c>
      <c r="E1599" t="inlineStr">
        <is>
          <t>NORTE</t>
        </is>
      </c>
      <c r="F1599" t="inlineStr">
        <is>
          <t>Cliente C - Misturador</t>
        </is>
      </c>
      <c r="G1599" t="inlineStr">
        <is>
          <t>Refrigeradores</t>
        </is>
      </c>
      <c r="H1599" s="10" t="n">
        <v>35</v>
      </c>
      <c r="I1599" s="10">
        <f>IFERROR(T1599*H1599,0)</f>
        <v/>
      </c>
      <c r="J1599" s="11" t="n">
        <v>46194</v>
      </c>
      <c r="K1599" s="11" t="n"/>
      <c r="L1599" t="inlineStr">
        <is>
          <t>Não Devolve-Norte</t>
        </is>
      </c>
      <c r="M1599">
        <f>IF(L1599="","",IFERROR(VLOOKUP(L1599,mapGrupoStatus,2,0),"Outros"))</f>
        <v/>
      </c>
      <c r="N1599">
        <f>IF(O1599="","",IF(O1599&lt;=30,"0-30 dias",IF(O1599&lt;=60,"31-60 dias",IF(O1599&lt;=90,"61-90 dias","Mais de 90 dias"))))</f>
        <v/>
      </c>
      <c r="O1599">
        <f>IF(OR(M1599="Pendente",M1599="Em andamento"),IF(J1599="","",TODAY()-J1599),"")</f>
        <v/>
      </c>
      <c r="P1599" t="n">
        <v>12019</v>
      </c>
      <c r="Q1599" t="inlineStr">
        <is>
          <t>Ártico Serviços (12019)</t>
        </is>
      </c>
      <c r="R1599" t="inlineStr">
        <is>
          <t>PC-0020</t>
        </is>
      </c>
      <c r="S1599" t="inlineStr">
        <is>
          <t>Gaxeta da porta modelo 03</t>
        </is>
      </c>
      <c r="T1599" t="n">
        <v>1</v>
      </c>
      <c r="U1599" t="inlineStr"/>
      <c r="V1599">
        <f>IF(J1599="","",MONTH(J1599))</f>
        <v/>
      </c>
      <c r="W1599">
        <f>IF(J1599="","",YEAR(J1599))</f>
        <v/>
      </c>
      <c r="X1599" t="inlineStr"/>
      <c r="Y1599">
        <f>IFERROR(INDEX(Rastreio!$H$2:$H$200,MATCH(X1599&amp;"|"&amp;U1599,Rastreio!$A$2:$A$200,0)),"")</f>
        <v/>
      </c>
    </row>
    <row r="1600">
      <c r="A1600">
        <f>IFERROR(INDEX(STAs!$G$2:$G$61,MATCH(P1600,STAs!$F$2:$F$61,0))&amp;"","")</f>
        <v/>
      </c>
      <c r="B1600" t="n">
        <v>20014024</v>
      </c>
      <c r="C1600" t="inlineStr">
        <is>
          <t>Sim</t>
        </is>
      </c>
      <c r="D1600" t="inlineStr">
        <is>
          <t>PR</t>
        </is>
      </c>
      <c r="E1600" t="inlineStr">
        <is>
          <t>SUL</t>
        </is>
      </c>
      <c r="F1600" t="inlineStr">
        <is>
          <t>Cliente B - Chopeira</t>
        </is>
      </c>
      <c r="G1600" t="inlineStr">
        <is>
          <t>Refrigeradores</t>
        </is>
      </c>
      <c r="H1600" s="10" t="n">
        <v>65</v>
      </c>
      <c r="I1600" s="10">
        <f>IFERROR(T1600*H1600,0)</f>
        <v/>
      </c>
      <c r="J1600" s="11" t="n">
        <v>46194</v>
      </c>
      <c r="K1600" s="11" t="n">
        <v>46203</v>
      </c>
      <c r="L1600" t="inlineStr">
        <is>
          <t>Ok. Devolvida</t>
        </is>
      </c>
      <c r="M1600">
        <f>IF(L1600="","",IFERROR(VLOOKUP(L1600,mapGrupoStatus,2,0),"Outros"))</f>
        <v/>
      </c>
      <c r="N1600">
        <f>IF(O1600="","",IF(O1600&lt;=30,"0-30 dias",IF(O1600&lt;=60,"31-60 dias",IF(O1600&lt;=90,"61-90 dias","Mais de 90 dias"))))</f>
        <v/>
      </c>
      <c r="O1600">
        <f>IF(OR(M1600="Pendente",M1600="Em andamento"),IF(J1600="","",TODAY()-J1600),"")</f>
        <v/>
      </c>
      <c r="P1600" t="n">
        <v>10913</v>
      </c>
      <c r="Q1600" t="inlineStr">
        <is>
          <t>Ice Tech &amp; Cia (10913)</t>
        </is>
      </c>
      <c r="R1600" t="inlineStr">
        <is>
          <t>PC-0010</t>
        </is>
      </c>
      <c r="S1600" t="inlineStr">
        <is>
          <t>Ventilador modelo 04</t>
        </is>
      </c>
      <c r="T1600" t="n">
        <v>1</v>
      </c>
      <c r="U1600" t="n">
        <v>128</v>
      </c>
      <c r="V1600">
        <f>IF(J1600="","",MONTH(J1600))</f>
        <v/>
      </c>
      <c r="W1600">
        <f>IF(J1600="","",YEAR(J1600))</f>
        <v/>
      </c>
      <c r="X1600" t="inlineStr">
        <is>
          <t>ViaCargo</t>
        </is>
      </c>
      <c r="Y1600">
        <f>IFERROR(INDEX(Rastreio!$H$2:$H$200,MATCH(X1600&amp;"|"&amp;U1600,Rastreio!$A$2:$A$200,0)),"")</f>
        <v/>
      </c>
    </row>
    <row r="1601">
      <c r="A1601">
        <f>IFERROR(INDEX(STAs!$G$2:$G$61,MATCH(P1601,STAs!$F$2:$F$61,0))&amp;"","")</f>
        <v/>
      </c>
      <c r="B1601" t="n">
        <v>20017523</v>
      </c>
      <c r="C1601" t="inlineStr">
        <is>
          <t>Não</t>
        </is>
      </c>
      <c r="D1601" t="inlineStr">
        <is>
          <t>AM</t>
        </is>
      </c>
      <c r="E1601" t="inlineStr">
        <is>
          <t>NORTE</t>
        </is>
      </c>
      <c r="F1601" t="inlineStr">
        <is>
          <t>Cliente C - Misturador</t>
        </is>
      </c>
      <c r="G1601" t="inlineStr">
        <is>
          <t>Refrigeradores</t>
        </is>
      </c>
      <c r="H1601" s="10" t="n">
        <v>40</v>
      </c>
      <c r="I1601" s="10">
        <f>IFERROR(T1601*H1601,0)</f>
        <v/>
      </c>
      <c r="J1601" s="11" t="n">
        <v>46194</v>
      </c>
      <c r="K1601" s="11" t="n"/>
      <c r="L1601" t="inlineStr">
        <is>
          <t>Não Devolve-Norte</t>
        </is>
      </c>
      <c r="M1601">
        <f>IF(L1601="","",IFERROR(VLOOKUP(L1601,mapGrupoStatus,2,0),"Outros"))</f>
        <v/>
      </c>
      <c r="N1601">
        <f>IF(O1601="","",IF(O1601&lt;=30,"0-30 dias",IF(O1601&lt;=60,"31-60 dias",IF(O1601&lt;=90,"61-90 dias","Mais de 90 dias"))))</f>
        <v/>
      </c>
      <c r="O1601">
        <f>IF(OR(M1601="Pendente",M1601="Em andamento"),IF(J1601="","",TODAY()-J1601),"")</f>
        <v/>
      </c>
      <c r="P1601" t="n">
        <v>10842</v>
      </c>
      <c r="Q1601" t="inlineStr">
        <is>
          <t>Frigo &amp; Cia (10842)</t>
        </is>
      </c>
      <c r="R1601" t="inlineStr">
        <is>
          <t>PC-0004</t>
        </is>
      </c>
      <c r="S1601" t="inlineStr">
        <is>
          <t>Termostato modelo 01</t>
        </is>
      </c>
      <c r="T1601" t="n">
        <v>3</v>
      </c>
      <c r="U1601" t="inlineStr"/>
      <c r="V1601">
        <f>IF(J1601="","",MONTH(J1601))</f>
        <v/>
      </c>
      <c r="W1601">
        <f>IF(J1601="","",YEAR(J1601))</f>
        <v/>
      </c>
      <c r="X1601" t="inlineStr"/>
      <c r="Y1601">
        <f>IFERROR(INDEX(Rastreio!$H$2:$H$200,MATCH(X1601&amp;"|"&amp;U1601,Rastreio!$A$2:$A$200,0)),"")</f>
        <v/>
      </c>
    </row>
    <row r="1602">
      <c r="A1602">
        <f>IFERROR(INDEX(STAs!$G$2:$G$61,MATCH(P1602,STAs!$F$2:$F$61,0))&amp;"","")</f>
        <v/>
      </c>
      <c r="B1602" t="n">
        <v>20023077</v>
      </c>
      <c r="C1602" t="inlineStr">
        <is>
          <t>Não</t>
        </is>
      </c>
      <c r="D1602" t="inlineStr">
        <is>
          <t>RR</t>
        </is>
      </c>
      <c r="E1602" t="inlineStr">
        <is>
          <t>NORTE</t>
        </is>
      </c>
      <c r="F1602" t="inlineStr">
        <is>
          <t>Cliente B - Chopeira</t>
        </is>
      </c>
      <c r="G1602" t="inlineStr">
        <is>
          <t>Refrigeradores</t>
        </is>
      </c>
      <c r="H1602" s="10" t="n">
        <v>185</v>
      </c>
      <c r="I1602" s="10">
        <f>IFERROR(T1602*H1602,0)</f>
        <v/>
      </c>
      <c r="J1602" s="11" t="n">
        <v>46194</v>
      </c>
      <c r="K1602" s="11" t="n">
        <v>46223</v>
      </c>
      <c r="L1602" t="inlineStr">
        <is>
          <t>Ok. Devolvida</t>
        </is>
      </c>
      <c r="M1602">
        <f>IF(L1602="","",IFERROR(VLOOKUP(L1602,mapGrupoStatus,2,0),"Outros"))</f>
        <v/>
      </c>
      <c r="N1602">
        <f>IF(O1602="","",IF(O1602&lt;=30,"0-30 dias",IF(O1602&lt;=60,"31-60 dias",IF(O1602&lt;=90,"61-90 dias","Mais de 90 dias"))))</f>
        <v/>
      </c>
      <c r="O1602">
        <f>IF(OR(M1602="Pendente",M1602="Em andamento"),IF(J1602="","",TODAY()-J1602),"")</f>
        <v/>
      </c>
      <c r="P1602" t="n">
        <v>11818</v>
      </c>
      <c r="Q1602" t="inlineStr">
        <is>
          <t>Termotec Ltda (11818)</t>
        </is>
      </c>
      <c r="R1602" t="inlineStr">
        <is>
          <t>PC-0013</t>
        </is>
      </c>
      <c r="S1602" t="inlineStr">
        <is>
          <t>Placa eletrônica modelo 03</t>
        </is>
      </c>
      <c r="T1602" t="n">
        <v>1</v>
      </c>
      <c r="U1602" t="n">
        <v>142</v>
      </c>
      <c r="V1602">
        <f>IF(J1602="","",MONTH(J1602))</f>
        <v/>
      </c>
      <c r="W1602">
        <f>IF(J1602="","",YEAR(J1602))</f>
        <v/>
      </c>
      <c r="X1602" t="inlineStr">
        <is>
          <t>CargoMax</t>
        </is>
      </c>
      <c r="Y1602">
        <f>IFERROR(INDEX(Rastreio!$H$2:$H$200,MATCH(X1602&amp;"|"&amp;U1602,Rastreio!$A$2:$A$200,0)),"")</f>
        <v/>
      </c>
    </row>
    <row r="1603">
      <c r="A1603">
        <f>IFERROR(INDEX(STAs!$G$2:$G$61,MATCH(P1603,STAs!$F$2:$F$61,0))&amp;"","")</f>
        <v/>
      </c>
      <c r="B1603" t="n">
        <v>20026535</v>
      </c>
      <c r="C1603" t="inlineStr">
        <is>
          <t>Não</t>
        </is>
      </c>
      <c r="D1603" t="inlineStr">
        <is>
          <t>RR</t>
        </is>
      </c>
      <c r="E1603" t="inlineStr">
        <is>
          <t>NORTE</t>
        </is>
      </c>
      <c r="F1603" t="inlineStr">
        <is>
          <t>Cliente B - Chopeira</t>
        </is>
      </c>
      <c r="G1603" t="inlineStr">
        <is>
          <t>Misturadores</t>
        </is>
      </c>
      <c r="H1603" s="10" t="n">
        <v>35</v>
      </c>
      <c r="I1603" s="10">
        <f>IFERROR(T1603*H1603,0)</f>
        <v/>
      </c>
      <c r="J1603" s="11" t="n">
        <v>46194</v>
      </c>
      <c r="K1603" s="11" t="n"/>
      <c r="L1603" t="inlineStr">
        <is>
          <t>Não Devolve-Norte</t>
        </is>
      </c>
      <c r="M1603">
        <f>IF(L1603="","",IFERROR(VLOOKUP(L1603,mapGrupoStatus,2,0),"Outros"))</f>
        <v/>
      </c>
      <c r="N1603">
        <f>IF(O1603="","",IF(O1603&lt;=30,"0-30 dias",IF(O1603&lt;=60,"31-60 dias",IF(O1603&lt;=90,"61-90 dias","Mais de 90 dias"))))</f>
        <v/>
      </c>
      <c r="O1603">
        <f>IF(OR(M1603="Pendente",M1603="Em andamento"),IF(J1603="","",TODAY()-J1603),"")</f>
        <v/>
      </c>
      <c r="P1603" t="n">
        <v>12422</v>
      </c>
      <c r="Q1603" t="inlineStr">
        <is>
          <t>Assistência Técnica Refrigeração (12422)</t>
        </is>
      </c>
      <c r="R1603" t="inlineStr">
        <is>
          <t>PC-0043</t>
        </is>
      </c>
      <c r="S1603" t="inlineStr">
        <is>
          <t>Bico dosador modelo 02</t>
        </is>
      </c>
      <c r="T1603" t="n">
        <v>1</v>
      </c>
      <c r="U1603" t="inlineStr"/>
      <c r="V1603">
        <f>IF(J1603="","",MONTH(J1603))</f>
        <v/>
      </c>
      <c r="W1603">
        <f>IF(J1603="","",YEAR(J1603))</f>
        <v/>
      </c>
      <c r="X1603" t="inlineStr"/>
      <c r="Y1603">
        <f>IFERROR(INDEX(Rastreio!$H$2:$H$200,MATCH(X1603&amp;"|"&amp;U1603,Rastreio!$A$2:$A$200,0)),"")</f>
        <v/>
      </c>
    </row>
    <row r="1604">
      <c r="A1604">
        <f>IFERROR(INDEX(STAs!$G$2:$G$61,MATCH(P1604,STAs!$F$2:$F$61,0))&amp;"","")</f>
        <v/>
      </c>
      <c r="B1604" t="n">
        <v>20036090</v>
      </c>
      <c r="C1604" t="inlineStr">
        <is>
          <t>Não</t>
        </is>
      </c>
      <c r="D1604" t="inlineStr">
        <is>
          <t>PI</t>
        </is>
      </c>
      <c r="E1604" t="inlineStr">
        <is>
          <t>NORDESTE</t>
        </is>
      </c>
      <c r="F1604" t="inlineStr">
        <is>
          <t>Cliente B - Chopeira</t>
        </is>
      </c>
      <c r="G1604" t="inlineStr">
        <is>
          <t>Misturadores</t>
        </is>
      </c>
      <c r="H1604" s="10" t="n">
        <v>200</v>
      </c>
      <c r="I1604" s="10">
        <f>IFERROR(T1604*H1604,0)</f>
        <v/>
      </c>
      <c r="J1604" s="11" t="n">
        <v>46194</v>
      </c>
      <c r="K1604" s="11" t="n">
        <v>46223</v>
      </c>
      <c r="L1604" t="inlineStr">
        <is>
          <t>Ok. Devolvida</t>
        </is>
      </c>
      <c r="M1604">
        <f>IF(L1604="","",IFERROR(VLOOKUP(L1604,mapGrupoStatus,2,0),"Outros"))</f>
        <v/>
      </c>
      <c r="N1604">
        <f>IF(O1604="","",IF(O1604&lt;=30,"0-30 dias",IF(O1604&lt;=60,"31-60 dias",IF(O1604&lt;=90,"61-90 dias","Mais de 90 dias"))))</f>
        <v/>
      </c>
      <c r="O1604">
        <f>IF(OR(M1604="Pendente",M1604="Em andamento"),IF(J1604="","",TODAY()-J1604),"")</f>
        <v/>
      </c>
      <c r="P1604" t="n">
        <v>12936</v>
      </c>
      <c r="Q1604" t="inlineStr">
        <is>
          <t>Frigo Técnica (12936)</t>
        </is>
      </c>
      <c r="R1604" t="inlineStr">
        <is>
          <t>PC-0040</t>
        </is>
      </c>
      <c r="S1604" t="inlineStr">
        <is>
          <t>Motor agitador modelo 01</t>
        </is>
      </c>
      <c r="T1604" t="n">
        <v>1</v>
      </c>
      <c r="U1604" t="n">
        <v>164</v>
      </c>
      <c r="V1604">
        <f>IF(J1604="","",MONTH(J1604))</f>
        <v/>
      </c>
      <c r="W1604">
        <f>IF(J1604="","",YEAR(J1604))</f>
        <v/>
      </c>
      <c r="X1604" t="inlineStr">
        <is>
          <t>TransNorte</t>
        </is>
      </c>
      <c r="Y1604">
        <f>IFERROR(INDEX(Rastreio!$H$2:$H$200,MATCH(X1604&amp;"|"&amp;U1604,Rastreio!$A$2:$A$200,0)),"")</f>
        <v/>
      </c>
    </row>
    <row r="1605">
      <c r="A1605">
        <f>IFERROR(INDEX(STAs!$G$2:$G$61,MATCH(P1605,STAs!$F$2:$F$61,0))&amp;"","")</f>
        <v/>
      </c>
      <c r="B1605" t="n">
        <v>20037592</v>
      </c>
      <c r="C1605" t="inlineStr">
        <is>
          <t>Não</t>
        </is>
      </c>
      <c r="D1605" t="inlineStr">
        <is>
          <t>ES</t>
        </is>
      </c>
      <c r="E1605" t="inlineStr">
        <is>
          <t>SUDESTE RJ e ES</t>
        </is>
      </c>
      <c r="F1605" t="inlineStr">
        <is>
          <t>Cliente B - Chopeira</t>
        </is>
      </c>
      <c r="G1605" t="inlineStr">
        <is>
          <t>Chopeiras</t>
        </is>
      </c>
      <c r="H1605" s="10" t="n">
        <v>85</v>
      </c>
      <c r="I1605" s="10">
        <f>IFERROR(T1605*H1605,0)</f>
        <v/>
      </c>
      <c r="J1605" s="11" t="n">
        <v>46194</v>
      </c>
      <c r="K1605" s="11" t="n">
        <v>46251</v>
      </c>
      <c r="L1605" t="inlineStr">
        <is>
          <t>Ok. Devolvida</t>
        </is>
      </c>
      <c r="M1605">
        <f>IF(L1605="","",IFERROR(VLOOKUP(L1605,mapGrupoStatus,2,0),"Outros"))</f>
        <v/>
      </c>
      <c r="N1605">
        <f>IF(O1605="","",IF(O1605&lt;=30,"0-30 dias",IF(O1605&lt;=60,"31-60 dias",IF(O1605&lt;=90,"61-90 dias","Mais de 90 dias"))))</f>
        <v/>
      </c>
      <c r="O1605">
        <f>IF(OR(M1605="Pendente",M1605="Em andamento"),IF(J1605="","",TODAY()-J1605),"")</f>
        <v/>
      </c>
      <c r="P1605" t="n">
        <v>11099</v>
      </c>
      <c r="Q1605" t="inlineStr">
        <is>
          <t>Refrigel Serviços (11099)</t>
        </is>
      </c>
      <c r="R1605" t="inlineStr">
        <is>
          <t>PC-0035</t>
        </is>
      </c>
      <c r="S1605" t="inlineStr">
        <is>
          <t>Válvula extratora modelo 01</t>
        </is>
      </c>
      <c r="T1605" t="n">
        <v>1</v>
      </c>
      <c r="U1605" t="n">
        <v>165</v>
      </c>
      <c r="V1605">
        <f>IF(J1605="","",MONTH(J1605))</f>
        <v/>
      </c>
      <c r="W1605">
        <f>IF(J1605="","",YEAR(J1605))</f>
        <v/>
      </c>
      <c r="X1605" t="inlineStr">
        <is>
          <t>TransNorte</t>
        </is>
      </c>
      <c r="Y1605">
        <f>IFERROR(INDEX(Rastreio!$H$2:$H$200,MATCH(X1605&amp;"|"&amp;U1605,Rastreio!$A$2:$A$200,0)),"")</f>
        <v/>
      </c>
    </row>
    <row r="1606">
      <c r="A1606">
        <f>IFERROR(INDEX(STAs!$G$2:$G$61,MATCH(P1606,STAs!$F$2:$F$61,0))&amp;"","")</f>
        <v/>
      </c>
      <c r="B1606" t="n">
        <v>20009866</v>
      </c>
      <c r="C1606" t="inlineStr">
        <is>
          <t>Não</t>
        </is>
      </c>
      <c r="D1606" t="inlineStr">
        <is>
          <t>AM</t>
        </is>
      </c>
      <c r="E1606" t="inlineStr">
        <is>
          <t>NORTE</t>
        </is>
      </c>
      <c r="F1606" t="inlineStr">
        <is>
          <t>Cliente B - Chopeira</t>
        </is>
      </c>
      <c r="G1606" t="inlineStr">
        <is>
          <t>Chopeiras</t>
        </is>
      </c>
      <c r="H1606" s="10" t="n">
        <v>85</v>
      </c>
      <c r="I1606" s="10">
        <f>IFERROR(T1606*H1606,0)</f>
        <v/>
      </c>
      <c r="J1606" s="11" t="n">
        <v>46195</v>
      </c>
      <c r="K1606" s="11" t="n"/>
      <c r="L1606" t="inlineStr">
        <is>
          <t>Aguardando devolução</t>
        </is>
      </c>
      <c r="M1606">
        <f>IF(L1606="","",IFERROR(VLOOKUP(L1606,mapGrupoStatus,2,0),"Outros"))</f>
        <v/>
      </c>
      <c r="N1606">
        <f>IF(O1606="","",IF(O1606&lt;=30,"0-30 dias",IF(O1606&lt;=60,"31-60 dias",IF(O1606&lt;=90,"61-90 dias","Mais de 90 dias"))))</f>
        <v/>
      </c>
      <c r="O1606">
        <f>IF(OR(M1606="Pendente",M1606="Em andamento"),IF(J1606="","",TODAY()-J1606),"")</f>
        <v/>
      </c>
      <c r="P1606" t="n">
        <v>10842</v>
      </c>
      <c r="Q1606" t="inlineStr">
        <is>
          <t>Frigo &amp; Cia (10842)</t>
        </is>
      </c>
      <c r="R1606" t="inlineStr">
        <is>
          <t>PC-0036</t>
        </is>
      </c>
      <c r="S1606" t="inlineStr">
        <is>
          <t>Válvula extratora modelo 02</t>
        </is>
      </c>
      <c r="T1606" t="n">
        <v>1</v>
      </c>
      <c r="U1606" t="inlineStr"/>
      <c r="V1606">
        <f>IF(J1606="","",MONTH(J1606))</f>
        <v/>
      </c>
      <c r="W1606">
        <f>IF(J1606="","",YEAR(J1606))</f>
        <v/>
      </c>
      <c r="X1606" t="inlineStr"/>
      <c r="Y1606">
        <f>IFERROR(INDEX(Rastreio!$H$2:$H$200,MATCH(X1606&amp;"|"&amp;U1606,Rastreio!$A$2:$A$200,0)),"")</f>
        <v/>
      </c>
    </row>
    <row r="1607">
      <c r="A1607">
        <f>IFERROR(INDEX(STAs!$G$2:$G$61,MATCH(P1607,STAs!$F$2:$F$61,0))&amp;"","")</f>
        <v/>
      </c>
      <c r="B1607" t="n">
        <v>20011323</v>
      </c>
      <c r="C1607" t="inlineStr">
        <is>
          <t>Não</t>
        </is>
      </c>
      <c r="D1607" t="inlineStr">
        <is>
          <t>SP</t>
        </is>
      </c>
      <c r="E1607" t="inlineStr">
        <is>
          <t>SUDESTE SP</t>
        </is>
      </c>
      <c r="F1607" t="inlineStr">
        <is>
          <t>Cliente A - Refrigerador</t>
        </is>
      </c>
      <c r="G1607" t="inlineStr">
        <is>
          <t>Misturadores</t>
        </is>
      </c>
      <c r="H1607" s="10" t="n">
        <v>255</v>
      </c>
      <c r="I1607" s="10">
        <f>IFERROR(T1607*H1607,0)</f>
        <v/>
      </c>
      <c r="J1607" s="11" t="n">
        <v>46195</v>
      </c>
      <c r="K1607" s="11" t="n"/>
      <c r="L1607" t="inlineStr">
        <is>
          <t>Em andamento</t>
        </is>
      </c>
      <c r="M1607">
        <f>IF(L1607="","",IFERROR(VLOOKUP(L1607,mapGrupoStatus,2,0),"Outros"))</f>
        <v/>
      </c>
      <c r="N1607">
        <f>IF(O1607="","",IF(O1607&lt;=30,"0-30 dias",IF(O1607&lt;=60,"31-60 dias",IF(O1607&lt;=90,"61-90 dias","Mais de 90 dias"))))</f>
        <v/>
      </c>
      <c r="O1607">
        <f>IF(OR(M1607="Pendente",M1607="Em andamento"),IF(J1607="","",TODAY()-J1607),"")</f>
        <v/>
      </c>
      <c r="P1607" t="n">
        <v>10538</v>
      </c>
      <c r="Q1607" t="inlineStr">
        <is>
          <t>Frio Refrigeração (10538)</t>
        </is>
      </c>
      <c r="R1607" t="inlineStr">
        <is>
          <t>PC-0037</t>
        </is>
      </c>
      <c r="S1607" t="inlineStr">
        <is>
          <t>Bomba de recirculação modelo 01</t>
        </is>
      </c>
      <c r="T1607" t="n">
        <v>1</v>
      </c>
      <c r="U1607" t="n">
        <v>121</v>
      </c>
      <c r="V1607">
        <f>IF(J1607="","",MONTH(J1607))</f>
        <v/>
      </c>
      <c r="W1607">
        <f>IF(J1607="","",YEAR(J1607))</f>
        <v/>
      </c>
      <c r="X1607" t="inlineStr">
        <is>
          <t>LogExpress</t>
        </is>
      </c>
      <c r="Y1607">
        <f>IFERROR(INDEX(Rastreio!$H$2:$H$200,MATCH(X1607&amp;"|"&amp;U1607,Rastreio!$A$2:$A$200,0)),"")</f>
        <v/>
      </c>
    </row>
    <row r="1608">
      <c r="A1608">
        <f>IFERROR(INDEX(STAs!$G$2:$G$61,MATCH(P1608,STAs!$F$2:$F$61,0))&amp;"","")</f>
        <v/>
      </c>
      <c r="B1608" t="n">
        <v>20012687</v>
      </c>
      <c r="C1608" t="inlineStr">
        <is>
          <t>Não</t>
        </is>
      </c>
      <c r="D1608" t="inlineStr">
        <is>
          <t>PE</t>
        </is>
      </c>
      <c r="E1608" t="inlineStr">
        <is>
          <t>NORDESTE</t>
        </is>
      </c>
      <c r="F1608" t="inlineStr">
        <is>
          <t>Cliente B - Chopeira</t>
        </is>
      </c>
      <c r="G1608" t="inlineStr">
        <is>
          <t>Chopeiras</t>
        </is>
      </c>
      <c r="H1608" s="10" t="n">
        <v>210</v>
      </c>
      <c r="I1608" s="10">
        <f>IFERROR(T1608*H1608,0)</f>
        <v/>
      </c>
      <c r="J1608" s="11" t="n">
        <v>46195</v>
      </c>
      <c r="K1608" s="11" t="n">
        <v>46214</v>
      </c>
      <c r="L1608" t="inlineStr">
        <is>
          <t>Ok. Devolvida</t>
        </is>
      </c>
      <c r="M1608">
        <f>IF(L1608="","",IFERROR(VLOOKUP(L1608,mapGrupoStatus,2,0),"Outros"))</f>
        <v/>
      </c>
      <c r="N1608">
        <f>IF(O1608="","",IF(O1608&lt;=30,"0-30 dias",IF(O1608&lt;=60,"31-60 dias",IF(O1608&lt;=90,"61-90 dias","Mais de 90 dias"))))</f>
        <v/>
      </c>
      <c r="O1608">
        <f>IF(OR(M1608="Pendente",M1608="Em andamento"),IF(J1608="","",TODAY()-J1608),"")</f>
        <v/>
      </c>
      <c r="P1608" t="n">
        <v>11352</v>
      </c>
      <c r="Q1608" t="inlineStr">
        <is>
          <t>Frio Express (11352)</t>
        </is>
      </c>
      <c r="R1608" t="inlineStr">
        <is>
          <t>PC-0029</t>
        </is>
      </c>
      <c r="S1608" t="inlineStr">
        <is>
          <t>Serpentina modelo 01</t>
        </is>
      </c>
      <c r="T1608" t="n">
        <v>1</v>
      </c>
      <c r="U1608" t="n">
        <v>120</v>
      </c>
      <c r="V1608">
        <f>IF(J1608="","",MONTH(J1608))</f>
        <v/>
      </c>
      <c r="W1608">
        <f>IF(J1608="","",YEAR(J1608))</f>
        <v/>
      </c>
      <c r="X1608" t="inlineStr">
        <is>
          <t>RotaSul</t>
        </is>
      </c>
      <c r="Y1608">
        <f>IFERROR(INDEX(Rastreio!$H$2:$H$200,MATCH(X1608&amp;"|"&amp;U1608,Rastreio!$A$2:$A$200,0)),"")</f>
        <v/>
      </c>
    </row>
    <row r="1609">
      <c r="A1609">
        <f>IFERROR(INDEX(STAs!$G$2:$G$61,MATCH(P1609,STAs!$F$2:$F$61,0))&amp;"","")</f>
        <v/>
      </c>
      <c r="B1609" t="n">
        <v>20014175</v>
      </c>
      <c r="C1609" t="inlineStr">
        <is>
          <t>Não</t>
        </is>
      </c>
      <c r="D1609" t="inlineStr">
        <is>
          <t>TO</t>
        </is>
      </c>
      <c r="E1609" t="inlineStr">
        <is>
          <t>NORTE</t>
        </is>
      </c>
      <c r="F1609" t="inlineStr">
        <is>
          <t>Cliente C - Misturador</t>
        </is>
      </c>
      <c r="G1609" t="inlineStr">
        <is>
          <t>Refrigeradores</t>
        </is>
      </c>
      <c r="H1609" s="10" t="n">
        <v>35</v>
      </c>
      <c r="I1609" s="10">
        <f>IFERROR(T1609*H1609,0)</f>
        <v/>
      </c>
      <c r="J1609" s="11" t="n">
        <v>46195</v>
      </c>
      <c r="K1609" s="11" t="n"/>
      <c r="L1609" t="inlineStr">
        <is>
          <t>Não Devolve-Norte</t>
        </is>
      </c>
      <c r="M1609">
        <f>IF(L1609="","",IFERROR(VLOOKUP(L1609,mapGrupoStatus,2,0),"Outros"))</f>
        <v/>
      </c>
      <c r="N1609">
        <f>IF(O1609="","",IF(O1609&lt;=30,"0-30 dias",IF(O1609&lt;=60,"31-60 dias",IF(O1609&lt;=90,"61-90 dias","Mais de 90 dias"))))</f>
        <v/>
      </c>
      <c r="O1609">
        <f>IF(OR(M1609="Pendente",M1609="Em andamento"),IF(J1609="","",TODAY()-J1609),"")</f>
        <v/>
      </c>
      <c r="P1609" t="n">
        <v>10939</v>
      </c>
      <c r="Q1609" t="inlineStr">
        <is>
          <t>Zero Grau Manutenção (10939)</t>
        </is>
      </c>
      <c r="R1609" t="inlineStr">
        <is>
          <t>PC-0023</t>
        </is>
      </c>
      <c r="S1609" t="inlineStr">
        <is>
          <t>Relé de partida modelo 01</t>
        </is>
      </c>
      <c r="T1609" t="n">
        <v>1</v>
      </c>
      <c r="U1609" t="inlineStr"/>
      <c r="V1609">
        <f>IF(J1609="","",MONTH(J1609))</f>
        <v/>
      </c>
      <c r="W1609">
        <f>IF(J1609="","",YEAR(J1609))</f>
        <v/>
      </c>
      <c r="X1609" t="inlineStr"/>
      <c r="Y1609">
        <f>IFERROR(INDEX(Rastreio!$H$2:$H$200,MATCH(X1609&amp;"|"&amp;U1609,Rastreio!$A$2:$A$200,0)),"")</f>
        <v/>
      </c>
    </row>
    <row r="1610">
      <c r="A1610">
        <f>IFERROR(INDEX(STAs!$G$2:$G$61,MATCH(P1610,STAs!$F$2:$F$61,0))&amp;"","")</f>
        <v/>
      </c>
      <c r="B1610" t="n">
        <v>20019571</v>
      </c>
      <c r="C1610" t="inlineStr">
        <is>
          <t>Não</t>
        </is>
      </c>
      <c r="D1610" t="inlineStr">
        <is>
          <t>PE</t>
        </is>
      </c>
      <c r="E1610" t="inlineStr">
        <is>
          <t>NORDESTE</t>
        </is>
      </c>
      <c r="F1610" t="inlineStr">
        <is>
          <t>Cliente C - Misturador</t>
        </is>
      </c>
      <c r="G1610" t="inlineStr">
        <is>
          <t>Refrigeradores</t>
        </is>
      </c>
      <c r="H1610" s="10" t="n">
        <v>330</v>
      </c>
      <c r="I1610" s="10">
        <f>IFERROR(T1610*H1610,0)</f>
        <v/>
      </c>
      <c r="J1610" s="11" t="n">
        <v>46195</v>
      </c>
      <c r="K1610" s="11" t="n">
        <v>46240</v>
      </c>
      <c r="L1610" t="inlineStr">
        <is>
          <t>Ok. Devolvida</t>
        </is>
      </c>
      <c r="M1610">
        <f>IF(L1610="","",IFERROR(VLOOKUP(L1610,mapGrupoStatus,2,0),"Outros"))</f>
        <v/>
      </c>
      <c r="N1610">
        <f>IF(O1610="","",IF(O1610&lt;=30,"0-30 dias",IF(O1610&lt;=60,"31-60 dias",IF(O1610&lt;=90,"61-90 dias","Mais de 90 dias"))))</f>
        <v/>
      </c>
      <c r="O1610">
        <f>IF(OR(M1610="Pendente",M1610="Em andamento"),IF(J1610="","",TODAY()-J1610),"")</f>
        <v/>
      </c>
      <c r="P1610" t="n">
        <v>11352</v>
      </c>
      <c r="Q1610" t="inlineStr">
        <is>
          <t>Frio Express (11352)</t>
        </is>
      </c>
      <c r="R1610" t="inlineStr">
        <is>
          <t>PC-0003</t>
        </is>
      </c>
      <c r="S1610" t="inlineStr">
        <is>
          <t>Compressor modelo 03</t>
        </is>
      </c>
      <c r="T1610" t="n">
        <v>3</v>
      </c>
      <c r="U1610" t="n">
        <v>128</v>
      </c>
      <c r="V1610">
        <f>IF(J1610="","",MONTH(J1610))</f>
        <v/>
      </c>
      <c r="W1610">
        <f>IF(J1610="","",YEAR(J1610))</f>
        <v/>
      </c>
      <c r="X1610" t="inlineStr">
        <is>
          <t>EntregaJá</t>
        </is>
      </c>
      <c r="Y1610">
        <f>IFERROR(INDEX(Rastreio!$H$2:$H$200,MATCH(X1610&amp;"|"&amp;U1610,Rastreio!$A$2:$A$200,0)),"")</f>
        <v/>
      </c>
    </row>
    <row r="1611">
      <c r="A1611">
        <f>IFERROR(INDEX(STAs!$G$2:$G$61,MATCH(P1611,STAs!$F$2:$F$61,0))&amp;"","")</f>
        <v/>
      </c>
      <c r="B1611" t="n">
        <v>20029165</v>
      </c>
      <c r="C1611" t="inlineStr">
        <is>
          <t>Não</t>
        </is>
      </c>
      <c r="D1611" t="inlineStr">
        <is>
          <t>SP</t>
        </is>
      </c>
      <c r="E1611" t="inlineStr">
        <is>
          <t>SUDESTE SP</t>
        </is>
      </c>
      <c r="F1611" t="inlineStr">
        <is>
          <t>Cliente B - Chopeira</t>
        </is>
      </c>
      <c r="G1611" t="inlineStr">
        <is>
          <t>Chopeiras</t>
        </is>
      </c>
      <c r="H1611" s="10" t="n">
        <v>115</v>
      </c>
      <c r="I1611" s="10">
        <f>IFERROR(T1611*H1611,0)</f>
        <v/>
      </c>
      <c r="J1611" s="11" t="n">
        <v>46195</v>
      </c>
      <c r="K1611" s="11" t="n">
        <v>46249</v>
      </c>
      <c r="L1611" t="inlineStr">
        <is>
          <t>Ok. Devolvida</t>
        </is>
      </c>
      <c r="M1611">
        <f>IF(L1611="","",IFERROR(VLOOKUP(L1611,mapGrupoStatus,2,0),"Outros"))</f>
        <v/>
      </c>
      <c r="N1611">
        <f>IF(O1611="","",IF(O1611&lt;=30,"0-30 dias",IF(O1611&lt;=60,"31-60 dias",IF(O1611&lt;=90,"61-90 dias","Mais de 90 dias"))))</f>
        <v/>
      </c>
      <c r="O1611">
        <f>IF(OR(M1611="Pendente",M1611="Em andamento"),IF(J1611="","",TODAY()-J1611),"")</f>
        <v/>
      </c>
      <c r="P1611" t="n">
        <v>11365</v>
      </c>
      <c r="Q1611" t="inlineStr">
        <is>
          <t>Ártico Express (11365)</t>
        </is>
      </c>
      <c r="R1611" t="inlineStr">
        <is>
          <t>PC-0033</t>
        </is>
      </c>
      <c r="S1611" t="inlineStr">
        <is>
          <t>Regulador de pressão modelo 02</t>
        </is>
      </c>
      <c r="T1611" t="n">
        <v>1</v>
      </c>
      <c r="U1611" t="n">
        <v>150</v>
      </c>
      <c r="V1611">
        <f>IF(J1611="","",MONTH(J1611))</f>
        <v/>
      </c>
      <c r="W1611">
        <f>IF(J1611="","",YEAR(J1611))</f>
        <v/>
      </c>
      <c r="X1611" t="inlineStr">
        <is>
          <t>TransNorte</t>
        </is>
      </c>
      <c r="Y1611">
        <f>IFERROR(INDEX(Rastreio!$H$2:$H$200,MATCH(X1611&amp;"|"&amp;U1611,Rastreio!$A$2:$A$200,0)),"")</f>
        <v/>
      </c>
    </row>
    <row r="1612">
      <c r="A1612">
        <f>IFERROR(INDEX(STAs!$G$2:$G$61,MATCH(P1612,STAs!$F$2:$F$61,0))&amp;"","")</f>
        <v/>
      </c>
      <c r="B1612" t="n">
        <v>20030900</v>
      </c>
      <c r="C1612" t="inlineStr">
        <is>
          <t>Não</t>
        </is>
      </c>
      <c r="D1612" t="inlineStr">
        <is>
          <t>PR</t>
        </is>
      </c>
      <c r="E1612" t="inlineStr">
        <is>
          <t>SUL</t>
        </is>
      </c>
      <c r="F1612" t="inlineStr">
        <is>
          <t>Cliente A - Refrigerador</t>
        </is>
      </c>
      <c r="G1612" t="inlineStr">
        <is>
          <t>Chopeiras</t>
        </is>
      </c>
      <c r="H1612" s="10" t="n">
        <v>215</v>
      </c>
      <c r="I1612" s="10">
        <f>IFERROR(T1612*H1612,0)</f>
        <v/>
      </c>
      <c r="J1612" s="11" t="n">
        <v>46195</v>
      </c>
      <c r="K1612" s="11" t="n"/>
      <c r="L1612" t="inlineStr">
        <is>
          <t>Em andamento</t>
        </is>
      </c>
      <c r="M1612">
        <f>IF(L1612="","",IFERROR(VLOOKUP(L1612,mapGrupoStatus,2,0),"Outros"))</f>
        <v/>
      </c>
      <c r="N1612">
        <f>IF(O1612="","",IF(O1612&lt;=30,"0-30 dias",IF(O1612&lt;=60,"31-60 dias",IF(O1612&lt;=90,"61-90 dias","Mais de 90 dias"))))</f>
        <v/>
      </c>
      <c r="O1612">
        <f>IF(OR(M1612="Pendente",M1612="Em andamento"),IF(J1612="","",TODAY()-J1612),"")</f>
        <v/>
      </c>
      <c r="P1612" t="n">
        <v>11898</v>
      </c>
      <c r="Q1612" t="inlineStr">
        <is>
          <t>Refrigel Express (11898)</t>
        </is>
      </c>
      <c r="R1612" t="inlineStr">
        <is>
          <t>PC-0030</t>
        </is>
      </c>
      <c r="S1612" t="inlineStr">
        <is>
          <t>Serpentina modelo 02</t>
        </is>
      </c>
      <c r="T1612" t="n">
        <v>1</v>
      </c>
      <c r="U1612" t="n">
        <v>145</v>
      </c>
      <c r="V1612">
        <f>IF(J1612="","",MONTH(J1612))</f>
        <v/>
      </c>
      <c r="W1612">
        <f>IF(J1612="","",YEAR(J1612))</f>
        <v/>
      </c>
      <c r="X1612" t="inlineStr">
        <is>
          <t>EntregaJá</t>
        </is>
      </c>
      <c r="Y1612">
        <f>IFERROR(INDEX(Rastreio!$H$2:$H$200,MATCH(X1612&amp;"|"&amp;U1612,Rastreio!$A$2:$A$200,0)),"")</f>
        <v/>
      </c>
    </row>
    <row r="1613">
      <c r="A1613">
        <f>IFERROR(INDEX(STAs!$G$2:$G$61,MATCH(P1613,STAs!$F$2:$F$61,0))&amp;"","")</f>
        <v/>
      </c>
      <c r="B1613" t="n">
        <v>20033097</v>
      </c>
      <c r="C1613" t="inlineStr">
        <is>
          <t>Não</t>
        </is>
      </c>
      <c r="D1613" t="inlineStr">
        <is>
          <t>ES</t>
        </is>
      </c>
      <c r="E1613" t="inlineStr">
        <is>
          <t>SUDESTE RJ e ES</t>
        </is>
      </c>
      <c r="F1613" t="inlineStr">
        <is>
          <t>Cliente A - Refrigerador</t>
        </is>
      </c>
      <c r="G1613" t="inlineStr">
        <is>
          <t>Refrigeradores</t>
        </is>
      </c>
      <c r="H1613" s="10" t="n">
        <v>315</v>
      </c>
      <c r="I1613" s="10">
        <f>IFERROR(T1613*H1613,0)</f>
        <v/>
      </c>
      <c r="J1613" s="11" t="n">
        <v>46195</v>
      </c>
      <c r="K1613" s="11" t="n">
        <v>46239</v>
      </c>
      <c r="L1613" t="inlineStr">
        <is>
          <t>Ok. Devolvida</t>
        </is>
      </c>
      <c r="M1613">
        <f>IF(L1613="","",IFERROR(VLOOKUP(L1613,mapGrupoStatus,2,0),"Outros"))</f>
        <v/>
      </c>
      <c r="N1613">
        <f>IF(O1613="","",IF(O1613&lt;=30,"0-30 dias",IF(O1613&lt;=60,"31-60 dias",IF(O1613&lt;=90,"61-90 dias","Mais de 90 dias"))))</f>
        <v/>
      </c>
      <c r="O1613">
        <f>IF(OR(M1613="Pendente",M1613="Em andamento"),IF(J1613="","",TODAY()-J1613),"")</f>
        <v/>
      </c>
      <c r="P1613" t="n">
        <v>11396</v>
      </c>
      <c r="Q1613" t="inlineStr">
        <is>
          <t>Frio Manutenção (11396)</t>
        </is>
      </c>
      <c r="R1613" t="inlineStr">
        <is>
          <t>PC-0002</t>
        </is>
      </c>
      <c r="S1613" t="inlineStr">
        <is>
          <t>Compressor modelo 02</t>
        </is>
      </c>
      <c r="T1613" t="n">
        <v>1</v>
      </c>
      <c r="U1613" t="n">
        <v>159</v>
      </c>
      <c r="V1613">
        <f>IF(J1613="","",MONTH(J1613))</f>
        <v/>
      </c>
      <c r="W1613">
        <f>IF(J1613="","",YEAR(J1613))</f>
        <v/>
      </c>
      <c r="X1613" t="inlineStr">
        <is>
          <t>RotaSul</t>
        </is>
      </c>
      <c r="Y1613">
        <f>IFERROR(INDEX(Rastreio!$H$2:$H$200,MATCH(X1613&amp;"|"&amp;U1613,Rastreio!$A$2:$A$200,0)),"")</f>
        <v/>
      </c>
    </row>
    <row r="1614">
      <c r="A1614">
        <f>IFERROR(INDEX(STAs!$G$2:$G$61,MATCH(P1614,STAs!$F$2:$F$61,0))&amp;"","")</f>
        <v/>
      </c>
      <c r="B1614" t="n">
        <v>20034520</v>
      </c>
      <c r="C1614" t="inlineStr">
        <is>
          <t>Não</t>
        </is>
      </c>
      <c r="D1614" t="inlineStr">
        <is>
          <t>RJ</t>
        </is>
      </c>
      <c r="E1614" t="inlineStr">
        <is>
          <t>SUDESTE RJ e ES</t>
        </is>
      </c>
      <c r="F1614" t="inlineStr">
        <is>
          <t>Cliente B - Chopeira</t>
        </is>
      </c>
      <c r="G1614" t="inlineStr">
        <is>
          <t>Chopeiras</t>
        </is>
      </c>
      <c r="H1614" s="10" t="n">
        <v>215</v>
      </c>
      <c r="I1614" s="10">
        <f>IFERROR(T1614*H1614,0)</f>
        <v/>
      </c>
      <c r="J1614" s="11" t="n">
        <v>46195</v>
      </c>
      <c r="K1614" s="11" t="n"/>
      <c r="L1614" t="inlineStr">
        <is>
          <t>Aguardando devolução</t>
        </is>
      </c>
      <c r="M1614">
        <f>IF(L1614="","",IFERROR(VLOOKUP(L1614,mapGrupoStatus,2,0),"Outros"))</f>
        <v/>
      </c>
      <c r="N1614">
        <f>IF(O1614="","",IF(O1614&lt;=30,"0-30 dias",IF(O1614&lt;=60,"31-60 dias",IF(O1614&lt;=90,"61-90 dias","Mais de 90 dias"))))</f>
        <v/>
      </c>
      <c r="O1614">
        <f>IF(OR(M1614="Pendente",M1614="Em andamento"),IF(J1614="","",TODAY()-J1614),"")</f>
        <v/>
      </c>
      <c r="P1614" t="n">
        <v>10676</v>
      </c>
      <c r="Q1614" t="inlineStr">
        <is>
          <t>Clima Serviços (10676)</t>
        </is>
      </c>
      <c r="R1614" t="inlineStr">
        <is>
          <t>PC-0030</t>
        </is>
      </c>
      <c r="S1614" t="inlineStr">
        <is>
          <t>Serpentina modelo 02</t>
        </is>
      </c>
      <c r="T1614" t="n">
        <v>1</v>
      </c>
      <c r="U1614" t="inlineStr"/>
      <c r="V1614">
        <f>IF(J1614="","",MONTH(J1614))</f>
        <v/>
      </c>
      <c r="W1614">
        <f>IF(J1614="","",YEAR(J1614))</f>
        <v/>
      </c>
      <c r="X1614" t="inlineStr"/>
      <c r="Y1614">
        <f>IFERROR(INDEX(Rastreio!$H$2:$H$200,MATCH(X1614&amp;"|"&amp;U1614,Rastreio!$A$2:$A$200,0)),"")</f>
        <v/>
      </c>
    </row>
    <row r="1615">
      <c r="A1615">
        <f>IFERROR(INDEX(STAs!$G$2:$G$61,MATCH(P1615,STAs!$F$2:$F$61,0))&amp;"","")</f>
        <v/>
      </c>
      <c r="B1615" t="n">
        <v>20040906</v>
      </c>
      <c r="C1615" t="inlineStr">
        <is>
          <t>Sim</t>
        </is>
      </c>
      <c r="D1615" t="inlineStr">
        <is>
          <t>CE</t>
        </is>
      </c>
      <c r="E1615" t="inlineStr">
        <is>
          <t>NORDESTE</t>
        </is>
      </c>
      <c r="F1615" t="inlineStr">
        <is>
          <t>Cliente C - Misturador</t>
        </is>
      </c>
      <c r="G1615" t="inlineStr">
        <is>
          <t>Refrigeradores</t>
        </is>
      </c>
      <c r="H1615" s="10" t="n">
        <v>45</v>
      </c>
      <c r="I1615" s="10">
        <f>IFERROR(T1615*H1615,0)</f>
        <v/>
      </c>
      <c r="J1615" s="11" t="n">
        <v>46195</v>
      </c>
      <c r="K1615" s="11" t="n">
        <v>46213</v>
      </c>
      <c r="L1615" t="inlineStr">
        <is>
          <t>Ok. Devolvida</t>
        </is>
      </c>
      <c r="M1615">
        <f>IF(L1615="","",IFERROR(VLOOKUP(L1615,mapGrupoStatus,2,0),"Outros"))</f>
        <v/>
      </c>
      <c r="N1615">
        <f>IF(O1615="","",IF(O1615&lt;=30,"0-30 dias",IF(O1615&lt;=60,"31-60 dias",IF(O1615&lt;=90,"61-90 dias","Mais de 90 dias"))))</f>
        <v/>
      </c>
      <c r="O1615">
        <f>IF(OR(M1615="Pendente",M1615="Em andamento"),IF(J1615="","",TODAY()-J1615),"")</f>
        <v/>
      </c>
      <c r="P1615" t="n">
        <v>10615</v>
      </c>
      <c r="Q1615" t="inlineStr">
        <is>
          <t>Brisa Técnica (10615)</t>
        </is>
      </c>
      <c r="R1615" t="inlineStr">
        <is>
          <t>PC-0018</t>
        </is>
      </c>
      <c r="S1615" t="inlineStr">
        <is>
          <t>Gaxeta da porta modelo 01</t>
        </is>
      </c>
      <c r="T1615" t="n">
        <v>1</v>
      </c>
      <c r="U1615" t="n">
        <v>162</v>
      </c>
      <c r="V1615">
        <f>IF(J1615="","",MONTH(J1615))</f>
        <v/>
      </c>
      <c r="W1615">
        <f>IF(J1615="","",YEAR(J1615))</f>
        <v/>
      </c>
      <c r="X1615" t="inlineStr">
        <is>
          <t>EntregaJá</t>
        </is>
      </c>
      <c r="Y1615">
        <f>IFERROR(INDEX(Rastreio!$H$2:$H$200,MATCH(X1615&amp;"|"&amp;U1615,Rastreio!$A$2:$A$200,0)),"")</f>
        <v/>
      </c>
    </row>
    <row r="1616">
      <c r="A1616">
        <f>IFERROR(INDEX(STAs!$G$2:$G$61,MATCH(P1616,STAs!$F$2:$F$61,0))&amp;"","")</f>
        <v/>
      </c>
      <c r="B1616" t="n">
        <v>20000717</v>
      </c>
      <c r="C1616" t="inlineStr">
        <is>
          <t>Não</t>
        </is>
      </c>
      <c r="D1616" t="inlineStr">
        <is>
          <t>DF</t>
        </is>
      </c>
      <c r="E1616" t="inlineStr">
        <is>
          <t>CENTRO OESTE</t>
        </is>
      </c>
      <c r="F1616" t="inlineStr">
        <is>
          <t>Cliente C - Misturador</t>
        </is>
      </c>
      <c r="G1616" t="inlineStr">
        <is>
          <t>Misturadores</t>
        </is>
      </c>
      <c r="H1616" s="10" t="n">
        <v>50</v>
      </c>
      <c r="I1616" s="10">
        <f>IFERROR(T1616*H1616,0)</f>
        <v/>
      </c>
      <c r="J1616" s="11" t="n">
        <v>46196</v>
      </c>
      <c r="K1616" s="11" t="n">
        <v>46249</v>
      </c>
      <c r="L1616" t="inlineStr">
        <is>
          <t>Ok. Devolvida</t>
        </is>
      </c>
      <c r="M1616">
        <f>IF(L1616="","",IFERROR(VLOOKUP(L1616,mapGrupoStatus,2,0),"Outros"))</f>
        <v/>
      </c>
      <c r="N1616">
        <f>IF(O1616="","",IF(O1616&lt;=30,"0-30 dias",IF(O1616&lt;=60,"31-60 dias",IF(O1616&lt;=90,"61-90 dias","Mais de 90 dias"))))</f>
        <v/>
      </c>
      <c r="O1616">
        <f>IF(OR(M1616="Pendente",M1616="Em andamento"),IF(J1616="","",TODAY()-J1616),"")</f>
        <v/>
      </c>
      <c r="P1616" t="n">
        <v>10021</v>
      </c>
      <c r="Q1616" t="inlineStr">
        <is>
          <t>Termotec Técnica (10021)</t>
        </is>
      </c>
      <c r="R1616" t="inlineStr">
        <is>
          <t>PC-0044</t>
        </is>
      </c>
      <c r="S1616" t="inlineStr">
        <is>
          <t>Bico dosador modelo 03</t>
        </is>
      </c>
      <c r="T1616" t="n">
        <v>1</v>
      </c>
      <c r="U1616" t="n">
        <v>100</v>
      </c>
      <c r="V1616">
        <f>IF(J1616="","",MONTH(J1616))</f>
        <v/>
      </c>
      <c r="W1616">
        <f>IF(J1616="","",YEAR(J1616))</f>
        <v/>
      </c>
      <c r="X1616" t="inlineStr">
        <is>
          <t>TransNorte</t>
        </is>
      </c>
      <c r="Y1616">
        <f>IFERROR(INDEX(Rastreio!$H$2:$H$200,MATCH(X1616&amp;"|"&amp;U1616,Rastreio!$A$2:$A$200,0)),"")</f>
        <v/>
      </c>
    </row>
    <row r="1617">
      <c r="A1617">
        <f>IFERROR(INDEX(STAs!$G$2:$G$61,MATCH(P1617,STAs!$F$2:$F$61,0))&amp;"","")</f>
        <v/>
      </c>
      <c r="B1617" t="n">
        <v>20008580</v>
      </c>
      <c r="C1617" t="inlineStr">
        <is>
          <t>Sim</t>
        </is>
      </c>
      <c r="D1617" t="inlineStr">
        <is>
          <t>PR</t>
        </is>
      </c>
      <c r="E1617" t="inlineStr">
        <is>
          <t>SUL</t>
        </is>
      </c>
      <c r="F1617" t="inlineStr">
        <is>
          <t>Cliente B - Chopeira</t>
        </is>
      </c>
      <c r="G1617" t="inlineStr">
        <is>
          <t>Refrigeradores</t>
        </is>
      </c>
      <c r="H1617" s="10" t="n">
        <v>190</v>
      </c>
      <c r="I1617" s="10">
        <f>IFERROR(T1617*H1617,0)</f>
        <v/>
      </c>
      <c r="J1617" s="11" t="n">
        <v>46196</v>
      </c>
      <c r="K1617" s="11" t="n"/>
      <c r="L1617" t="inlineStr">
        <is>
          <t>Aguardando devolução</t>
        </is>
      </c>
      <c r="M1617">
        <f>IF(L1617="","",IFERROR(VLOOKUP(L1617,mapGrupoStatus,2,0),"Outros"))</f>
        <v/>
      </c>
      <c r="N1617">
        <f>IF(O1617="","",IF(O1617&lt;=30,"0-30 dias",IF(O1617&lt;=60,"31-60 dias",IF(O1617&lt;=90,"61-90 dias","Mais de 90 dias"))))</f>
        <v/>
      </c>
      <c r="O1617">
        <f>IF(OR(M1617="Pendente",M1617="Em andamento"),IF(J1617="","",TODAY()-J1617),"")</f>
        <v/>
      </c>
      <c r="P1617" t="n">
        <v>10913</v>
      </c>
      <c r="Q1617" t="inlineStr">
        <is>
          <t>Ice Tech &amp; Cia (10913)</t>
        </is>
      </c>
      <c r="R1617" t="inlineStr">
        <is>
          <t>PC-0014</t>
        </is>
      </c>
      <c r="S1617" t="inlineStr">
        <is>
          <t>Placa eletrônica modelo 04</t>
        </is>
      </c>
      <c r="T1617" t="n">
        <v>1</v>
      </c>
      <c r="U1617" t="inlineStr"/>
      <c r="V1617">
        <f>IF(J1617="","",MONTH(J1617))</f>
        <v/>
      </c>
      <c r="W1617">
        <f>IF(J1617="","",YEAR(J1617))</f>
        <v/>
      </c>
      <c r="X1617" t="inlineStr"/>
      <c r="Y1617">
        <f>IFERROR(INDEX(Rastreio!$H$2:$H$200,MATCH(X1617&amp;"|"&amp;U1617,Rastreio!$A$2:$A$200,0)),"")</f>
        <v/>
      </c>
    </row>
    <row r="1618">
      <c r="A1618">
        <f>IFERROR(INDEX(STAs!$G$2:$G$61,MATCH(P1618,STAs!$F$2:$F$61,0))&amp;"","")</f>
        <v/>
      </c>
      <c r="B1618" t="n">
        <v>20008958</v>
      </c>
      <c r="C1618" t="inlineStr">
        <is>
          <t>Sim</t>
        </is>
      </c>
      <c r="D1618" t="inlineStr">
        <is>
          <t>SP</t>
        </is>
      </c>
      <c r="E1618" t="inlineStr">
        <is>
          <t>SUDESTE SP</t>
        </is>
      </c>
      <c r="F1618" t="inlineStr">
        <is>
          <t>Cliente C - Misturador</t>
        </is>
      </c>
      <c r="G1618" t="inlineStr">
        <is>
          <t>Misturadores</t>
        </is>
      </c>
      <c r="H1618" s="10" t="n">
        <v>60</v>
      </c>
      <c r="I1618" s="10">
        <f>IFERROR(T1618*H1618,0)</f>
        <v/>
      </c>
      <c r="J1618" s="11" t="n">
        <v>46196</v>
      </c>
      <c r="K1618" s="11" t="n"/>
      <c r="L1618" t="inlineStr">
        <is>
          <t>Aguardando Transporte</t>
        </is>
      </c>
      <c r="M1618">
        <f>IF(L1618="","",IFERROR(VLOOKUP(L1618,mapGrupoStatus,2,0),"Outros"))</f>
        <v/>
      </c>
      <c r="N1618">
        <f>IF(O1618="","",IF(O1618&lt;=30,"0-30 dias",IF(O1618&lt;=60,"31-60 dias",IF(O1618&lt;=90,"61-90 dias","Mais de 90 dias"))))</f>
        <v/>
      </c>
      <c r="O1618">
        <f>IF(OR(M1618="Pendente",M1618="Em andamento"),IF(J1618="","",TODAY()-J1618),"")</f>
        <v/>
      </c>
      <c r="P1618" t="n">
        <v>10010</v>
      </c>
      <c r="Q1618" t="inlineStr">
        <is>
          <t>Cool Service ME (10010)</t>
        </is>
      </c>
      <c r="R1618" t="inlineStr">
        <is>
          <t>PC-0046</t>
        </is>
      </c>
      <c r="S1618" t="inlineStr">
        <is>
          <t>Sensor de nível modelo 02</t>
        </is>
      </c>
      <c r="T1618" t="n">
        <v>2</v>
      </c>
      <c r="U1618" t="n">
        <v>114</v>
      </c>
      <c r="V1618">
        <f>IF(J1618="","",MONTH(J1618))</f>
        <v/>
      </c>
      <c r="W1618">
        <f>IF(J1618="","",YEAR(J1618))</f>
        <v/>
      </c>
      <c r="X1618" t="inlineStr">
        <is>
          <t>TransNorte</t>
        </is>
      </c>
      <c r="Y1618">
        <f>IFERROR(INDEX(Rastreio!$H$2:$H$200,MATCH(X1618&amp;"|"&amp;U1618,Rastreio!$A$2:$A$200,0)),"")</f>
        <v/>
      </c>
    </row>
    <row r="1619">
      <c r="A1619">
        <f>IFERROR(INDEX(STAs!$G$2:$G$61,MATCH(P1619,STAs!$F$2:$F$61,0))&amp;"","")</f>
        <v/>
      </c>
      <c r="B1619" t="n">
        <v>20010708</v>
      </c>
      <c r="C1619" t="inlineStr">
        <is>
          <t>Sim</t>
        </is>
      </c>
      <c r="D1619" t="inlineStr">
        <is>
          <t>SP</t>
        </is>
      </c>
      <c r="E1619" t="inlineStr">
        <is>
          <t>SUDESTE SP</t>
        </is>
      </c>
      <c r="F1619" t="inlineStr">
        <is>
          <t>Cliente A - Refrigerador</t>
        </is>
      </c>
      <c r="G1619" t="inlineStr">
        <is>
          <t>Misturadores</t>
        </is>
      </c>
      <c r="H1619" s="10" t="n">
        <v>60</v>
      </c>
      <c r="I1619" s="10">
        <f>IFERROR(T1619*H1619,0)</f>
        <v/>
      </c>
      <c r="J1619" s="11" t="n">
        <v>46196</v>
      </c>
      <c r="K1619" s="11" t="n">
        <v>46234</v>
      </c>
      <c r="L1619" t="inlineStr">
        <is>
          <t>Ok. Devolvida</t>
        </is>
      </c>
      <c r="M1619">
        <f>IF(L1619="","",IFERROR(VLOOKUP(L1619,mapGrupoStatus,2,0),"Outros"))</f>
        <v/>
      </c>
      <c r="N1619">
        <f>IF(O1619="","",IF(O1619&lt;=30,"0-30 dias",IF(O1619&lt;=60,"31-60 dias",IF(O1619&lt;=90,"61-90 dias","Mais de 90 dias"))))</f>
        <v/>
      </c>
      <c r="O1619">
        <f>IF(OR(M1619="Pendente",M1619="Em andamento"),IF(J1619="","",TODAY()-J1619),"")</f>
        <v/>
      </c>
      <c r="P1619" t="n">
        <v>10010</v>
      </c>
      <c r="Q1619" t="inlineStr">
        <is>
          <t>Cool Service ME (10010)</t>
        </is>
      </c>
      <c r="R1619" t="inlineStr">
        <is>
          <t>PC-0046</t>
        </is>
      </c>
      <c r="S1619" t="inlineStr">
        <is>
          <t>Sensor de nível modelo 02</t>
        </is>
      </c>
      <c r="T1619" t="n">
        <v>1</v>
      </c>
      <c r="U1619" t="n">
        <v>120</v>
      </c>
      <c r="V1619">
        <f>IF(J1619="","",MONTH(J1619))</f>
        <v/>
      </c>
      <c r="W1619">
        <f>IF(J1619="","",YEAR(J1619))</f>
        <v/>
      </c>
      <c r="X1619" t="inlineStr">
        <is>
          <t>LogExpress</t>
        </is>
      </c>
      <c r="Y1619">
        <f>IFERROR(INDEX(Rastreio!$H$2:$H$200,MATCH(X1619&amp;"|"&amp;U1619,Rastreio!$A$2:$A$200,0)),"")</f>
        <v/>
      </c>
    </row>
    <row r="1620">
      <c r="A1620">
        <f>IFERROR(INDEX(STAs!$G$2:$G$61,MATCH(P1620,STAs!$F$2:$F$61,0))&amp;"","")</f>
        <v/>
      </c>
      <c r="B1620" t="n">
        <v>20021574</v>
      </c>
      <c r="C1620" t="inlineStr">
        <is>
          <t>Não</t>
        </is>
      </c>
      <c r="D1620" t="inlineStr">
        <is>
          <t>DF</t>
        </is>
      </c>
      <c r="E1620" t="inlineStr">
        <is>
          <t>CENTRO OESTE</t>
        </is>
      </c>
      <c r="F1620" t="inlineStr">
        <is>
          <t>Cliente B - Chopeira</t>
        </is>
      </c>
      <c r="G1620" t="inlineStr">
        <is>
          <t>Refrigeradores</t>
        </is>
      </c>
      <c r="H1620" s="10" t="n">
        <v>35</v>
      </c>
      <c r="I1620" s="10">
        <f>IFERROR(T1620*H1620,0)</f>
        <v/>
      </c>
      <c r="J1620" s="11" t="n">
        <v>46196</v>
      </c>
      <c r="K1620" s="11" t="n"/>
      <c r="L1620" t="inlineStr">
        <is>
          <t>NF Vencida</t>
        </is>
      </c>
      <c r="M1620">
        <f>IF(L1620="","",IFERROR(VLOOKUP(L1620,mapGrupoStatus,2,0),"Outros"))</f>
        <v/>
      </c>
      <c r="N1620">
        <f>IF(O1620="","",IF(O1620&lt;=30,"0-30 dias",IF(O1620&lt;=60,"31-60 dias",IF(O1620&lt;=90,"61-90 dias","Mais de 90 dias"))))</f>
        <v/>
      </c>
      <c r="O1620">
        <f>IF(OR(M1620="Pendente",M1620="Em andamento"),IF(J1620="","",TODAY()-J1620),"")</f>
        <v/>
      </c>
      <c r="P1620" t="n">
        <v>10021</v>
      </c>
      <c r="Q1620" t="inlineStr">
        <is>
          <t>Termotec Técnica (10021)</t>
        </is>
      </c>
      <c r="R1620" t="inlineStr">
        <is>
          <t>PC-0024</t>
        </is>
      </c>
      <c r="S1620" t="inlineStr">
        <is>
          <t>Relé de partida modelo 02</t>
        </is>
      </c>
      <c r="T1620" t="n">
        <v>2</v>
      </c>
      <c r="U1620" t="inlineStr"/>
      <c r="V1620">
        <f>IF(J1620="","",MONTH(J1620))</f>
        <v/>
      </c>
      <c r="W1620">
        <f>IF(J1620="","",YEAR(J1620))</f>
        <v/>
      </c>
      <c r="X1620" t="inlineStr"/>
      <c r="Y1620">
        <f>IFERROR(INDEX(Rastreio!$H$2:$H$200,MATCH(X1620&amp;"|"&amp;U1620,Rastreio!$A$2:$A$200,0)),"")</f>
        <v/>
      </c>
    </row>
    <row r="1621">
      <c r="A1621">
        <f>IFERROR(INDEX(STAs!$G$2:$G$61,MATCH(P1621,STAs!$F$2:$F$61,0))&amp;"","")</f>
        <v/>
      </c>
      <c r="B1621" t="n">
        <v>20024945</v>
      </c>
      <c r="C1621" t="inlineStr">
        <is>
          <t>Não</t>
        </is>
      </c>
      <c r="D1621" t="inlineStr">
        <is>
          <t>SC</t>
        </is>
      </c>
      <c r="E1621" t="inlineStr">
        <is>
          <t>SUL</t>
        </is>
      </c>
      <c r="F1621" t="inlineStr">
        <is>
          <t>Cliente C - Misturador</t>
        </is>
      </c>
      <c r="G1621" t="inlineStr">
        <is>
          <t>Chopeiras</t>
        </is>
      </c>
      <c r="H1621" s="10" t="n">
        <v>100</v>
      </c>
      <c r="I1621" s="10">
        <f>IFERROR(T1621*H1621,0)</f>
        <v/>
      </c>
      <c r="J1621" s="11" t="n">
        <v>46196</v>
      </c>
      <c r="K1621" s="11" t="n"/>
      <c r="L1621" t="inlineStr">
        <is>
          <t>Aguardando devolução</t>
        </is>
      </c>
      <c r="M1621">
        <f>IF(L1621="","",IFERROR(VLOOKUP(L1621,mapGrupoStatus,2,0),"Outros"))</f>
        <v/>
      </c>
      <c r="N1621">
        <f>IF(O1621="","",IF(O1621&lt;=30,"0-30 dias",IF(O1621&lt;=60,"31-60 dias",IF(O1621&lt;=90,"61-90 dias","Mais de 90 dias"))))</f>
        <v/>
      </c>
      <c r="O1621">
        <f>IF(OR(M1621="Pendente",M1621="Em andamento"),IF(J1621="","",TODAY()-J1621),"")</f>
        <v/>
      </c>
      <c r="P1621" t="n">
        <v>12138</v>
      </c>
      <c r="Q1621" t="inlineStr">
        <is>
          <t>Refrigeração Serviços (12138)</t>
        </is>
      </c>
      <c r="R1621" t="inlineStr">
        <is>
          <t>PC-0027</t>
        </is>
      </c>
      <c r="S1621" t="inlineStr">
        <is>
          <t>Torneira de chopp modelo 02</t>
        </is>
      </c>
      <c r="T1621" t="n">
        <v>1</v>
      </c>
      <c r="U1621" t="inlineStr"/>
      <c r="V1621">
        <f>IF(J1621="","",MONTH(J1621))</f>
        <v/>
      </c>
      <c r="W1621">
        <f>IF(J1621="","",YEAR(J1621))</f>
        <v/>
      </c>
      <c r="X1621" t="inlineStr"/>
      <c r="Y1621">
        <f>IFERROR(INDEX(Rastreio!$H$2:$H$200,MATCH(X1621&amp;"|"&amp;U1621,Rastreio!$A$2:$A$200,0)),"")</f>
        <v/>
      </c>
    </row>
    <row r="1622">
      <c r="A1622">
        <f>IFERROR(INDEX(STAs!$G$2:$G$61,MATCH(P1622,STAs!$F$2:$F$61,0))&amp;"","")</f>
        <v/>
      </c>
      <c r="B1622" t="n">
        <v>20026867</v>
      </c>
      <c r="C1622" t="inlineStr">
        <is>
          <t>Não</t>
        </is>
      </c>
      <c r="D1622" t="inlineStr">
        <is>
          <t>ES</t>
        </is>
      </c>
      <c r="E1622" t="inlineStr">
        <is>
          <t>SUDESTE RJ e ES</t>
        </is>
      </c>
      <c r="F1622" t="inlineStr">
        <is>
          <t>Cliente A - Refrigerador</t>
        </is>
      </c>
      <c r="G1622" t="inlineStr">
        <is>
          <t>Refrigeradores</t>
        </is>
      </c>
      <c r="H1622" s="10" t="n">
        <v>190</v>
      </c>
      <c r="I1622" s="10">
        <f>IFERROR(T1622*H1622,0)</f>
        <v/>
      </c>
      <c r="J1622" s="11" t="n">
        <v>46196</v>
      </c>
      <c r="K1622" s="11" t="n"/>
      <c r="L1622" t="inlineStr">
        <is>
          <t>Em andamento</t>
        </is>
      </c>
      <c r="M1622">
        <f>IF(L1622="","",IFERROR(VLOOKUP(L1622,mapGrupoStatus,2,0),"Outros"))</f>
        <v/>
      </c>
      <c r="N1622">
        <f>IF(O1622="","",IF(O1622&lt;=30,"0-30 dias",IF(O1622&lt;=60,"31-60 dias",IF(O1622&lt;=90,"61-90 dias","Mais de 90 dias"))))</f>
        <v/>
      </c>
      <c r="O1622">
        <f>IF(OR(M1622="Pendente",M1622="Em andamento"),IF(J1622="","",TODAY()-J1622),"")</f>
        <v/>
      </c>
      <c r="P1622" t="n">
        <v>11396</v>
      </c>
      <c r="Q1622" t="inlineStr">
        <is>
          <t>Frio Manutenção (11396)</t>
        </is>
      </c>
      <c r="R1622" t="inlineStr">
        <is>
          <t>PC-0011</t>
        </is>
      </c>
      <c r="S1622" t="inlineStr">
        <is>
          <t>Placa eletrônica modelo 01</t>
        </is>
      </c>
      <c r="T1622" t="n">
        <v>1</v>
      </c>
      <c r="U1622" t="n">
        <v>148</v>
      </c>
      <c r="V1622">
        <f>IF(J1622="","",MONTH(J1622))</f>
        <v/>
      </c>
      <c r="W1622">
        <f>IF(J1622="","",YEAR(J1622))</f>
        <v/>
      </c>
      <c r="X1622" t="inlineStr">
        <is>
          <t>TransNorte</t>
        </is>
      </c>
      <c r="Y1622">
        <f>IFERROR(INDEX(Rastreio!$H$2:$H$200,MATCH(X1622&amp;"|"&amp;U1622,Rastreio!$A$2:$A$200,0)),"")</f>
        <v/>
      </c>
    </row>
    <row r="1623">
      <c r="A1623">
        <f>IFERROR(INDEX(STAs!$G$2:$G$61,MATCH(P1623,STAs!$F$2:$F$61,0))&amp;"","")</f>
        <v/>
      </c>
      <c r="B1623" t="n">
        <v>20033135</v>
      </c>
      <c r="C1623" t="inlineStr">
        <is>
          <t>Não</t>
        </is>
      </c>
      <c r="D1623" t="inlineStr">
        <is>
          <t>PI</t>
        </is>
      </c>
      <c r="E1623" t="inlineStr">
        <is>
          <t>NORDESTE</t>
        </is>
      </c>
      <c r="F1623" t="inlineStr">
        <is>
          <t>Cliente A - Refrigerador</t>
        </is>
      </c>
      <c r="G1623" t="inlineStr">
        <is>
          <t>Misturadores</t>
        </is>
      </c>
      <c r="H1623" s="10" t="n">
        <v>255</v>
      </c>
      <c r="I1623" s="10">
        <f>IFERROR(T1623*H1623,0)</f>
        <v/>
      </c>
      <c r="J1623" s="11" t="n">
        <v>46196</v>
      </c>
      <c r="K1623" s="11" t="n">
        <v>46250</v>
      </c>
      <c r="L1623" t="inlineStr">
        <is>
          <t>Ok. Devolvida</t>
        </is>
      </c>
      <c r="M1623">
        <f>IF(L1623="","",IFERROR(VLOOKUP(L1623,mapGrupoStatus,2,0),"Outros"))</f>
        <v/>
      </c>
      <c r="N1623">
        <f>IF(O1623="","",IF(O1623&lt;=30,"0-30 dias",IF(O1623&lt;=60,"31-60 dias",IF(O1623&lt;=90,"61-90 dias","Mais de 90 dias"))))</f>
        <v/>
      </c>
      <c r="O1623">
        <f>IF(OR(M1623="Pendente",M1623="Em andamento"),IF(J1623="","",TODAY()-J1623),"")</f>
        <v/>
      </c>
      <c r="P1623" t="n">
        <v>10562</v>
      </c>
      <c r="Q1623" t="inlineStr">
        <is>
          <t>Clima &amp; Cia (10562)</t>
        </is>
      </c>
      <c r="R1623" t="inlineStr">
        <is>
          <t>PC-0037</t>
        </is>
      </c>
      <c r="S1623" t="inlineStr">
        <is>
          <t>Bomba de recirculação modelo 01</t>
        </is>
      </c>
      <c r="T1623" t="n">
        <v>1</v>
      </c>
      <c r="U1623" t="n">
        <v>159</v>
      </c>
      <c r="V1623">
        <f>IF(J1623="","",MONTH(J1623))</f>
        <v/>
      </c>
      <c r="W1623">
        <f>IF(J1623="","",YEAR(J1623))</f>
        <v/>
      </c>
      <c r="X1623" t="inlineStr">
        <is>
          <t>TransNorte</t>
        </is>
      </c>
      <c r="Y1623">
        <f>IFERROR(INDEX(Rastreio!$H$2:$H$200,MATCH(X1623&amp;"|"&amp;U1623,Rastreio!$A$2:$A$200,0)),"")</f>
        <v/>
      </c>
    </row>
    <row r="1624">
      <c r="A1624">
        <f>IFERROR(INDEX(STAs!$G$2:$G$61,MATCH(P1624,STAs!$F$2:$F$61,0))&amp;"","")</f>
        <v/>
      </c>
      <c r="B1624" t="n">
        <v>20004423</v>
      </c>
      <c r="C1624" t="inlineStr">
        <is>
          <t>Não</t>
        </is>
      </c>
      <c r="D1624" t="inlineStr">
        <is>
          <t>AM</t>
        </is>
      </c>
      <c r="E1624" t="inlineStr">
        <is>
          <t>NORTE</t>
        </is>
      </c>
      <c r="F1624" t="inlineStr">
        <is>
          <t>Cliente C - Misturador</t>
        </is>
      </c>
      <c r="G1624" t="inlineStr">
        <is>
          <t>Refrigeradores</t>
        </is>
      </c>
      <c r="H1624" s="10" t="n">
        <v>325</v>
      </c>
      <c r="I1624" s="10">
        <f>IFERROR(T1624*H1624,0)</f>
        <v/>
      </c>
      <c r="J1624" s="11" t="n">
        <v>46197</v>
      </c>
      <c r="K1624" s="11" t="n"/>
      <c r="L1624" t="inlineStr">
        <is>
          <t>Não Devolve-Norte</t>
        </is>
      </c>
      <c r="M1624">
        <f>IF(L1624="","",IFERROR(VLOOKUP(L1624,mapGrupoStatus,2,0),"Outros"))</f>
        <v/>
      </c>
      <c r="N1624">
        <f>IF(O1624="","",IF(O1624&lt;=30,"0-30 dias",IF(O1624&lt;=60,"31-60 dias",IF(O1624&lt;=90,"61-90 dias","Mais de 90 dias"))))</f>
        <v/>
      </c>
      <c r="O1624">
        <f>IF(OR(M1624="Pendente",M1624="Em andamento"),IF(J1624="","",TODAY()-J1624),"")</f>
        <v/>
      </c>
      <c r="P1624" t="n">
        <v>10842</v>
      </c>
      <c r="Q1624" t="inlineStr">
        <is>
          <t>Frigo &amp; Cia (10842)</t>
        </is>
      </c>
      <c r="R1624" t="inlineStr">
        <is>
          <t>PC-0001</t>
        </is>
      </c>
      <c r="S1624" t="inlineStr">
        <is>
          <t>Compressor modelo 01</t>
        </is>
      </c>
      <c r="T1624" t="n">
        <v>1</v>
      </c>
      <c r="U1624" t="inlineStr"/>
      <c r="V1624">
        <f>IF(J1624="","",MONTH(J1624))</f>
        <v/>
      </c>
      <c r="W1624">
        <f>IF(J1624="","",YEAR(J1624))</f>
        <v/>
      </c>
      <c r="X1624" t="inlineStr"/>
      <c r="Y1624">
        <f>IFERROR(INDEX(Rastreio!$H$2:$H$200,MATCH(X1624&amp;"|"&amp;U1624,Rastreio!$A$2:$A$200,0)),"")</f>
        <v/>
      </c>
    </row>
    <row r="1625">
      <c r="A1625">
        <f>IFERROR(INDEX(STAs!$G$2:$G$61,MATCH(P1625,STAs!$F$2:$F$61,0))&amp;"","")</f>
        <v/>
      </c>
      <c r="B1625" t="n">
        <v>20015713</v>
      </c>
      <c r="C1625" t="inlineStr">
        <is>
          <t>Não</t>
        </is>
      </c>
      <c r="D1625" t="inlineStr">
        <is>
          <t>MG</t>
        </is>
      </c>
      <c r="E1625" t="inlineStr">
        <is>
          <t>SUDESTE MG</t>
        </is>
      </c>
      <c r="F1625" t="inlineStr">
        <is>
          <t>Cliente B - Chopeira</t>
        </is>
      </c>
      <c r="G1625" t="inlineStr">
        <is>
          <t>Chopeiras</t>
        </is>
      </c>
      <c r="H1625" s="10" t="n">
        <v>210</v>
      </c>
      <c r="I1625" s="10">
        <f>IFERROR(T1625*H1625,0)</f>
        <v/>
      </c>
      <c r="J1625" s="11" t="n">
        <v>46197</v>
      </c>
      <c r="K1625" s="11" t="n">
        <v>46214</v>
      </c>
      <c r="L1625" t="inlineStr">
        <is>
          <t>Ok. Devolvida</t>
        </is>
      </c>
      <c r="M1625">
        <f>IF(L1625="","",IFERROR(VLOOKUP(L1625,mapGrupoStatus,2,0),"Outros"))</f>
        <v/>
      </c>
      <c r="N1625">
        <f>IF(O1625="","",IF(O1625&lt;=30,"0-30 dias",IF(O1625&lt;=60,"31-60 dias",IF(O1625&lt;=90,"61-90 dias","Mais de 90 dias"))))</f>
        <v/>
      </c>
      <c r="O1625">
        <f>IF(OR(M1625="Pendente",M1625="Em andamento"),IF(J1625="","",TODAY()-J1625),"")</f>
        <v/>
      </c>
      <c r="P1625" t="n">
        <v>12158</v>
      </c>
      <c r="Q1625" t="inlineStr">
        <is>
          <t>Gelo Serviços (12158)</t>
        </is>
      </c>
      <c r="R1625" t="inlineStr">
        <is>
          <t>PC-0029</t>
        </is>
      </c>
      <c r="S1625" t="inlineStr">
        <is>
          <t>Serpentina modelo 01</t>
        </is>
      </c>
      <c r="T1625" t="n">
        <v>1</v>
      </c>
      <c r="U1625" t="n">
        <v>126</v>
      </c>
      <c r="V1625">
        <f>IF(J1625="","",MONTH(J1625))</f>
        <v/>
      </c>
      <c r="W1625">
        <f>IF(J1625="","",YEAR(J1625))</f>
        <v/>
      </c>
      <c r="X1625" t="inlineStr">
        <is>
          <t>EntregaJá</t>
        </is>
      </c>
      <c r="Y1625">
        <f>IFERROR(INDEX(Rastreio!$H$2:$H$200,MATCH(X1625&amp;"|"&amp;U1625,Rastreio!$A$2:$A$200,0)),"")</f>
        <v/>
      </c>
    </row>
    <row r="1626">
      <c r="A1626">
        <f>IFERROR(INDEX(STAs!$G$2:$G$61,MATCH(P1626,STAs!$F$2:$F$61,0))&amp;"","")</f>
        <v/>
      </c>
      <c r="B1626" t="n">
        <v>20016888</v>
      </c>
      <c r="C1626" t="inlineStr">
        <is>
          <t>Não</t>
        </is>
      </c>
      <c r="D1626" t="inlineStr">
        <is>
          <t>PB</t>
        </is>
      </c>
      <c r="E1626" t="inlineStr">
        <is>
          <t>NORDESTE</t>
        </is>
      </c>
      <c r="F1626" t="inlineStr">
        <is>
          <t>Cliente C - Misturador</t>
        </is>
      </c>
      <c r="G1626" t="inlineStr">
        <is>
          <t>Refrigeradores</t>
        </is>
      </c>
      <c r="H1626" s="10" t="n">
        <v>40</v>
      </c>
      <c r="I1626" s="10">
        <f>IFERROR(T1626*H1626,0)</f>
        <v/>
      </c>
      <c r="J1626" s="11" t="n">
        <v>46197</v>
      </c>
      <c r="K1626" s="11" t="n"/>
      <c r="L1626" t="inlineStr">
        <is>
          <t>Aguardando devolução</t>
        </is>
      </c>
      <c r="M1626">
        <f>IF(L1626="","",IFERROR(VLOOKUP(L1626,mapGrupoStatus,2,0),"Outros"))</f>
        <v/>
      </c>
      <c r="N1626">
        <f>IF(O1626="","",IF(O1626&lt;=30,"0-30 dias",IF(O1626&lt;=60,"31-60 dias",IF(O1626&lt;=90,"61-90 dias","Mais de 90 dias"))))</f>
        <v/>
      </c>
      <c r="O1626">
        <f>IF(OR(M1626="Pendente",M1626="Em andamento"),IF(J1626="","",TODAY()-J1626),"")</f>
        <v/>
      </c>
      <c r="P1626" t="n">
        <v>11741</v>
      </c>
      <c r="Q1626" t="inlineStr">
        <is>
          <t>Clima Refrigeração (11741)</t>
        </is>
      </c>
      <c r="R1626" t="inlineStr">
        <is>
          <t>PC-0005</t>
        </is>
      </c>
      <c r="S1626" t="inlineStr">
        <is>
          <t>Termostato modelo 02</t>
        </is>
      </c>
      <c r="T1626" t="n">
        <v>1</v>
      </c>
      <c r="U1626" t="inlineStr"/>
      <c r="V1626">
        <f>IF(J1626="","",MONTH(J1626))</f>
        <v/>
      </c>
      <c r="W1626">
        <f>IF(J1626="","",YEAR(J1626))</f>
        <v/>
      </c>
      <c r="X1626" t="inlineStr"/>
      <c r="Y1626">
        <f>IFERROR(INDEX(Rastreio!$H$2:$H$200,MATCH(X1626&amp;"|"&amp;U1626,Rastreio!$A$2:$A$200,0)),"")</f>
        <v/>
      </c>
    </row>
    <row r="1627">
      <c r="A1627">
        <f>IFERROR(INDEX(STAs!$G$2:$G$61,MATCH(P1627,STAs!$F$2:$F$61,0))&amp;"","")</f>
        <v/>
      </c>
      <c r="B1627" t="n">
        <v>20002268</v>
      </c>
      <c r="C1627" t="inlineStr">
        <is>
          <t>Não</t>
        </is>
      </c>
      <c r="D1627" t="inlineStr">
        <is>
          <t>MG</t>
        </is>
      </c>
      <c r="E1627" t="inlineStr">
        <is>
          <t>SUDESTE MG</t>
        </is>
      </c>
      <c r="F1627" t="inlineStr">
        <is>
          <t>Cliente B - Chopeira</t>
        </is>
      </c>
      <c r="G1627" t="inlineStr">
        <is>
          <t>Refrigeradores</t>
        </is>
      </c>
      <c r="H1627" s="10" t="n">
        <v>30</v>
      </c>
      <c r="I1627" s="10">
        <f>IFERROR(T1627*H1627,0)</f>
        <v/>
      </c>
      <c r="J1627" s="11" t="n">
        <v>46198</v>
      </c>
      <c r="K1627" s="11" t="n"/>
      <c r="L1627" t="inlineStr">
        <is>
          <t>Em transporte</t>
        </is>
      </c>
      <c r="M1627">
        <f>IF(L1627="","",IFERROR(VLOOKUP(L1627,mapGrupoStatus,2,0),"Outros"))</f>
        <v/>
      </c>
      <c r="N1627">
        <f>IF(O1627="","",IF(O1627&lt;=30,"0-30 dias",IF(O1627&lt;=60,"31-60 dias",IF(O1627&lt;=90,"61-90 dias","Mais de 90 dias"))))</f>
        <v/>
      </c>
      <c r="O1627">
        <f>IF(OR(M1627="Pendente",M1627="Em andamento"),IF(J1627="","",TODAY()-J1627),"")</f>
        <v/>
      </c>
      <c r="P1627" t="n">
        <v>11619</v>
      </c>
      <c r="Q1627" t="inlineStr">
        <is>
          <t>Refrigeração Ltda (11619)</t>
        </is>
      </c>
      <c r="R1627" t="inlineStr">
        <is>
          <t>PC-0025</t>
        </is>
      </c>
      <c r="S1627" t="inlineStr">
        <is>
          <t>Relé de partida modelo 03</t>
        </is>
      </c>
      <c r="T1627" t="n">
        <v>2</v>
      </c>
      <c r="U1627" t="n">
        <v>106</v>
      </c>
      <c r="V1627">
        <f>IF(J1627="","",MONTH(J1627))</f>
        <v/>
      </c>
      <c r="W1627">
        <f>IF(J1627="","",YEAR(J1627))</f>
        <v/>
      </c>
      <c r="X1627" t="inlineStr">
        <is>
          <t>EntregaJá</t>
        </is>
      </c>
      <c r="Y1627">
        <f>IFERROR(INDEX(Rastreio!$H$2:$H$200,MATCH(X1627&amp;"|"&amp;U1627,Rastreio!$A$2:$A$200,0)),"")</f>
        <v/>
      </c>
    </row>
    <row r="1628">
      <c r="A1628">
        <f>IFERROR(INDEX(STAs!$G$2:$G$61,MATCH(P1628,STAs!$F$2:$F$61,0))&amp;"","")</f>
        <v/>
      </c>
      <c r="B1628" t="n">
        <v>20002876</v>
      </c>
      <c r="C1628" t="inlineStr">
        <is>
          <t>Não</t>
        </is>
      </c>
      <c r="D1628" t="inlineStr">
        <is>
          <t>RO</t>
        </is>
      </c>
      <c r="E1628" t="inlineStr">
        <is>
          <t>NORTE</t>
        </is>
      </c>
      <c r="F1628" t="inlineStr">
        <is>
          <t>Cliente A - Refrigerador</t>
        </is>
      </c>
      <c r="G1628" t="inlineStr">
        <is>
          <t>Misturadores</t>
        </is>
      </c>
      <c r="H1628" s="10" t="n">
        <v>185</v>
      </c>
      <c r="I1628" s="10">
        <f>IFERROR(T1628*H1628,0)</f>
        <v/>
      </c>
      <c r="J1628" s="11" t="n">
        <v>46198</v>
      </c>
      <c r="K1628" s="11" t="n"/>
      <c r="L1628" t="inlineStr">
        <is>
          <t>Não Devolve-Norte</t>
        </is>
      </c>
      <c r="M1628">
        <f>IF(L1628="","",IFERROR(VLOOKUP(L1628,mapGrupoStatus,2,0),"Outros"))</f>
        <v/>
      </c>
      <c r="N1628">
        <f>IF(O1628="","",IF(O1628&lt;=30,"0-30 dias",IF(O1628&lt;=60,"31-60 dias",IF(O1628&lt;=90,"61-90 dias","Mais de 90 dias"))))</f>
        <v/>
      </c>
      <c r="O1628">
        <f>IF(OR(M1628="Pendente",M1628="Em andamento"),IF(J1628="","",TODAY()-J1628),"")</f>
        <v/>
      </c>
      <c r="P1628" t="n">
        <v>12019</v>
      </c>
      <c r="Q1628" t="inlineStr">
        <is>
          <t>Ártico Serviços (12019)</t>
        </is>
      </c>
      <c r="R1628" t="inlineStr">
        <is>
          <t>PC-0041</t>
        </is>
      </c>
      <c r="S1628" t="inlineStr">
        <is>
          <t>Motor agitador modelo 02</t>
        </is>
      </c>
      <c r="T1628" t="n">
        <v>1</v>
      </c>
      <c r="U1628" t="inlineStr"/>
      <c r="V1628">
        <f>IF(J1628="","",MONTH(J1628))</f>
        <v/>
      </c>
      <c r="W1628">
        <f>IF(J1628="","",YEAR(J1628))</f>
        <v/>
      </c>
      <c r="X1628" t="inlineStr"/>
      <c r="Y1628">
        <f>IFERROR(INDEX(Rastreio!$H$2:$H$200,MATCH(X1628&amp;"|"&amp;U1628,Rastreio!$A$2:$A$200,0)),"")</f>
        <v/>
      </c>
    </row>
    <row r="1629">
      <c r="A1629">
        <f>IFERROR(INDEX(STAs!$G$2:$G$61,MATCH(P1629,STAs!$F$2:$F$61,0))&amp;"","")</f>
        <v/>
      </c>
      <c r="B1629" t="n">
        <v>20008522</v>
      </c>
      <c r="C1629" t="inlineStr">
        <is>
          <t>Não</t>
        </is>
      </c>
      <c r="D1629" t="inlineStr">
        <is>
          <t>MG</t>
        </is>
      </c>
      <c r="E1629" t="inlineStr">
        <is>
          <t>SUDESTE MG</t>
        </is>
      </c>
      <c r="F1629" t="inlineStr">
        <is>
          <t>Cliente A - Refrigerador</t>
        </is>
      </c>
      <c r="G1629" t="inlineStr">
        <is>
          <t>Misturadores</t>
        </is>
      </c>
      <c r="H1629" s="10" t="n">
        <v>185</v>
      </c>
      <c r="I1629" s="10">
        <f>IFERROR(T1629*H1629,0)</f>
        <v/>
      </c>
      <c r="J1629" s="11" t="n">
        <v>46198</v>
      </c>
      <c r="K1629" s="11" t="n"/>
      <c r="L1629" t="inlineStr">
        <is>
          <t>Debitar do STA</t>
        </is>
      </c>
      <c r="M1629">
        <f>IF(L1629="","",IFERROR(VLOOKUP(L1629,mapGrupoStatus,2,0),"Outros"))</f>
        <v/>
      </c>
      <c r="N1629">
        <f>IF(O1629="","",IF(O1629&lt;=30,"0-30 dias",IF(O1629&lt;=60,"31-60 dias",IF(O1629&lt;=90,"61-90 dias","Mais de 90 dias"))))</f>
        <v/>
      </c>
      <c r="O1629">
        <f>IF(OR(M1629="Pendente",M1629="Em andamento"),IF(J1629="","",TODAY()-J1629),"")</f>
        <v/>
      </c>
      <c r="P1629" t="n">
        <v>12689</v>
      </c>
      <c r="Q1629" t="inlineStr">
        <is>
          <t>Norte Frio Manutenção (12689)</t>
        </is>
      </c>
      <c r="R1629" t="inlineStr">
        <is>
          <t>PC-0041</t>
        </is>
      </c>
      <c r="S1629" t="inlineStr">
        <is>
          <t>Motor agitador modelo 02</t>
        </is>
      </c>
      <c r="T1629" t="n">
        <v>1</v>
      </c>
      <c r="U1629" t="inlineStr"/>
      <c r="V1629">
        <f>IF(J1629="","",MONTH(J1629))</f>
        <v/>
      </c>
      <c r="W1629">
        <f>IF(J1629="","",YEAR(J1629))</f>
        <v/>
      </c>
      <c r="X1629" t="inlineStr"/>
      <c r="Y1629">
        <f>IFERROR(INDEX(Rastreio!$H$2:$H$200,MATCH(X1629&amp;"|"&amp;U1629,Rastreio!$A$2:$A$200,0)),"")</f>
        <v/>
      </c>
    </row>
    <row r="1630">
      <c r="A1630">
        <f>IFERROR(INDEX(STAs!$G$2:$G$61,MATCH(P1630,STAs!$F$2:$F$61,0))&amp;"","")</f>
        <v/>
      </c>
      <c r="B1630" t="n">
        <v>20016672</v>
      </c>
      <c r="C1630" t="inlineStr">
        <is>
          <t>Não</t>
        </is>
      </c>
      <c r="D1630" t="inlineStr">
        <is>
          <t>RS</t>
        </is>
      </c>
      <c r="E1630" t="inlineStr">
        <is>
          <t>SUL</t>
        </is>
      </c>
      <c r="F1630" t="inlineStr">
        <is>
          <t>Cliente A - Refrigerador</t>
        </is>
      </c>
      <c r="G1630" t="inlineStr">
        <is>
          <t>Refrigeradores</t>
        </is>
      </c>
      <c r="H1630" s="10" t="n">
        <v>30</v>
      </c>
      <c r="I1630" s="10">
        <f>IFERROR(T1630*H1630,0)</f>
        <v/>
      </c>
      <c r="J1630" s="11" t="n">
        <v>46198</v>
      </c>
      <c r="K1630" s="11" t="n">
        <v>46223</v>
      </c>
      <c r="L1630" t="inlineStr">
        <is>
          <t>Ok. Devolvida</t>
        </is>
      </c>
      <c r="M1630">
        <f>IF(L1630="","",IFERROR(VLOOKUP(L1630,mapGrupoStatus,2,0),"Outros"))</f>
        <v/>
      </c>
      <c r="N1630">
        <f>IF(O1630="","",IF(O1630&lt;=30,"0-30 dias",IF(O1630&lt;=60,"31-60 dias",IF(O1630&lt;=90,"61-90 dias","Mais de 90 dias"))))</f>
        <v/>
      </c>
      <c r="O1630">
        <f>IF(OR(M1630="Pendente",M1630="Em andamento"),IF(J1630="","",TODAY()-J1630),"")</f>
        <v/>
      </c>
      <c r="P1630" t="n">
        <v>12617</v>
      </c>
      <c r="Q1630" t="inlineStr">
        <is>
          <t>Gelo Manutenção (12617)</t>
        </is>
      </c>
      <c r="R1630" t="inlineStr">
        <is>
          <t>PC-0017</t>
        </is>
      </c>
      <c r="S1630" t="inlineStr">
        <is>
          <t>Filtro secador modelo 03</t>
        </is>
      </c>
      <c r="T1630" t="n">
        <v>1</v>
      </c>
      <c r="U1630" t="n">
        <v>122</v>
      </c>
      <c r="V1630">
        <f>IF(J1630="","",MONTH(J1630))</f>
        <v/>
      </c>
      <c r="W1630">
        <f>IF(J1630="","",YEAR(J1630))</f>
        <v/>
      </c>
      <c r="X1630" t="inlineStr">
        <is>
          <t>RotaSul</t>
        </is>
      </c>
      <c r="Y1630">
        <f>IFERROR(INDEX(Rastreio!$H$2:$H$200,MATCH(X1630&amp;"|"&amp;U1630,Rastreio!$A$2:$A$200,0)),"")</f>
        <v/>
      </c>
    </row>
    <row r="1631">
      <c r="A1631">
        <f>IFERROR(INDEX(STAs!$G$2:$G$61,MATCH(P1631,STAs!$F$2:$F$61,0))&amp;"","")</f>
        <v/>
      </c>
      <c r="B1631" t="n">
        <v>20031825</v>
      </c>
      <c r="C1631" t="inlineStr">
        <is>
          <t>Não</t>
        </is>
      </c>
      <c r="D1631" t="inlineStr">
        <is>
          <t>SP</t>
        </is>
      </c>
      <c r="E1631" t="inlineStr">
        <is>
          <t>SUDESTE SP</t>
        </is>
      </c>
      <c r="F1631" t="inlineStr">
        <is>
          <t>Cliente C - Misturador</t>
        </is>
      </c>
      <c r="G1631" t="inlineStr">
        <is>
          <t>Refrigeradores</t>
        </is>
      </c>
      <c r="H1631" s="10" t="n">
        <v>55</v>
      </c>
      <c r="I1631" s="10">
        <f>IFERROR(T1631*H1631,0)</f>
        <v/>
      </c>
      <c r="J1631" s="11" t="n">
        <v>46198</v>
      </c>
      <c r="K1631" s="11" t="n"/>
      <c r="L1631" t="inlineStr">
        <is>
          <t>Em andamento</t>
        </is>
      </c>
      <c r="M1631">
        <f>IF(L1631="","",IFERROR(VLOOKUP(L1631,mapGrupoStatus,2,0),"Outros"))</f>
        <v/>
      </c>
      <c r="N1631">
        <f>IF(O1631="","",IF(O1631&lt;=30,"0-30 dias",IF(O1631&lt;=60,"31-60 dias",IF(O1631&lt;=90,"61-90 dias","Mais de 90 dias"))))</f>
        <v/>
      </c>
      <c r="O1631">
        <f>IF(OR(M1631="Pendente",M1631="Em andamento"),IF(J1631="","",TODAY()-J1631),"")</f>
        <v/>
      </c>
      <c r="P1631" t="n">
        <v>12052</v>
      </c>
      <c r="Q1631" t="inlineStr">
        <is>
          <t>Brisa Refrigeração (12052)</t>
        </is>
      </c>
      <c r="R1631" t="inlineStr">
        <is>
          <t>PC-0007</t>
        </is>
      </c>
      <c r="S1631" t="inlineStr">
        <is>
          <t>Ventilador modelo 01</t>
        </is>
      </c>
      <c r="T1631" t="n">
        <v>1</v>
      </c>
      <c r="U1631" t="n">
        <v>155</v>
      </c>
      <c r="V1631">
        <f>IF(J1631="","",MONTH(J1631))</f>
        <v/>
      </c>
      <c r="W1631">
        <f>IF(J1631="","",YEAR(J1631))</f>
        <v/>
      </c>
      <c r="X1631" t="inlineStr">
        <is>
          <t>RotaSul</t>
        </is>
      </c>
      <c r="Y1631">
        <f>IFERROR(INDEX(Rastreio!$H$2:$H$200,MATCH(X1631&amp;"|"&amp;U1631,Rastreio!$A$2:$A$200,0)),"")</f>
        <v/>
      </c>
    </row>
    <row r="1632">
      <c r="A1632">
        <f>IFERROR(INDEX(STAs!$G$2:$G$61,MATCH(P1632,STAs!$F$2:$F$61,0))&amp;"","")</f>
        <v/>
      </c>
      <c r="B1632" t="n">
        <v>20014339</v>
      </c>
      <c r="C1632" t="inlineStr">
        <is>
          <t>Não</t>
        </is>
      </c>
      <c r="D1632" t="inlineStr">
        <is>
          <t>SP</t>
        </is>
      </c>
      <c r="E1632" t="inlineStr">
        <is>
          <t>SUDESTE SP</t>
        </is>
      </c>
      <c r="F1632" t="inlineStr">
        <is>
          <t>Cliente B - Chopeira</t>
        </is>
      </c>
      <c r="G1632" t="inlineStr">
        <is>
          <t>Refrigeradores</t>
        </is>
      </c>
      <c r="H1632" s="10" t="n">
        <v>35</v>
      </c>
      <c r="I1632" s="10">
        <f>IFERROR(T1632*H1632,0)</f>
        <v/>
      </c>
      <c r="J1632" s="11" t="n">
        <v>46199</v>
      </c>
      <c r="K1632" s="11" t="n">
        <v>46236</v>
      </c>
      <c r="L1632" t="inlineStr">
        <is>
          <t>Ok. Devolvida</t>
        </is>
      </c>
      <c r="M1632">
        <f>IF(L1632="","",IFERROR(VLOOKUP(L1632,mapGrupoStatus,2,0),"Outros"))</f>
        <v/>
      </c>
      <c r="N1632">
        <f>IF(O1632="","",IF(O1632&lt;=30,"0-30 dias",IF(O1632&lt;=60,"31-60 dias",IF(O1632&lt;=90,"61-90 dias","Mais de 90 dias"))))</f>
        <v/>
      </c>
      <c r="O1632">
        <f>IF(OR(M1632="Pendente",M1632="Em andamento"),IF(J1632="","",TODAY()-J1632),"")</f>
        <v/>
      </c>
      <c r="P1632" t="n">
        <v>12901</v>
      </c>
      <c r="Q1632" t="inlineStr">
        <is>
          <t>Frio Serviços (12901)</t>
        </is>
      </c>
      <c r="R1632" t="inlineStr">
        <is>
          <t>PC-0023</t>
        </is>
      </c>
      <c r="S1632" t="inlineStr">
        <is>
          <t>Relé de partida modelo 01</t>
        </is>
      </c>
      <c r="T1632" t="n">
        <v>1</v>
      </c>
      <c r="U1632" t="n">
        <v>121</v>
      </c>
      <c r="V1632">
        <f>IF(J1632="","",MONTH(J1632))</f>
        <v/>
      </c>
      <c r="W1632">
        <f>IF(J1632="","",YEAR(J1632))</f>
        <v/>
      </c>
      <c r="X1632" t="inlineStr">
        <is>
          <t>RotaSul</t>
        </is>
      </c>
      <c r="Y1632">
        <f>IFERROR(INDEX(Rastreio!$H$2:$H$200,MATCH(X1632&amp;"|"&amp;U1632,Rastreio!$A$2:$A$200,0)),"")</f>
        <v/>
      </c>
    </row>
    <row r="1633">
      <c r="A1633">
        <f>IFERROR(INDEX(STAs!$G$2:$G$61,MATCH(P1633,STAs!$F$2:$F$61,0))&amp;"","")</f>
        <v/>
      </c>
      <c r="B1633" t="n">
        <v>20015972</v>
      </c>
      <c r="C1633" t="inlineStr">
        <is>
          <t>Não</t>
        </is>
      </c>
      <c r="D1633" t="inlineStr">
        <is>
          <t>SC</t>
        </is>
      </c>
      <c r="E1633" t="inlineStr">
        <is>
          <t>SUL</t>
        </is>
      </c>
      <c r="F1633" t="inlineStr">
        <is>
          <t>Cliente C - Misturador</t>
        </is>
      </c>
      <c r="G1633" t="inlineStr">
        <is>
          <t>Chopeiras</t>
        </is>
      </c>
      <c r="H1633" s="10" t="n">
        <v>215</v>
      </c>
      <c r="I1633" s="10">
        <f>IFERROR(T1633*H1633,0)</f>
        <v/>
      </c>
      <c r="J1633" s="11" t="n">
        <v>46199</v>
      </c>
      <c r="K1633" s="11" t="n">
        <v>46233</v>
      </c>
      <c r="L1633" t="inlineStr">
        <is>
          <t>Ok. Devolvida</t>
        </is>
      </c>
      <c r="M1633">
        <f>IF(L1633="","",IFERROR(VLOOKUP(L1633,mapGrupoStatus,2,0),"Outros"))</f>
        <v/>
      </c>
      <c r="N1633">
        <f>IF(O1633="","",IF(O1633&lt;=30,"0-30 dias",IF(O1633&lt;=60,"31-60 dias",IF(O1633&lt;=90,"61-90 dias","Mais de 90 dias"))))</f>
        <v/>
      </c>
      <c r="O1633">
        <f>IF(OR(M1633="Pendente",M1633="Em andamento"),IF(J1633="","",TODAY()-J1633),"")</f>
        <v/>
      </c>
      <c r="P1633" t="n">
        <v>12138</v>
      </c>
      <c r="Q1633" t="inlineStr">
        <is>
          <t>Refrigeração Serviços (12138)</t>
        </is>
      </c>
      <c r="R1633" t="inlineStr">
        <is>
          <t>PC-0030</t>
        </is>
      </c>
      <c r="S1633" t="inlineStr">
        <is>
          <t>Serpentina modelo 02</t>
        </is>
      </c>
      <c r="T1633" t="n">
        <v>1</v>
      </c>
      <c r="U1633" t="n">
        <v>122</v>
      </c>
      <c r="V1633">
        <f>IF(J1633="","",MONTH(J1633))</f>
        <v/>
      </c>
      <c r="W1633">
        <f>IF(J1633="","",YEAR(J1633))</f>
        <v/>
      </c>
      <c r="X1633" t="inlineStr">
        <is>
          <t>RotaSul</t>
        </is>
      </c>
      <c r="Y1633">
        <f>IFERROR(INDEX(Rastreio!$H$2:$H$200,MATCH(X1633&amp;"|"&amp;U1633,Rastreio!$A$2:$A$200,0)),"")</f>
        <v/>
      </c>
    </row>
    <row r="1634">
      <c r="A1634">
        <f>IFERROR(INDEX(STAs!$G$2:$G$61,MATCH(P1634,STAs!$F$2:$F$61,0))&amp;"","")</f>
        <v/>
      </c>
      <c r="B1634" t="n">
        <v>20020945</v>
      </c>
      <c r="C1634" t="inlineStr">
        <is>
          <t>Não</t>
        </is>
      </c>
      <c r="D1634" t="inlineStr">
        <is>
          <t>GO</t>
        </is>
      </c>
      <c r="E1634" t="inlineStr">
        <is>
          <t>CENTRO OESTE</t>
        </is>
      </c>
      <c r="F1634" t="inlineStr">
        <is>
          <t>Cliente A - Refrigerador</t>
        </is>
      </c>
      <c r="G1634" t="inlineStr">
        <is>
          <t>Refrigeradores</t>
        </is>
      </c>
      <c r="H1634" s="10" t="n">
        <v>35</v>
      </c>
      <c r="I1634" s="10">
        <f>IFERROR(T1634*H1634,0)</f>
        <v/>
      </c>
      <c r="J1634" s="11" t="n">
        <v>46199</v>
      </c>
      <c r="K1634" s="11" t="n"/>
      <c r="L1634" t="inlineStr">
        <is>
          <t>NF Vencida</t>
        </is>
      </c>
      <c r="M1634">
        <f>IF(L1634="","",IFERROR(VLOOKUP(L1634,mapGrupoStatus,2,0),"Outros"))</f>
        <v/>
      </c>
      <c r="N1634">
        <f>IF(O1634="","",IF(O1634&lt;=30,"0-30 dias",IF(O1634&lt;=60,"31-60 dias",IF(O1634&lt;=90,"61-90 dias","Mais de 90 dias"))))</f>
        <v/>
      </c>
      <c r="O1634">
        <f>IF(OR(M1634="Pendente",M1634="Em andamento"),IF(J1634="","",TODAY()-J1634),"")</f>
        <v/>
      </c>
      <c r="P1634" t="n">
        <v>12007</v>
      </c>
      <c r="Q1634" t="inlineStr">
        <is>
          <t>Refrigel Ltda (12007)</t>
        </is>
      </c>
      <c r="R1634" t="inlineStr">
        <is>
          <t>PC-0023</t>
        </is>
      </c>
      <c r="S1634" t="inlineStr">
        <is>
          <t>Relé de partida modelo 01</t>
        </is>
      </c>
      <c r="T1634" t="n">
        <v>1</v>
      </c>
      <c r="U1634" t="inlineStr"/>
      <c r="V1634">
        <f>IF(J1634="","",MONTH(J1634))</f>
        <v/>
      </c>
      <c r="W1634">
        <f>IF(J1634="","",YEAR(J1634))</f>
        <v/>
      </c>
      <c r="X1634" t="inlineStr"/>
      <c r="Y1634">
        <f>IFERROR(INDEX(Rastreio!$H$2:$H$200,MATCH(X1634&amp;"|"&amp;U1634,Rastreio!$A$2:$A$200,0)),"")</f>
        <v/>
      </c>
    </row>
    <row r="1635">
      <c r="A1635">
        <f>IFERROR(INDEX(STAs!$G$2:$G$61,MATCH(P1635,STAs!$F$2:$F$61,0))&amp;"","")</f>
        <v/>
      </c>
      <c r="B1635" t="n">
        <v>20038067</v>
      </c>
      <c r="C1635" t="inlineStr">
        <is>
          <t>Não</t>
        </is>
      </c>
      <c r="D1635" t="inlineStr">
        <is>
          <t>RJ</t>
        </is>
      </c>
      <c r="E1635" t="inlineStr">
        <is>
          <t>SUDESTE RJ e ES</t>
        </is>
      </c>
      <c r="F1635" t="inlineStr">
        <is>
          <t>Cliente A - Refrigerador</t>
        </is>
      </c>
      <c r="G1635" t="inlineStr">
        <is>
          <t>Misturadores</t>
        </is>
      </c>
      <c r="H1635" s="10" t="n">
        <v>35</v>
      </c>
      <c r="I1635" s="10">
        <f>IFERROR(T1635*H1635,0)</f>
        <v/>
      </c>
      <c r="J1635" s="11" t="n">
        <v>46199</v>
      </c>
      <c r="K1635" s="11" t="n">
        <v>46239</v>
      </c>
      <c r="L1635" t="inlineStr">
        <is>
          <t>Ok. Devolvida</t>
        </is>
      </c>
      <c r="M1635">
        <f>IF(L1635="","",IFERROR(VLOOKUP(L1635,mapGrupoStatus,2,0),"Outros"))</f>
        <v/>
      </c>
      <c r="N1635">
        <f>IF(O1635="","",IF(O1635&lt;=30,"0-30 dias",IF(O1635&lt;=60,"31-60 dias",IF(O1635&lt;=90,"61-90 dias","Mais de 90 dias"))))</f>
        <v/>
      </c>
      <c r="O1635">
        <f>IF(OR(M1635="Pendente",M1635="Em andamento"),IF(J1635="","",TODAY()-J1635),"")</f>
        <v/>
      </c>
      <c r="P1635" t="n">
        <v>12336</v>
      </c>
      <c r="Q1635" t="inlineStr">
        <is>
          <t>Termotec ME (12336)</t>
        </is>
      </c>
      <c r="R1635" t="inlineStr">
        <is>
          <t>PC-0043</t>
        </is>
      </c>
      <c r="S1635" t="inlineStr">
        <is>
          <t>Bico dosador modelo 02</t>
        </is>
      </c>
      <c r="T1635" t="n">
        <v>1</v>
      </c>
      <c r="U1635" t="n">
        <v>168</v>
      </c>
      <c r="V1635">
        <f>IF(J1635="","",MONTH(J1635))</f>
        <v/>
      </c>
      <c r="W1635">
        <f>IF(J1635="","",YEAR(J1635))</f>
        <v/>
      </c>
      <c r="X1635" t="inlineStr">
        <is>
          <t>LogExpress</t>
        </is>
      </c>
      <c r="Y1635">
        <f>IFERROR(INDEX(Rastreio!$H$2:$H$200,MATCH(X1635&amp;"|"&amp;U1635,Rastreio!$A$2:$A$200,0)),"")</f>
        <v/>
      </c>
    </row>
    <row r="1636">
      <c r="A1636">
        <f>IFERROR(INDEX(STAs!$G$2:$G$61,MATCH(P1636,STAs!$F$2:$F$61,0))&amp;"","")</f>
        <v/>
      </c>
      <c r="B1636" t="n">
        <v>20001395</v>
      </c>
      <c r="C1636" t="inlineStr">
        <is>
          <t>Não</t>
        </is>
      </c>
      <c r="D1636" t="inlineStr">
        <is>
          <t>BA</t>
        </is>
      </c>
      <c r="E1636" t="inlineStr">
        <is>
          <t>NORDESTE</t>
        </is>
      </c>
      <c r="F1636" t="inlineStr">
        <is>
          <t>Cliente A - Refrigerador</t>
        </is>
      </c>
      <c r="G1636" t="inlineStr">
        <is>
          <t>Misturadores</t>
        </is>
      </c>
      <c r="H1636" s="10" t="n">
        <v>50</v>
      </c>
      <c r="I1636" s="10">
        <f>IFERROR(T1636*H1636,0)</f>
        <v/>
      </c>
      <c r="J1636" s="11" t="n">
        <v>46200</v>
      </c>
      <c r="K1636" s="11" t="n">
        <v>46245</v>
      </c>
      <c r="L1636" t="inlineStr">
        <is>
          <t>Ok. Devolvida</t>
        </is>
      </c>
      <c r="M1636">
        <f>IF(L1636="","",IFERROR(VLOOKUP(L1636,mapGrupoStatus,2,0),"Outros"))</f>
        <v/>
      </c>
      <c r="N1636">
        <f>IF(O1636="","",IF(O1636&lt;=30,"0-30 dias",IF(O1636&lt;=60,"31-60 dias",IF(O1636&lt;=90,"61-90 dias","Mais de 90 dias"))))</f>
        <v/>
      </c>
      <c r="O1636">
        <f>IF(OR(M1636="Pendente",M1636="Em andamento"),IF(J1636="","",TODAY()-J1636),"")</f>
        <v/>
      </c>
      <c r="P1636" t="n">
        <v>11244</v>
      </c>
      <c r="Q1636" t="inlineStr">
        <is>
          <t>Refrigeração Manutenção (11244)</t>
        </is>
      </c>
      <c r="R1636" t="inlineStr">
        <is>
          <t>PC-0044</t>
        </is>
      </c>
      <c r="S1636" t="inlineStr">
        <is>
          <t>Bico dosador modelo 03</t>
        </is>
      </c>
      <c r="T1636" t="n">
        <v>1</v>
      </c>
      <c r="U1636" t="n">
        <v>103</v>
      </c>
      <c r="V1636">
        <f>IF(J1636="","",MONTH(J1636))</f>
        <v/>
      </c>
      <c r="W1636">
        <f>IF(J1636="","",YEAR(J1636))</f>
        <v/>
      </c>
      <c r="X1636" t="inlineStr">
        <is>
          <t>ViaCargo</t>
        </is>
      </c>
      <c r="Y1636">
        <f>IFERROR(INDEX(Rastreio!$H$2:$H$200,MATCH(X1636&amp;"|"&amp;U1636,Rastreio!$A$2:$A$200,0)),"")</f>
        <v/>
      </c>
    </row>
    <row r="1637">
      <c r="A1637">
        <f>IFERROR(INDEX(STAs!$G$2:$G$61,MATCH(P1637,STAs!$F$2:$F$61,0))&amp;"","")</f>
        <v/>
      </c>
      <c r="B1637" t="n">
        <v>20007356</v>
      </c>
      <c r="C1637" t="inlineStr">
        <is>
          <t>Não</t>
        </is>
      </c>
      <c r="D1637" t="inlineStr">
        <is>
          <t>MG</t>
        </is>
      </c>
      <c r="E1637" t="inlineStr">
        <is>
          <t>SUDESTE MG</t>
        </is>
      </c>
      <c r="F1637" t="inlineStr">
        <is>
          <t>Cliente A - Refrigerador</t>
        </is>
      </c>
      <c r="G1637" t="inlineStr">
        <is>
          <t>Chopeiras</t>
        </is>
      </c>
      <c r="H1637" s="10" t="n">
        <v>115</v>
      </c>
      <c r="I1637" s="10">
        <f>IFERROR(T1637*H1637,0)</f>
        <v/>
      </c>
      <c r="J1637" s="11" t="n">
        <v>46200</v>
      </c>
      <c r="K1637" s="11" t="n"/>
      <c r="L1637" t="inlineStr">
        <is>
          <t>NPD</t>
        </is>
      </c>
      <c r="M1637">
        <f>IF(L1637="","",IFERROR(VLOOKUP(L1637,mapGrupoStatus,2,0),"Outros"))</f>
        <v/>
      </c>
      <c r="N1637">
        <f>IF(O1637="","",IF(O1637&lt;=30,"0-30 dias",IF(O1637&lt;=60,"31-60 dias",IF(O1637&lt;=90,"61-90 dias","Mais de 90 dias"))))</f>
        <v/>
      </c>
      <c r="O1637">
        <f>IF(OR(M1637="Pendente",M1637="Em andamento"),IF(J1637="","",TODAY()-J1637),"")</f>
        <v/>
      </c>
      <c r="P1637" t="n">
        <v>11494</v>
      </c>
      <c r="Q1637" t="inlineStr">
        <is>
          <t>Clima Técnica (11494)</t>
        </is>
      </c>
      <c r="R1637" t="inlineStr">
        <is>
          <t>PC-0034</t>
        </is>
      </c>
      <c r="S1637" t="inlineStr">
        <is>
          <t>Regulador de pressão modelo 03</t>
        </is>
      </c>
      <c r="T1637" t="n">
        <v>1</v>
      </c>
      <c r="U1637" t="inlineStr"/>
      <c r="V1637">
        <f>IF(J1637="","",MONTH(J1637))</f>
        <v/>
      </c>
      <c r="W1637">
        <f>IF(J1637="","",YEAR(J1637))</f>
        <v/>
      </c>
      <c r="X1637" t="inlineStr"/>
      <c r="Y1637">
        <f>IFERROR(INDEX(Rastreio!$H$2:$H$200,MATCH(X1637&amp;"|"&amp;U1637,Rastreio!$A$2:$A$200,0)),"")</f>
        <v/>
      </c>
    </row>
    <row r="1638">
      <c r="A1638">
        <f>IFERROR(INDEX(STAs!$G$2:$G$61,MATCH(P1638,STAs!$F$2:$F$61,0))&amp;"","")</f>
        <v/>
      </c>
      <c r="B1638" t="n">
        <v>20015759</v>
      </c>
      <c r="C1638" t="inlineStr">
        <is>
          <t>Não</t>
        </is>
      </c>
      <c r="D1638" t="inlineStr">
        <is>
          <t>RJ</t>
        </is>
      </c>
      <c r="E1638" t="inlineStr">
        <is>
          <t>SUDESTE RJ e ES</t>
        </is>
      </c>
      <c r="F1638" t="inlineStr">
        <is>
          <t>Cliente C - Misturador</t>
        </is>
      </c>
      <c r="G1638" t="inlineStr">
        <is>
          <t>Refrigeradores</t>
        </is>
      </c>
      <c r="H1638" s="10" t="n">
        <v>40</v>
      </c>
      <c r="I1638" s="10">
        <f>IFERROR(T1638*H1638,0)</f>
        <v/>
      </c>
      <c r="J1638" s="11" t="n">
        <v>46200</v>
      </c>
      <c r="K1638" s="11" t="n">
        <v>46232</v>
      </c>
      <c r="L1638" t="inlineStr">
        <is>
          <t>Ok. Devolvida</t>
        </is>
      </c>
      <c r="M1638">
        <f>IF(L1638="","",IFERROR(VLOOKUP(L1638,mapGrupoStatus,2,0),"Outros"))</f>
        <v/>
      </c>
      <c r="N1638">
        <f>IF(O1638="","",IF(O1638&lt;=30,"0-30 dias",IF(O1638&lt;=60,"31-60 dias",IF(O1638&lt;=90,"61-90 dias","Mais de 90 dias"))))</f>
        <v/>
      </c>
      <c r="O1638">
        <f>IF(OR(M1638="Pendente",M1638="Em andamento"),IF(J1638="","",TODAY()-J1638),"")</f>
        <v/>
      </c>
      <c r="P1638" t="n">
        <v>10676</v>
      </c>
      <c r="Q1638" t="inlineStr">
        <is>
          <t>Clima Serviços (10676)</t>
        </is>
      </c>
      <c r="R1638" t="inlineStr">
        <is>
          <t>PC-0005</t>
        </is>
      </c>
      <c r="S1638" t="inlineStr">
        <is>
          <t>Termostato modelo 02</t>
        </is>
      </c>
      <c r="T1638" t="n">
        <v>1</v>
      </c>
      <c r="U1638" t="n">
        <v>125</v>
      </c>
      <c r="V1638">
        <f>IF(J1638="","",MONTH(J1638))</f>
        <v/>
      </c>
      <c r="W1638">
        <f>IF(J1638="","",YEAR(J1638))</f>
        <v/>
      </c>
      <c r="X1638" t="inlineStr">
        <is>
          <t>TransNorte</t>
        </is>
      </c>
      <c r="Y1638">
        <f>IFERROR(INDEX(Rastreio!$H$2:$H$200,MATCH(X1638&amp;"|"&amp;U1638,Rastreio!$A$2:$A$200,0)),"")</f>
        <v/>
      </c>
    </row>
    <row r="1639">
      <c r="A1639">
        <f>IFERROR(INDEX(STAs!$G$2:$G$61,MATCH(P1639,STAs!$F$2:$F$61,0))&amp;"","")</f>
        <v/>
      </c>
      <c r="B1639" t="n">
        <v>20016593</v>
      </c>
      <c r="C1639" t="inlineStr">
        <is>
          <t>Não</t>
        </is>
      </c>
      <c r="D1639" t="inlineStr">
        <is>
          <t>BA</t>
        </is>
      </c>
      <c r="E1639" t="inlineStr">
        <is>
          <t>NORDESTE</t>
        </is>
      </c>
      <c r="F1639" t="inlineStr">
        <is>
          <t>Cliente A - Refrigerador</t>
        </is>
      </c>
      <c r="G1639" t="inlineStr">
        <is>
          <t>Refrigeradores</t>
        </is>
      </c>
      <c r="H1639" s="10" t="n">
        <v>330</v>
      </c>
      <c r="I1639" s="10">
        <f>IFERROR(T1639*H1639,0)</f>
        <v/>
      </c>
      <c r="J1639" s="11" t="n">
        <v>46200</v>
      </c>
      <c r="K1639" s="11" t="n">
        <v>46240</v>
      </c>
      <c r="L1639" t="inlineStr">
        <is>
          <t>Ok. Devolvida</t>
        </is>
      </c>
      <c r="M1639">
        <f>IF(L1639="","",IFERROR(VLOOKUP(L1639,mapGrupoStatus,2,0),"Outros"))</f>
        <v/>
      </c>
      <c r="N1639">
        <f>IF(O1639="","",IF(O1639&lt;=30,"0-30 dias",IF(O1639&lt;=60,"31-60 dias",IF(O1639&lt;=90,"61-90 dias","Mais de 90 dias"))))</f>
        <v/>
      </c>
      <c r="O1639">
        <f>IF(OR(M1639="Pendente",M1639="Em andamento"),IF(J1639="","",TODAY()-J1639),"")</f>
        <v/>
      </c>
      <c r="P1639" t="n">
        <v>11538</v>
      </c>
      <c r="Q1639" t="inlineStr">
        <is>
          <t>Clima Manutenção (11538)</t>
        </is>
      </c>
      <c r="R1639" t="inlineStr">
        <is>
          <t>PC-0003</t>
        </is>
      </c>
      <c r="S1639" t="inlineStr">
        <is>
          <t>Compressor modelo 03</t>
        </is>
      </c>
      <c r="T1639" t="n">
        <v>1</v>
      </c>
      <c r="U1639" t="n">
        <v>127</v>
      </c>
      <c r="V1639">
        <f>IF(J1639="","",MONTH(J1639))</f>
        <v/>
      </c>
      <c r="W1639">
        <f>IF(J1639="","",YEAR(J1639))</f>
        <v/>
      </c>
      <c r="X1639" t="inlineStr">
        <is>
          <t>EntregaJá</t>
        </is>
      </c>
      <c r="Y1639">
        <f>IFERROR(INDEX(Rastreio!$H$2:$H$200,MATCH(X1639&amp;"|"&amp;U1639,Rastreio!$A$2:$A$200,0)),"")</f>
        <v/>
      </c>
    </row>
    <row r="1640">
      <c r="A1640">
        <f>IFERROR(INDEX(STAs!$G$2:$G$61,MATCH(P1640,STAs!$F$2:$F$61,0))&amp;"","")</f>
        <v/>
      </c>
      <c r="B1640" t="n">
        <v>20022222</v>
      </c>
      <c r="C1640" t="inlineStr">
        <is>
          <t>Não</t>
        </is>
      </c>
      <c r="D1640" t="inlineStr">
        <is>
          <t>ES</t>
        </is>
      </c>
      <c r="E1640" t="inlineStr">
        <is>
          <t>SUDESTE RJ e ES</t>
        </is>
      </c>
      <c r="F1640" t="inlineStr">
        <is>
          <t>Cliente C - Misturador</t>
        </is>
      </c>
      <c r="G1640" t="inlineStr">
        <is>
          <t>Refrigeradores</t>
        </is>
      </c>
      <c r="H1640" s="10" t="n">
        <v>315</v>
      </c>
      <c r="I1640" s="10">
        <f>IFERROR(T1640*H1640,0)</f>
        <v/>
      </c>
      <c r="J1640" s="11" t="n">
        <v>46200</v>
      </c>
      <c r="K1640" s="11" t="n">
        <v>46237</v>
      </c>
      <c r="L1640" t="inlineStr">
        <is>
          <t>Ok. Devolvida</t>
        </is>
      </c>
      <c r="M1640">
        <f>IF(L1640="","",IFERROR(VLOOKUP(L1640,mapGrupoStatus,2,0),"Outros"))</f>
        <v/>
      </c>
      <c r="N1640">
        <f>IF(O1640="","",IF(O1640&lt;=30,"0-30 dias",IF(O1640&lt;=60,"31-60 dias",IF(O1640&lt;=90,"61-90 dias","Mais de 90 dias"))))</f>
        <v/>
      </c>
      <c r="O1640">
        <f>IF(OR(M1640="Pendente",M1640="Em andamento"),IF(J1640="","",TODAY()-J1640),"")</f>
        <v/>
      </c>
      <c r="P1640" t="n">
        <v>11099</v>
      </c>
      <c r="Q1640" t="inlineStr">
        <is>
          <t>Refrigel Serviços (11099)</t>
        </is>
      </c>
      <c r="R1640" t="inlineStr">
        <is>
          <t>PC-0002</t>
        </is>
      </c>
      <c r="S1640" t="inlineStr">
        <is>
          <t>Compressor modelo 02</t>
        </is>
      </c>
      <c r="T1640" t="n">
        <v>1</v>
      </c>
      <c r="U1640" t="n">
        <v>133</v>
      </c>
      <c r="V1640">
        <f>IF(J1640="","",MONTH(J1640))</f>
        <v/>
      </c>
      <c r="W1640">
        <f>IF(J1640="","",YEAR(J1640))</f>
        <v/>
      </c>
      <c r="X1640" t="inlineStr">
        <is>
          <t>EntregaJá</t>
        </is>
      </c>
      <c r="Y1640">
        <f>IFERROR(INDEX(Rastreio!$H$2:$H$200,MATCH(X1640&amp;"|"&amp;U1640,Rastreio!$A$2:$A$200,0)),"")</f>
        <v/>
      </c>
    </row>
    <row r="1641">
      <c r="A1641">
        <f>IFERROR(INDEX(STAs!$G$2:$G$61,MATCH(P1641,STAs!$F$2:$F$61,0))&amp;"","")</f>
        <v/>
      </c>
      <c r="B1641" t="n">
        <v>20033112</v>
      </c>
      <c r="C1641" t="inlineStr">
        <is>
          <t>Não</t>
        </is>
      </c>
      <c r="D1641" t="inlineStr">
        <is>
          <t>RR</t>
        </is>
      </c>
      <c r="E1641" t="inlineStr">
        <is>
          <t>NORTE</t>
        </is>
      </c>
      <c r="F1641" t="inlineStr">
        <is>
          <t>Cliente B - Chopeira</t>
        </is>
      </c>
      <c r="G1641" t="inlineStr">
        <is>
          <t>Refrigeradores</t>
        </is>
      </c>
      <c r="H1641" s="10" t="n">
        <v>30</v>
      </c>
      <c r="I1641" s="10">
        <f>IFERROR(T1641*H1641,0)</f>
        <v/>
      </c>
      <c r="J1641" s="11" t="n">
        <v>46200</v>
      </c>
      <c r="K1641" s="11" t="n"/>
      <c r="L1641" t="inlineStr">
        <is>
          <t>Não Devolve-Norte</t>
        </is>
      </c>
      <c r="M1641">
        <f>IF(L1641="","",IFERROR(VLOOKUP(L1641,mapGrupoStatus,2,0),"Outros"))</f>
        <v/>
      </c>
      <c r="N1641">
        <f>IF(O1641="","",IF(O1641&lt;=30,"0-30 dias",IF(O1641&lt;=60,"31-60 dias",IF(O1641&lt;=90,"61-90 dias","Mais de 90 dias"))))</f>
        <v/>
      </c>
      <c r="O1641">
        <f>IF(OR(M1641="Pendente",M1641="Em andamento"),IF(J1641="","",TODAY()-J1641),"")</f>
        <v/>
      </c>
      <c r="P1641" t="n">
        <v>10468</v>
      </c>
      <c r="Q1641" t="inlineStr">
        <is>
          <t>Clima Express (10468)</t>
        </is>
      </c>
      <c r="R1641" t="inlineStr">
        <is>
          <t>PC-0017</t>
        </is>
      </c>
      <c r="S1641" t="inlineStr">
        <is>
          <t>Filtro secador modelo 03</t>
        </is>
      </c>
      <c r="T1641" t="n">
        <v>1</v>
      </c>
      <c r="U1641" t="inlineStr"/>
      <c r="V1641">
        <f>IF(J1641="","",MONTH(J1641))</f>
        <v/>
      </c>
      <c r="W1641">
        <f>IF(J1641="","",YEAR(J1641))</f>
        <v/>
      </c>
      <c r="X1641" t="inlineStr"/>
      <c r="Y1641">
        <f>IFERROR(INDEX(Rastreio!$H$2:$H$200,MATCH(X1641&amp;"|"&amp;U1641,Rastreio!$A$2:$A$200,0)),"")</f>
        <v/>
      </c>
    </row>
    <row r="1642">
      <c r="A1642">
        <f>IFERROR(INDEX(STAs!$G$2:$G$61,MATCH(P1642,STAs!$F$2:$F$61,0))&amp;"","")</f>
        <v/>
      </c>
      <c r="B1642" t="n">
        <v>20038652</v>
      </c>
      <c r="C1642" t="inlineStr">
        <is>
          <t>Não</t>
        </is>
      </c>
      <c r="D1642" t="inlineStr">
        <is>
          <t>RR</t>
        </is>
      </c>
      <c r="E1642" t="inlineStr">
        <is>
          <t>NORTE</t>
        </is>
      </c>
      <c r="F1642" t="inlineStr">
        <is>
          <t>Cliente B - Chopeira</t>
        </is>
      </c>
      <c r="G1642" t="inlineStr">
        <is>
          <t>Refrigeradores</t>
        </is>
      </c>
      <c r="H1642" s="10" t="n">
        <v>315</v>
      </c>
      <c r="I1642" s="10">
        <f>IFERROR(T1642*H1642,0)</f>
        <v/>
      </c>
      <c r="J1642" s="11" t="n">
        <v>46200</v>
      </c>
      <c r="K1642" s="11" t="n"/>
      <c r="L1642" t="inlineStr">
        <is>
          <t>Não Devolve-Norte</t>
        </is>
      </c>
      <c r="M1642">
        <f>IF(L1642="","",IFERROR(VLOOKUP(L1642,mapGrupoStatus,2,0),"Outros"))</f>
        <v/>
      </c>
      <c r="N1642">
        <f>IF(O1642="","",IF(O1642&lt;=30,"0-30 dias",IF(O1642&lt;=60,"31-60 dias",IF(O1642&lt;=90,"61-90 dias","Mais de 90 dias"))))</f>
        <v/>
      </c>
      <c r="O1642">
        <f>IF(OR(M1642="Pendente",M1642="Em andamento"),IF(J1642="","",TODAY()-J1642),"")</f>
        <v/>
      </c>
      <c r="P1642" t="n">
        <v>10468</v>
      </c>
      <c r="Q1642" t="inlineStr">
        <is>
          <t>Clima Express (10468)</t>
        </is>
      </c>
      <c r="R1642" t="inlineStr">
        <is>
          <t>PC-0002</t>
        </is>
      </c>
      <c r="S1642" t="inlineStr">
        <is>
          <t>Compressor modelo 02</t>
        </is>
      </c>
      <c r="T1642" t="n">
        <v>1</v>
      </c>
      <c r="U1642" t="inlineStr"/>
      <c r="V1642">
        <f>IF(J1642="","",MONTH(J1642))</f>
        <v/>
      </c>
      <c r="W1642">
        <f>IF(J1642="","",YEAR(J1642))</f>
        <v/>
      </c>
      <c r="X1642" t="inlineStr"/>
      <c r="Y1642">
        <f>IFERROR(INDEX(Rastreio!$H$2:$H$200,MATCH(X1642&amp;"|"&amp;U1642,Rastreio!$A$2:$A$200,0)),"")</f>
        <v/>
      </c>
    </row>
    <row r="1643">
      <c r="A1643">
        <f>IFERROR(INDEX(STAs!$G$2:$G$61,MATCH(P1643,STAs!$F$2:$F$61,0))&amp;"","")</f>
        <v/>
      </c>
      <c r="B1643" t="n">
        <v>20001468</v>
      </c>
      <c r="C1643" t="inlineStr">
        <is>
          <t>Não</t>
        </is>
      </c>
      <c r="D1643" t="inlineStr">
        <is>
          <t>PR</t>
        </is>
      </c>
      <c r="E1643" t="inlineStr">
        <is>
          <t>SUL</t>
        </is>
      </c>
      <c r="F1643" t="inlineStr">
        <is>
          <t>Cliente C - Misturador</t>
        </is>
      </c>
      <c r="G1643" t="inlineStr">
        <is>
          <t>Chopeiras</t>
        </is>
      </c>
      <c r="H1643" s="10" t="n">
        <v>85</v>
      </c>
      <c r="I1643" s="10">
        <f>IFERROR(T1643*H1643,0)</f>
        <v/>
      </c>
      <c r="J1643" s="11" t="n">
        <v>46201</v>
      </c>
      <c r="K1643" s="11" t="n"/>
      <c r="L1643" t="inlineStr">
        <is>
          <t>Aguardando Transporte</t>
        </is>
      </c>
      <c r="M1643">
        <f>IF(L1643="","",IFERROR(VLOOKUP(L1643,mapGrupoStatus,2,0),"Outros"))</f>
        <v/>
      </c>
      <c r="N1643">
        <f>IF(O1643="","",IF(O1643&lt;=30,"0-30 dias",IF(O1643&lt;=60,"31-60 dias",IF(O1643&lt;=90,"61-90 dias","Mais de 90 dias"))))</f>
        <v/>
      </c>
      <c r="O1643">
        <f>IF(OR(M1643="Pendente",M1643="Em andamento"),IF(J1643="","",TODAY()-J1643),"")</f>
        <v/>
      </c>
      <c r="P1643" t="n">
        <v>12089</v>
      </c>
      <c r="Q1643" t="inlineStr">
        <is>
          <t>Termotec Serviços (12089)</t>
        </is>
      </c>
      <c r="R1643" t="inlineStr">
        <is>
          <t>PC-0035</t>
        </is>
      </c>
      <c r="S1643" t="inlineStr">
        <is>
          <t>Válvula extratora modelo 01</t>
        </is>
      </c>
      <c r="T1643" t="n">
        <v>1</v>
      </c>
      <c r="U1643" t="n">
        <v>101</v>
      </c>
      <c r="V1643">
        <f>IF(J1643="","",MONTH(J1643))</f>
        <v/>
      </c>
      <c r="W1643">
        <f>IF(J1643="","",YEAR(J1643))</f>
        <v/>
      </c>
      <c r="X1643" t="inlineStr">
        <is>
          <t>TransNorte</t>
        </is>
      </c>
      <c r="Y1643">
        <f>IFERROR(INDEX(Rastreio!$H$2:$H$200,MATCH(X1643&amp;"|"&amp;U1643,Rastreio!$A$2:$A$200,0)),"")</f>
        <v/>
      </c>
    </row>
    <row r="1644">
      <c r="A1644">
        <f>IFERROR(INDEX(STAs!$G$2:$G$61,MATCH(P1644,STAs!$F$2:$F$61,0))&amp;"","")</f>
        <v/>
      </c>
      <c r="B1644" t="n">
        <v>20001585</v>
      </c>
      <c r="C1644" t="inlineStr">
        <is>
          <t>Não</t>
        </is>
      </c>
      <c r="D1644" t="inlineStr">
        <is>
          <t>ES</t>
        </is>
      </c>
      <c r="E1644" t="inlineStr">
        <is>
          <t>SUDESTE RJ e ES</t>
        </is>
      </c>
      <c r="F1644" t="inlineStr">
        <is>
          <t>Cliente A - Refrigerador</t>
        </is>
      </c>
      <c r="G1644" t="inlineStr">
        <is>
          <t>Chopeiras</t>
        </is>
      </c>
      <c r="H1644" s="10" t="n">
        <v>85</v>
      </c>
      <c r="I1644" s="10">
        <f>IFERROR(T1644*H1644,0)</f>
        <v/>
      </c>
      <c r="J1644" s="11" t="n">
        <v>46201</v>
      </c>
      <c r="K1644" s="11" t="n">
        <v>46261</v>
      </c>
      <c r="L1644" t="inlineStr">
        <is>
          <t>Ok. Devolvida</t>
        </is>
      </c>
      <c r="M1644">
        <f>IF(L1644="","",IFERROR(VLOOKUP(L1644,mapGrupoStatus,2,0),"Outros"))</f>
        <v/>
      </c>
      <c r="N1644">
        <f>IF(O1644="","",IF(O1644&lt;=30,"0-30 dias",IF(O1644&lt;=60,"31-60 dias",IF(O1644&lt;=90,"61-90 dias","Mais de 90 dias"))))</f>
        <v/>
      </c>
      <c r="O1644">
        <f>IF(OR(M1644="Pendente",M1644="Em andamento"),IF(J1644="","",TODAY()-J1644),"")</f>
        <v/>
      </c>
      <c r="P1644" t="n">
        <v>12555</v>
      </c>
      <c r="Q1644" t="inlineStr">
        <is>
          <t>Cool Service Serviços (12555)</t>
        </is>
      </c>
      <c r="R1644" t="inlineStr">
        <is>
          <t>PC-0036</t>
        </is>
      </c>
      <c r="S1644" t="inlineStr">
        <is>
          <t>Válvula extratora modelo 02</t>
        </is>
      </c>
      <c r="T1644" t="n">
        <v>1</v>
      </c>
      <c r="U1644" t="n">
        <v>101</v>
      </c>
      <c r="V1644">
        <f>IF(J1644="","",MONTH(J1644))</f>
        <v/>
      </c>
      <c r="W1644">
        <f>IF(J1644="","",YEAR(J1644))</f>
        <v/>
      </c>
      <c r="X1644" t="inlineStr">
        <is>
          <t>TransNorte</t>
        </is>
      </c>
      <c r="Y1644">
        <f>IFERROR(INDEX(Rastreio!$H$2:$H$200,MATCH(X1644&amp;"|"&amp;U1644,Rastreio!$A$2:$A$200,0)),"")</f>
        <v/>
      </c>
    </row>
    <row r="1645">
      <c r="A1645">
        <f>IFERROR(INDEX(STAs!$G$2:$G$61,MATCH(P1645,STAs!$F$2:$F$61,0))&amp;"","")</f>
        <v/>
      </c>
      <c r="B1645" t="n">
        <v>20007521</v>
      </c>
      <c r="C1645" t="inlineStr">
        <is>
          <t>Não</t>
        </is>
      </c>
      <c r="D1645" t="inlineStr">
        <is>
          <t>MT</t>
        </is>
      </c>
      <c r="E1645" t="inlineStr">
        <is>
          <t>CENTRO OESTE</t>
        </is>
      </c>
      <c r="F1645" t="inlineStr">
        <is>
          <t>Cliente A - Refrigerador</t>
        </is>
      </c>
      <c r="G1645" t="inlineStr">
        <is>
          <t>Refrigeradores</t>
        </is>
      </c>
      <c r="H1645" s="10" t="n">
        <v>35</v>
      </c>
      <c r="I1645" s="10">
        <f>IFERROR(T1645*H1645,0)</f>
        <v/>
      </c>
      <c r="J1645" s="11" t="n">
        <v>46201</v>
      </c>
      <c r="K1645" s="11" t="n">
        <v>46225</v>
      </c>
      <c r="L1645" t="inlineStr">
        <is>
          <t>Ok. Devolvida</t>
        </is>
      </c>
      <c r="M1645">
        <f>IF(L1645="","",IFERROR(VLOOKUP(L1645,mapGrupoStatus,2,0),"Outros"))</f>
        <v/>
      </c>
      <c r="N1645">
        <f>IF(O1645="","",IF(O1645&lt;=30,"0-30 dias",IF(O1645&lt;=60,"31-60 dias",IF(O1645&lt;=90,"61-90 dias","Mais de 90 dias"))))</f>
        <v/>
      </c>
      <c r="O1645">
        <f>IF(OR(M1645="Pendente",M1645="Em andamento"),IF(J1645="","",TODAY()-J1645),"")</f>
        <v/>
      </c>
      <c r="P1645" t="n">
        <v>10227</v>
      </c>
      <c r="Q1645" t="inlineStr">
        <is>
          <t>Assistência Técnica ME (10227)</t>
        </is>
      </c>
      <c r="R1645" t="inlineStr">
        <is>
          <t>PC-0024</t>
        </is>
      </c>
      <c r="S1645" t="inlineStr">
        <is>
          <t>Relé de partida modelo 02</t>
        </is>
      </c>
      <c r="T1645" t="n">
        <v>1</v>
      </c>
      <c r="U1645" t="n">
        <v>120</v>
      </c>
      <c r="V1645">
        <f>IF(J1645="","",MONTH(J1645))</f>
        <v/>
      </c>
      <c r="W1645">
        <f>IF(J1645="","",YEAR(J1645))</f>
        <v/>
      </c>
      <c r="X1645" t="inlineStr">
        <is>
          <t>ViaCargo</t>
        </is>
      </c>
      <c r="Y1645">
        <f>IFERROR(INDEX(Rastreio!$H$2:$H$200,MATCH(X1645&amp;"|"&amp;U1645,Rastreio!$A$2:$A$200,0)),"")</f>
        <v/>
      </c>
    </row>
    <row r="1646">
      <c r="A1646">
        <f>IFERROR(INDEX(STAs!$G$2:$G$61,MATCH(P1646,STAs!$F$2:$F$61,0))&amp;"","")</f>
        <v/>
      </c>
      <c r="B1646" t="n">
        <v>20039993</v>
      </c>
      <c r="C1646" t="inlineStr">
        <is>
          <t>Não</t>
        </is>
      </c>
      <c r="D1646" t="inlineStr">
        <is>
          <t>GO</t>
        </is>
      </c>
      <c r="E1646" t="inlineStr">
        <is>
          <t>CENTRO OESTE</t>
        </is>
      </c>
      <c r="F1646" t="inlineStr">
        <is>
          <t>Cliente C - Misturador</t>
        </is>
      </c>
      <c r="G1646" t="inlineStr">
        <is>
          <t>Misturadores</t>
        </is>
      </c>
      <c r="H1646" s="10" t="n">
        <v>35</v>
      </c>
      <c r="I1646" s="10">
        <f>IFERROR(T1646*H1646,0)</f>
        <v/>
      </c>
      <c r="J1646" s="11" t="n">
        <v>46201</v>
      </c>
      <c r="K1646" s="11" t="n">
        <v>46251</v>
      </c>
      <c r="L1646" t="inlineStr">
        <is>
          <t>Ok. Devolvida</t>
        </is>
      </c>
      <c r="M1646">
        <f>IF(L1646="","",IFERROR(VLOOKUP(L1646,mapGrupoStatus,2,0),"Outros"))</f>
        <v/>
      </c>
      <c r="N1646">
        <f>IF(O1646="","",IF(O1646&lt;=30,"0-30 dias",IF(O1646&lt;=60,"31-60 dias",IF(O1646&lt;=90,"61-90 dias","Mais de 90 dias"))))</f>
        <v/>
      </c>
      <c r="O1646">
        <f>IF(OR(M1646="Pendente",M1646="Em andamento"),IF(J1646="","",TODAY()-J1646),"")</f>
        <v/>
      </c>
      <c r="P1646" t="n">
        <v>12007</v>
      </c>
      <c r="Q1646" t="inlineStr">
        <is>
          <t>Refrigel Ltda (12007)</t>
        </is>
      </c>
      <c r="R1646" t="inlineStr">
        <is>
          <t>PC-0043</t>
        </is>
      </c>
      <c r="S1646" t="inlineStr">
        <is>
          <t>Bico dosador modelo 02</t>
        </is>
      </c>
      <c r="T1646" t="n">
        <v>1</v>
      </c>
      <c r="U1646" t="n">
        <v>170</v>
      </c>
      <c r="V1646">
        <f>IF(J1646="","",MONTH(J1646))</f>
        <v/>
      </c>
      <c r="W1646">
        <f>IF(J1646="","",YEAR(J1646))</f>
        <v/>
      </c>
      <c r="X1646" t="inlineStr">
        <is>
          <t>TransNorte</t>
        </is>
      </c>
      <c r="Y1646">
        <f>IFERROR(INDEX(Rastreio!$H$2:$H$200,MATCH(X1646&amp;"|"&amp;U1646,Rastreio!$A$2:$A$200,0)),"")</f>
        <v/>
      </c>
    </row>
    <row r="1647">
      <c r="A1647">
        <f>IFERROR(INDEX(STAs!$G$2:$G$61,MATCH(P1647,STAs!$F$2:$F$61,0))&amp;"","")</f>
        <v/>
      </c>
      <c r="B1647" t="n">
        <v>20006154</v>
      </c>
      <c r="C1647" t="inlineStr">
        <is>
          <t>Não</t>
        </is>
      </c>
      <c r="D1647" t="inlineStr">
        <is>
          <t>AC</t>
        </is>
      </c>
      <c r="E1647" t="inlineStr">
        <is>
          <t>NORTE</t>
        </is>
      </c>
      <c r="F1647" t="inlineStr">
        <is>
          <t>Cliente A - Refrigerador</t>
        </is>
      </c>
      <c r="G1647" t="inlineStr">
        <is>
          <t>Refrigeradores</t>
        </is>
      </c>
      <c r="H1647" s="10" t="n">
        <v>35</v>
      </c>
      <c r="I1647" s="10">
        <f>IFERROR(T1647*H1647,0)</f>
        <v/>
      </c>
      <c r="J1647" s="11" t="n">
        <v>46202</v>
      </c>
      <c r="K1647" s="11" t="n"/>
      <c r="L1647" t="inlineStr">
        <is>
          <t>Em andamento</t>
        </is>
      </c>
      <c r="M1647">
        <f>IF(L1647="","",IFERROR(VLOOKUP(L1647,mapGrupoStatus,2,0),"Outros"))</f>
        <v/>
      </c>
      <c r="N1647">
        <f>IF(O1647="","",IF(O1647&lt;=30,"0-30 dias",IF(O1647&lt;=60,"31-60 dias",IF(O1647&lt;=90,"61-90 dias","Mais de 90 dias"))))</f>
        <v/>
      </c>
      <c r="O1647">
        <f>IF(OR(M1647="Pendente",M1647="Em andamento"),IF(J1647="","",TODAY()-J1647),"")</f>
        <v/>
      </c>
      <c r="P1647" t="n">
        <v>10372</v>
      </c>
      <c r="Q1647" t="inlineStr">
        <is>
          <t>Zero Grau ME (10372)</t>
        </is>
      </c>
      <c r="R1647" t="inlineStr">
        <is>
          <t>PC-0016</t>
        </is>
      </c>
      <c r="S1647" t="inlineStr">
        <is>
          <t>Filtro secador modelo 02</t>
        </is>
      </c>
      <c r="T1647" t="n">
        <v>1</v>
      </c>
      <c r="U1647" t="n">
        <v>109</v>
      </c>
      <c r="V1647">
        <f>IF(J1647="","",MONTH(J1647))</f>
        <v/>
      </c>
      <c r="W1647">
        <f>IF(J1647="","",YEAR(J1647))</f>
        <v/>
      </c>
      <c r="X1647" t="inlineStr">
        <is>
          <t>CargoMax</t>
        </is>
      </c>
      <c r="Y1647">
        <f>IFERROR(INDEX(Rastreio!$H$2:$H$200,MATCH(X1647&amp;"|"&amp;U1647,Rastreio!$A$2:$A$200,0)),"")</f>
        <v/>
      </c>
    </row>
    <row r="1648">
      <c r="A1648">
        <f>IFERROR(INDEX(STAs!$G$2:$G$61,MATCH(P1648,STAs!$F$2:$F$61,0))&amp;"","")</f>
        <v/>
      </c>
      <c r="B1648" t="n">
        <v>20008637</v>
      </c>
      <c r="C1648" t="inlineStr">
        <is>
          <t>Não</t>
        </is>
      </c>
      <c r="D1648" t="inlineStr">
        <is>
          <t>GO</t>
        </is>
      </c>
      <c r="E1648" t="inlineStr">
        <is>
          <t>CENTRO OESTE</t>
        </is>
      </c>
      <c r="F1648" t="inlineStr">
        <is>
          <t>Cliente B - Chopeira</t>
        </is>
      </c>
      <c r="G1648" t="inlineStr">
        <is>
          <t>Refrigeradores</t>
        </is>
      </c>
      <c r="H1648" s="10" t="n">
        <v>30</v>
      </c>
      <c r="I1648" s="10">
        <f>IFERROR(T1648*H1648,0)</f>
        <v/>
      </c>
      <c r="J1648" s="11" t="n">
        <v>46202</v>
      </c>
      <c r="K1648" s="11" t="n">
        <v>46211</v>
      </c>
      <c r="L1648" t="inlineStr">
        <is>
          <t>Ok. Devolvida</t>
        </is>
      </c>
      <c r="M1648">
        <f>IF(L1648="","",IFERROR(VLOOKUP(L1648,mapGrupoStatus,2,0),"Outros"))</f>
        <v/>
      </c>
      <c r="N1648">
        <f>IF(O1648="","",IF(O1648&lt;=30,"0-30 dias",IF(O1648&lt;=60,"31-60 dias",IF(O1648&lt;=90,"61-90 dias","Mais de 90 dias"))))</f>
        <v/>
      </c>
      <c r="O1648">
        <f>IF(OR(M1648="Pendente",M1648="Em andamento"),IF(J1648="","",TODAY()-J1648),"")</f>
        <v/>
      </c>
      <c r="P1648" t="n">
        <v>10317</v>
      </c>
      <c r="Q1648" t="inlineStr">
        <is>
          <t>Termotec Manutenção (10317)</t>
        </is>
      </c>
      <c r="R1648" t="inlineStr">
        <is>
          <t>PC-0025</t>
        </is>
      </c>
      <c r="S1648" t="inlineStr">
        <is>
          <t>Relé de partida modelo 03</t>
        </is>
      </c>
      <c r="T1648" t="n">
        <v>1</v>
      </c>
      <c r="U1648" t="n">
        <v>115</v>
      </c>
      <c r="V1648">
        <f>IF(J1648="","",MONTH(J1648))</f>
        <v/>
      </c>
      <c r="W1648">
        <f>IF(J1648="","",YEAR(J1648))</f>
        <v/>
      </c>
      <c r="X1648" t="inlineStr">
        <is>
          <t>LogExpress</t>
        </is>
      </c>
      <c r="Y1648">
        <f>IFERROR(INDEX(Rastreio!$H$2:$H$200,MATCH(X1648&amp;"|"&amp;U1648,Rastreio!$A$2:$A$200,0)),"")</f>
        <v/>
      </c>
    </row>
    <row r="1649">
      <c r="A1649">
        <f>IFERROR(INDEX(STAs!$G$2:$G$61,MATCH(P1649,STAs!$F$2:$F$61,0))&amp;"","")</f>
        <v/>
      </c>
      <c r="B1649" t="n">
        <v>20017844</v>
      </c>
      <c r="C1649" t="inlineStr">
        <is>
          <t>Não</t>
        </is>
      </c>
      <c r="D1649" t="inlineStr">
        <is>
          <t>RS</t>
        </is>
      </c>
      <c r="E1649" t="inlineStr">
        <is>
          <t>SUL</t>
        </is>
      </c>
      <c r="F1649" t="inlineStr">
        <is>
          <t>Cliente A - Refrigerador</t>
        </is>
      </c>
      <c r="G1649" t="inlineStr">
        <is>
          <t>Chopeiras</t>
        </is>
      </c>
      <c r="H1649" s="10" t="n">
        <v>100</v>
      </c>
      <c r="I1649" s="10">
        <f>IFERROR(T1649*H1649,0)</f>
        <v/>
      </c>
      <c r="J1649" s="11" t="n">
        <v>46202</v>
      </c>
      <c r="K1649" s="11" t="n">
        <v>46241</v>
      </c>
      <c r="L1649" t="inlineStr">
        <is>
          <t>Ok. Devolvida</t>
        </is>
      </c>
      <c r="M1649">
        <f>IF(L1649="","",IFERROR(VLOOKUP(L1649,mapGrupoStatus,2,0),"Outros"))</f>
        <v/>
      </c>
      <c r="N1649">
        <f>IF(O1649="","",IF(O1649&lt;=30,"0-30 dias",IF(O1649&lt;=60,"31-60 dias",IF(O1649&lt;=90,"61-90 dias","Mais de 90 dias"))))</f>
        <v/>
      </c>
      <c r="O1649">
        <f>IF(OR(M1649="Pendente",M1649="Em andamento"),IF(J1649="","",TODAY()-J1649),"")</f>
        <v/>
      </c>
      <c r="P1649" t="n">
        <v>11459</v>
      </c>
      <c r="Q1649" t="inlineStr">
        <is>
          <t>Frio ME (11459)</t>
        </is>
      </c>
      <c r="R1649" t="inlineStr">
        <is>
          <t>PC-0027</t>
        </is>
      </c>
      <c r="S1649" t="inlineStr">
        <is>
          <t>Torneira de chopp modelo 02</t>
        </is>
      </c>
      <c r="T1649" t="n">
        <v>1</v>
      </c>
      <c r="U1649" t="n">
        <v>133</v>
      </c>
      <c r="V1649">
        <f>IF(J1649="","",MONTH(J1649))</f>
        <v/>
      </c>
      <c r="W1649">
        <f>IF(J1649="","",YEAR(J1649))</f>
        <v/>
      </c>
      <c r="X1649" t="inlineStr">
        <is>
          <t>ViaCargo</t>
        </is>
      </c>
      <c r="Y1649">
        <f>IFERROR(INDEX(Rastreio!$H$2:$H$200,MATCH(X1649&amp;"|"&amp;U1649,Rastreio!$A$2:$A$200,0)),"")</f>
        <v/>
      </c>
    </row>
    <row r="1650">
      <c r="A1650">
        <f>IFERROR(INDEX(STAs!$G$2:$G$61,MATCH(P1650,STAs!$F$2:$F$61,0))&amp;"","")</f>
        <v/>
      </c>
      <c r="B1650" t="n">
        <v>20039709</v>
      </c>
      <c r="C1650" t="inlineStr">
        <is>
          <t>Não</t>
        </is>
      </c>
      <c r="D1650" t="inlineStr">
        <is>
          <t>BA</t>
        </is>
      </c>
      <c r="E1650" t="inlineStr">
        <is>
          <t>NORDESTE</t>
        </is>
      </c>
      <c r="F1650" t="inlineStr">
        <is>
          <t>Cliente C - Misturador</t>
        </is>
      </c>
      <c r="G1650" t="inlineStr">
        <is>
          <t>Chopeiras</t>
        </is>
      </c>
      <c r="H1650" s="10" t="n">
        <v>120</v>
      </c>
      <c r="I1650" s="10">
        <f>IFERROR(T1650*H1650,0)</f>
        <v/>
      </c>
      <c r="J1650" s="11" t="n">
        <v>46202</v>
      </c>
      <c r="K1650" s="11" t="n">
        <v>46234</v>
      </c>
      <c r="L1650" t="inlineStr">
        <is>
          <t>Ok. Devolvida</t>
        </is>
      </c>
      <c r="M1650">
        <f>IF(L1650="","",IFERROR(VLOOKUP(L1650,mapGrupoStatus,2,0),"Outros"))</f>
        <v/>
      </c>
      <c r="N1650">
        <f>IF(O1650="","",IF(O1650&lt;=30,"0-30 dias",IF(O1650&lt;=60,"31-60 dias",IF(O1650&lt;=90,"61-90 dias","Mais de 90 dias"))))</f>
        <v/>
      </c>
      <c r="O1650">
        <f>IF(OR(M1650="Pendente",M1650="Em andamento"),IF(J1650="","",TODAY()-J1650),"")</f>
        <v/>
      </c>
      <c r="P1650" t="n">
        <v>11538</v>
      </c>
      <c r="Q1650" t="inlineStr">
        <is>
          <t>Clima Manutenção (11538)</t>
        </is>
      </c>
      <c r="R1650" t="inlineStr">
        <is>
          <t>PC-0032</t>
        </is>
      </c>
      <c r="S1650" t="inlineStr">
        <is>
          <t>Regulador de pressão modelo 01</t>
        </is>
      </c>
      <c r="T1650" t="n">
        <v>2</v>
      </c>
      <c r="U1650" t="n">
        <v>170</v>
      </c>
      <c r="V1650">
        <f>IF(J1650="","",MONTH(J1650))</f>
        <v/>
      </c>
      <c r="W1650">
        <f>IF(J1650="","",YEAR(J1650))</f>
        <v/>
      </c>
      <c r="X1650" t="inlineStr">
        <is>
          <t>TransNorte</t>
        </is>
      </c>
      <c r="Y1650">
        <f>IFERROR(INDEX(Rastreio!$H$2:$H$200,MATCH(X1650&amp;"|"&amp;U1650,Rastreio!$A$2:$A$200,0)),"")</f>
        <v/>
      </c>
    </row>
    <row r="1651">
      <c r="A1651">
        <f>IFERROR(INDEX(STAs!$G$2:$G$61,MATCH(P1651,STAs!$F$2:$F$61,0))&amp;"","")</f>
        <v/>
      </c>
      <c r="B1651" t="n">
        <v>20007422</v>
      </c>
      <c r="C1651" t="inlineStr">
        <is>
          <t>Não</t>
        </is>
      </c>
      <c r="D1651" t="inlineStr">
        <is>
          <t>RR</t>
        </is>
      </c>
      <c r="E1651" t="inlineStr">
        <is>
          <t>NORTE</t>
        </is>
      </c>
      <c r="F1651" t="inlineStr">
        <is>
          <t>Cliente A - Refrigerador</t>
        </is>
      </c>
      <c r="G1651" t="inlineStr">
        <is>
          <t>Refrigeradores</t>
        </is>
      </c>
      <c r="H1651" s="10" t="n">
        <v>155</v>
      </c>
      <c r="I1651" s="10">
        <f>IFERROR(T1651*H1651,0)</f>
        <v/>
      </c>
      <c r="J1651" s="11" t="n">
        <v>46203</v>
      </c>
      <c r="K1651" s="11" t="n">
        <v>46244</v>
      </c>
      <c r="L1651" t="inlineStr">
        <is>
          <t>Ok. Devolvida</t>
        </is>
      </c>
      <c r="M1651">
        <f>IF(L1651="","",IFERROR(VLOOKUP(L1651,mapGrupoStatus,2,0),"Outros"))</f>
        <v/>
      </c>
      <c r="N1651">
        <f>IF(O1651="","",IF(O1651&lt;=30,"0-30 dias",IF(O1651&lt;=60,"31-60 dias",IF(O1651&lt;=90,"61-90 dias","Mais de 90 dias"))))</f>
        <v/>
      </c>
      <c r="O1651">
        <f>IF(OR(M1651="Pendente",M1651="Em andamento"),IF(J1651="","",TODAY()-J1651),"")</f>
        <v/>
      </c>
      <c r="P1651" t="n">
        <v>11818</v>
      </c>
      <c r="Q1651" t="inlineStr">
        <is>
          <t>Termotec Ltda (11818)</t>
        </is>
      </c>
      <c r="R1651" t="inlineStr">
        <is>
          <t>PC-0021</t>
        </is>
      </c>
      <c r="S1651" t="inlineStr">
        <is>
          <t>Controlador digital modelo 01</t>
        </is>
      </c>
      <c r="T1651" t="n">
        <v>2</v>
      </c>
      <c r="U1651" t="n">
        <v>113</v>
      </c>
      <c r="V1651">
        <f>IF(J1651="","",MONTH(J1651))</f>
        <v/>
      </c>
      <c r="W1651">
        <f>IF(J1651="","",YEAR(J1651))</f>
        <v/>
      </c>
      <c r="X1651" t="inlineStr">
        <is>
          <t>CargoMax</t>
        </is>
      </c>
      <c r="Y1651">
        <f>IFERROR(INDEX(Rastreio!$H$2:$H$200,MATCH(X1651&amp;"|"&amp;U1651,Rastreio!$A$2:$A$200,0)),"")</f>
        <v/>
      </c>
    </row>
    <row r="1652">
      <c r="A1652">
        <f>IFERROR(INDEX(STAs!$G$2:$G$61,MATCH(P1652,STAs!$F$2:$F$61,0))&amp;"","")</f>
        <v/>
      </c>
      <c r="B1652" t="n">
        <v>20010209</v>
      </c>
      <c r="C1652" t="inlineStr">
        <is>
          <t>Não</t>
        </is>
      </c>
      <c r="D1652" t="inlineStr">
        <is>
          <t>RR</t>
        </is>
      </c>
      <c r="E1652" t="inlineStr">
        <is>
          <t>NORTE</t>
        </is>
      </c>
      <c r="F1652" t="inlineStr">
        <is>
          <t>Cliente B - Chopeira</t>
        </is>
      </c>
      <c r="G1652" t="inlineStr">
        <is>
          <t>Misturadores</t>
        </is>
      </c>
      <c r="H1652" s="10" t="n">
        <v>265</v>
      </c>
      <c r="I1652" s="10">
        <f>IFERROR(T1652*H1652,0)</f>
        <v/>
      </c>
      <c r="J1652" s="11" t="n">
        <v>46203</v>
      </c>
      <c r="K1652" s="11" t="n"/>
      <c r="L1652" t="inlineStr">
        <is>
          <t>Não Devolve-Norte</t>
        </is>
      </c>
      <c r="M1652">
        <f>IF(L1652="","",IFERROR(VLOOKUP(L1652,mapGrupoStatus,2,0),"Outros"))</f>
        <v/>
      </c>
      <c r="N1652">
        <f>IF(O1652="","",IF(O1652&lt;=30,"0-30 dias",IF(O1652&lt;=60,"31-60 dias",IF(O1652&lt;=90,"61-90 dias","Mais de 90 dias"))))</f>
        <v/>
      </c>
      <c r="O1652">
        <f>IF(OR(M1652="Pendente",M1652="Em andamento"),IF(J1652="","",TODAY()-J1652),"")</f>
        <v/>
      </c>
      <c r="P1652" t="n">
        <v>11818</v>
      </c>
      <c r="Q1652" t="inlineStr">
        <is>
          <t>Termotec Ltda (11818)</t>
        </is>
      </c>
      <c r="R1652" t="inlineStr">
        <is>
          <t>PC-0038</t>
        </is>
      </c>
      <c r="S1652" t="inlineStr">
        <is>
          <t>Bomba de recirculação modelo 02</t>
        </is>
      </c>
      <c r="T1652" t="n">
        <v>1</v>
      </c>
      <c r="U1652" t="inlineStr"/>
      <c r="V1652">
        <f>IF(J1652="","",MONTH(J1652))</f>
        <v/>
      </c>
      <c r="W1652">
        <f>IF(J1652="","",YEAR(J1652))</f>
        <v/>
      </c>
      <c r="X1652" t="inlineStr"/>
      <c r="Y1652">
        <f>IFERROR(INDEX(Rastreio!$H$2:$H$200,MATCH(X1652&amp;"|"&amp;U1652,Rastreio!$A$2:$A$200,0)),"")</f>
        <v/>
      </c>
    </row>
    <row r="1653">
      <c r="A1653">
        <f>IFERROR(INDEX(STAs!$G$2:$G$61,MATCH(P1653,STAs!$F$2:$F$61,0))&amp;"","")</f>
        <v/>
      </c>
      <c r="B1653" t="n">
        <v>20015895</v>
      </c>
      <c r="C1653" t="inlineStr">
        <is>
          <t>Sim</t>
        </is>
      </c>
      <c r="D1653" t="inlineStr">
        <is>
          <t>GO</t>
        </is>
      </c>
      <c r="E1653" t="inlineStr">
        <is>
          <t>CENTRO OESTE</t>
        </is>
      </c>
      <c r="F1653" t="inlineStr">
        <is>
          <t>Cliente B - Chopeira</t>
        </is>
      </c>
      <c r="G1653" t="inlineStr">
        <is>
          <t>Chopeiras</t>
        </is>
      </c>
      <c r="H1653" s="10" t="n">
        <v>120</v>
      </c>
      <c r="I1653" s="10">
        <f>IFERROR(T1653*H1653,0)</f>
        <v/>
      </c>
      <c r="J1653" s="11" t="n">
        <v>46203</v>
      </c>
      <c r="K1653" s="11" t="n">
        <v>46237</v>
      </c>
      <c r="L1653" t="inlineStr">
        <is>
          <t>Ok. Devolvida</t>
        </is>
      </c>
      <c r="M1653">
        <f>IF(L1653="","",IFERROR(VLOOKUP(L1653,mapGrupoStatus,2,0),"Outros"))</f>
        <v/>
      </c>
      <c r="N1653">
        <f>IF(O1653="","",IF(O1653&lt;=30,"0-30 dias",IF(O1653&lt;=60,"31-60 dias",IF(O1653&lt;=90,"61-90 dias","Mais de 90 dias"))))</f>
        <v/>
      </c>
      <c r="O1653">
        <f>IF(OR(M1653="Pendente",M1653="Em andamento"),IF(J1653="","",TODAY()-J1653),"")</f>
        <v/>
      </c>
      <c r="P1653" t="n">
        <v>11677</v>
      </c>
      <c r="Q1653" t="inlineStr">
        <is>
          <t>Cool Service Manutenção (11677)</t>
        </is>
      </c>
      <c r="R1653" t="inlineStr">
        <is>
          <t>PC-0032</t>
        </is>
      </c>
      <c r="S1653" t="inlineStr">
        <is>
          <t>Regulador de pressão modelo 01</t>
        </is>
      </c>
      <c r="T1653" t="n">
        <v>1</v>
      </c>
      <c r="U1653" t="n">
        <v>131</v>
      </c>
      <c r="V1653">
        <f>IF(J1653="","",MONTH(J1653))</f>
        <v/>
      </c>
      <c r="W1653">
        <f>IF(J1653="","",YEAR(J1653))</f>
        <v/>
      </c>
      <c r="X1653" t="inlineStr">
        <is>
          <t>ViaCargo</t>
        </is>
      </c>
      <c r="Y1653">
        <f>IFERROR(INDEX(Rastreio!$H$2:$H$200,MATCH(X1653&amp;"|"&amp;U1653,Rastreio!$A$2:$A$200,0)),"")</f>
        <v/>
      </c>
    </row>
    <row r="1654">
      <c r="A1654">
        <f>IFERROR(INDEX(STAs!$G$2:$G$61,MATCH(P1654,STAs!$F$2:$F$61,0))&amp;"","")</f>
        <v/>
      </c>
      <c r="B1654" t="n">
        <v>20016546</v>
      </c>
      <c r="C1654" t="inlineStr">
        <is>
          <t>Sim</t>
        </is>
      </c>
      <c r="D1654" t="inlineStr">
        <is>
          <t>GO</t>
        </is>
      </c>
      <c r="E1654" t="inlineStr">
        <is>
          <t>CENTRO OESTE</t>
        </is>
      </c>
      <c r="F1654" t="inlineStr">
        <is>
          <t>Cliente A - Refrigerador</t>
        </is>
      </c>
      <c r="G1654" t="inlineStr">
        <is>
          <t>Refrigeradores</t>
        </is>
      </c>
      <c r="H1654" s="10" t="n">
        <v>155</v>
      </c>
      <c r="I1654" s="10">
        <f>IFERROR(T1654*H1654,0)</f>
        <v/>
      </c>
      <c r="J1654" s="11" t="n">
        <v>46203</v>
      </c>
      <c r="K1654" s="11" t="n"/>
      <c r="L1654" t="inlineStr">
        <is>
          <t>Aguardando devolução</t>
        </is>
      </c>
      <c r="M1654">
        <f>IF(L1654="","",IFERROR(VLOOKUP(L1654,mapGrupoStatus,2,0),"Outros"))</f>
        <v/>
      </c>
      <c r="N1654">
        <f>IF(O1654="","",IF(O1654&lt;=30,"0-30 dias",IF(O1654&lt;=60,"31-60 dias",IF(O1654&lt;=90,"61-90 dias","Mais de 90 dias"))))</f>
        <v/>
      </c>
      <c r="O1654">
        <f>IF(OR(M1654="Pendente",M1654="Em andamento"),IF(J1654="","",TODAY()-J1654),"")</f>
        <v/>
      </c>
      <c r="P1654" t="n">
        <v>11677</v>
      </c>
      <c r="Q1654" t="inlineStr">
        <is>
          <t>Cool Service Manutenção (11677)</t>
        </is>
      </c>
      <c r="R1654" t="inlineStr">
        <is>
          <t>PC-0022</t>
        </is>
      </c>
      <c r="S1654" t="inlineStr">
        <is>
          <t>Controlador digital modelo 02</t>
        </is>
      </c>
      <c r="T1654" t="n">
        <v>1</v>
      </c>
      <c r="U1654" t="inlineStr"/>
      <c r="V1654">
        <f>IF(J1654="","",MONTH(J1654))</f>
        <v/>
      </c>
      <c r="W1654">
        <f>IF(J1654="","",YEAR(J1654))</f>
        <v/>
      </c>
      <c r="X1654" t="inlineStr"/>
      <c r="Y1654">
        <f>IFERROR(INDEX(Rastreio!$H$2:$H$200,MATCH(X1654&amp;"|"&amp;U1654,Rastreio!$A$2:$A$200,0)),"")</f>
        <v/>
      </c>
    </row>
    <row r="1655">
      <c r="A1655">
        <f>IFERROR(INDEX(STAs!$G$2:$G$61,MATCH(P1655,STAs!$F$2:$F$61,0))&amp;"","")</f>
        <v/>
      </c>
      <c r="B1655" t="n">
        <v>20034918</v>
      </c>
      <c r="C1655" t="inlineStr">
        <is>
          <t>Não</t>
        </is>
      </c>
      <c r="D1655" t="inlineStr">
        <is>
          <t>GO</t>
        </is>
      </c>
      <c r="E1655" t="inlineStr">
        <is>
          <t>CENTRO OESTE</t>
        </is>
      </c>
      <c r="F1655" t="inlineStr">
        <is>
          <t>Cliente A - Refrigerador</t>
        </is>
      </c>
      <c r="G1655" t="inlineStr">
        <is>
          <t>Refrigeradores</t>
        </is>
      </c>
      <c r="H1655" s="10" t="n">
        <v>35</v>
      </c>
      <c r="I1655" s="10">
        <f>IFERROR(T1655*H1655,0)</f>
        <v/>
      </c>
      <c r="J1655" s="11" t="n">
        <v>46203</v>
      </c>
      <c r="K1655" s="11" t="n">
        <v>46214</v>
      </c>
      <c r="L1655" t="inlineStr">
        <is>
          <t>Ok. Devolvida</t>
        </is>
      </c>
      <c r="M1655">
        <f>IF(L1655="","",IFERROR(VLOOKUP(L1655,mapGrupoStatus,2,0),"Outros"))</f>
        <v/>
      </c>
      <c r="N1655">
        <f>IF(O1655="","",IF(O1655&lt;=30,"0-30 dias",IF(O1655&lt;=60,"31-60 dias",IF(O1655&lt;=90,"61-90 dias","Mais de 90 dias"))))</f>
        <v/>
      </c>
      <c r="O1655">
        <f>IF(OR(M1655="Pendente",M1655="Em andamento"),IF(J1655="","",TODAY()-J1655),"")</f>
        <v/>
      </c>
      <c r="P1655" t="n">
        <v>10317</v>
      </c>
      <c r="Q1655" t="inlineStr">
        <is>
          <t>Termotec Manutenção (10317)</t>
        </is>
      </c>
      <c r="R1655" t="inlineStr">
        <is>
          <t>PC-0023</t>
        </is>
      </c>
      <c r="S1655" t="inlineStr">
        <is>
          <t>Relé de partida modelo 01</t>
        </is>
      </c>
      <c r="T1655" t="n">
        <v>3</v>
      </c>
      <c r="U1655" t="n">
        <v>160</v>
      </c>
      <c r="V1655">
        <f>IF(J1655="","",MONTH(J1655))</f>
        <v/>
      </c>
      <c r="W1655">
        <f>IF(J1655="","",YEAR(J1655))</f>
        <v/>
      </c>
      <c r="X1655" t="inlineStr">
        <is>
          <t>RotaSul</t>
        </is>
      </c>
      <c r="Y1655">
        <f>IFERROR(INDEX(Rastreio!$H$2:$H$200,MATCH(X1655&amp;"|"&amp;U1655,Rastreio!$A$2:$A$200,0)),"")</f>
        <v/>
      </c>
    </row>
    <row r="1656">
      <c r="A1656">
        <f>IFERROR(INDEX(STAs!$G$2:$G$61,MATCH(P1656,STAs!$F$2:$F$61,0))&amp;"","")</f>
        <v/>
      </c>
      <c r="B1656" t="n">
        <v>20039625</v>
      </c>
      <c r="C1656" t="inlineStr">
        <is>
          <t>Não</t>
        </is>
      </c>
      <c r="D1656" t="inlineStr">
        <is>
          <t>MG</t>
        </is>
      </c>
      <c r="E1656" t="inlineStr">
        <is>
          <t>SUDESTE MG</t>
        </is>
      </c>
      <c r="F1656" t="inlineStr">
        <is>
          <t>Cliente A - Refrigerador</t>
        </is>
      </c>
      <c r="G1656" t="inlineStr">
        <is>
          <t>Chopeiras</t>
        </is>
      </c>
      <c r="H1656" s="10" t="n">
        <v>85</v>
      </c>
      <c r="I1656" s="10">
        <f>IFERROR(T1656*H1656,0)</f>
        <v/>
      </c>
      <c r="J1656" s="11" t="n">
        <v>46203</v>
      </c>
      <c r="K1656" s="11" t="n">
        <v>46263</v>
      </c>
      <c r="L1656" t="inlineStr">
        <is>
          <t>Ok. Devolvida</t>
        </is>
      </c>
      <c r="M1656">
        <f>IF(L1656="","",IFERROR(VLOOKUP(L1656,mapGrupoStatus,2,0),"Outros"))</f>
        <v/>
      </c>
      <c r="N1656">
        <f>IF(O1656="","",IF(O1656&lt;=30,"0-30 dias",IF(O1656&lt;=60,"31-60 dias",IF(O1656&lt;=90,"61-90 dias","Mais de 90 dias"))))</f>
        <v/>
      </c>
      <c r="O1656">
        <f>IF(OR(M1656="Pendente",M1656="Em andamento"),IF(J1656="","",TODAY()-J1656),"")</f>
        <v/>
      </c>
      <c r="P1656" t="n">
        <v>12158</v>
      </c>
      <c r="Q1656" t="inlineStr">
        <is>
          <t>Gelo Serviços (12158)</t>
        </is>
      </c>
      <c r="R1656" t="inlineStr">
        <is>
          <t>PC-0026</t>
        </is>
      </c>
      <c r="S1656" t="inlineStr">
        <is>
          <t>Torneira de chopp modelo 01</t>
        </is>
      </c>
      <c r="T1656" t="n">
        <v>1</v>
      </c>
      <c r="U1656" t="n">
        <v>159</v>
      </c>
      <c r="V1656">
        <f>IF(J1656="","",MONTH(J1656))</f>
        <v/>
      </c>
      <c r="W1656">
        <f>IF(J1656="","",YEAR(J1656))</f>
        <v/>
      </c>
      <c r="X1656" t="inlineStr">
        <is>
          <t>ViaCargo</t>
        </is>
      </c>
      <c r="Y1656">
        <f>IFERROR(INDEX(Rastreio!$H$2:$H$200,MATCH(X1656&amp;"|"&amp;U1656,Rastreio!$A$2:$A$200,0)),"")</f>
        <v/>
      </c>
    </row>
    <row r="1657">
      <c r="A1657">
        <f>IFERROR(INDEX(STAs!$G$2:$G$61,MATCH(P1657,STAs!$F$2:$F$61,0))&amp;"","")</f>
        <v/>
      </c>
      <c r="B1657" t="n">
        <v>20040147</v>
      </c>
      <c r="C1657" t="inlineStr">
        <is>
          <t>Não</t>
        </is>
      </c>
      <c r="D1657" t="inlineStr">
        <is>
          <t>MG</t>
        </is>
      </c>
      <c r="E1657" t="inlineStr">
        <is>
          <t>SUDESTE MG</t>
        </is>
      </c>
      <c r="F1657" t="inlineStr">
        <is>
          <t>Cliente B - Chopeira</t>
        </is>
      </c>
      <c r="G1657" t="inlineStr">
        <is>
          <t>Refrigeradores</t>
        </is>
      </c>
      <c r="H1657" s="10" t="n">
        <v>330</v>
      </c>
      <c r="I1657" s="10">
        <f>IFERROR(T1657*H1657,0)</f>
        <v/>
      </c>
      <c r="J1657" s="11" t="n">
        <v>46203</v>
      </c>
      <c r="K1657" s="11" t="n">
        <v>46242</v>
      </c>
      <c r="L1657" t="inlineStr">
        <is>
          <t>Ok. Devolvida</t>
        </is>
      </c>
      <c r="M1657">
        <f>IF(L1657="","",IFERROR(VLOOKUP(L1657,mapGrupoStatus,2,0),"Outros"))</f>
        <v/>
      </c>
      <c r="N1657">
        <f>IF(O1657="","",IF(O1657&lt;=30,"0-30 dias",IF(O1657&lt;=60,"31-60 dias",IF(O1657&lt;=90,"61-90 dias","Mais de 90 dias"))))</f>
        <v/>
      </c>
      <c r="O1657">
        <f>IF(OR(M1657="Pendente",M1657="Em andamento"),IF(J1657="","",TODAY()-J1657),"")</f>
        <v/>
      </c>
      <c r="P1657" t="n">
        <v>12158</v>
      </c>
      <c r="Q1657" t="inlineStr">
        <is>
          <t>Gelo Serviços (12158)</t>
        </is>
      </c>
      <c r="R1657" t="inlineStr">
        <is>
          <t>PC-0003</t>
        </is>
      </c>
      <c r="S1657" t="inlineStr">
        <is>
          <t>Compressor modelo 03</t>
        </is>
      </c>
      <c r="T1657" t="n">
        <v>1</v>
      </c>
      <c r="U1657" t="n">
        <v>174</v>
      </c>
      <c r="V1657">
        <f>IF(J1657="","",MONTH(J1657))</f>
        <v/>
      </c>
      <c r="W1657">
        <f>IF(J1657="","",YEAR(J1657))</f>
        <v/>
      </c>
      <c r="X1657" t="inlineStr">
        <is>
          <t>RotaSul</t>
        </is>
      </c>
      <c r="Y1657">
        <f>IFERROR(INDEX(Rastreio!$H$2:$H$200,MATCH(X1657&amp;"|"&amp;U1657,Rastreio!$A$2:$A$200,0)),"")</f>
        <v/>
      </c>
    </row>
    <row r="1658">
      <c r="A1658">
        <f>IFERROR(INDEX(STAs!$G$2:$G$61,MATCH(P1658,STAs!$F$2:$F$61,0))&amp;"","")</f>
        <v/>
      </c>
      <c r="B1658" t="n">
        <v>20017530</v>
      </c>
      <c r="C1658" t="inlineStr">
        <is>
          <t>Não</t>
        </is>
      </c>
      <c r="D1658" t="inlineStr">
        <is>
          <t>SC</t>
        </is>
      </c>
      <c r="E1658" t="inlineStr">
        <is>
          <t>SUL</t>
        </is>
      </c>
      <c r="F1658" t="inlineStr">
        <is>
          <t>Cliente B - Chopeira</t>
        </is>
      </c>
      <c r="G1658" t="inlineStr">
        <is>
          <t>Misturadores</t>
        </is>
      </c>
      <c r="H1658" s="10" t="n">
        <v>265</v>
      </c>
      <c r="I1658" s="10">
        <f>IFERROR(T1658*H1658,0)</f>
        <v/>
      </c>
      <c r="J1658" s="11" t="n">
        <v>46204</v>
      </c>
      <c r="K1658" s="11" t="n">
        <v>46213</v>
      </c>
      <c r="L1658" t="inlineStr">
        <is>
          <t>Ok. Devolvida</t>
        </is>
      </c>
      <c r="M1658">
        <f>IF(L1658="","",IFERROR(VLOOKUP(L1658,mapGrupoStatus,2,0),"Outros"))</f>
        <v/>
      </c>
      <c r="N1658">
        <f>IF(O1658="","",IF(O1658&lt;=30,"0-30 dias",IF(O1658&lt;=60,"31-60 dias",IF(O1658&lt;=90,"61-90 dias","Mais de 90 dias"))))</f>
        <v/>
      </c>
      <c r="O1658">
        <f>IF(OR(M1658="Pendente",M1658="Em andamento"),IF(J1658="","",TODAY()-J1658),"")</f>
        <v/>
      </c>
      <c r="P1658" t="n">
        <v>12138</v>
      </c>
      <c r="Q1658" t="inlineStr">
        <is>
          <t>Refrigeração Serviços (12138)</t>
        </is>
      </c>
      <c r="R1658" t="inlineStr">
        <is>
          <t>PC-0038</t>
        </is>
      </c>
      <c r="S1658" t="inlineStr">
        <is>
          <t>Bomba de recirculação modelo 02</t>
        </is>
      </c>
      <c r="T1658" t="n">
        <v>1</v>
      </c>
      <c r="U1658" t="n">
        <v>132</v>
      </c>
      <c r="V1658">
        <f>IF(J1658="","",MONTH(J1658))</f>
        <v/>
      </c>
      <c r="W1658">
        <f>IF(J1658="","",YEAR(J1658))</f>
        <v/>
      </c>
      <c r="X1658" t="inlineStr">
        <is>
          <t>CargoMax</t>
        </is>
      </c>
      <c r="Y1658">
        <f>IFERROR(INDEX(Rastreio!$H$2:$H$200,MATCH(X1658&amp;"|"&amp;U1658,Rastreio!$A$2:$A$200,0)),"")</f>
        <v/>
      </c>
    </row>
    <row r="1659">
      <c r="A1659">
        <f>IFERROR(INDEX(STAs!$G$2:$G$61,MATCH(P1659,STAs!$F$2:$F$61,0))&amp;"","")</f>
        <v/>
      </c>
      <c r="B1659" t="n">
        <v>20030340</v>
      </c>
      <c r="C1659" t="inlineStr">
        <is>
          <t>Não</t>
        </is>
      </c>
      <c r="D1659" t="inlineStr">
        <is>
          <t>GO</t>
        </is>
      </c>
      <c r="E1659" t="inlineStr">
        <is>
          <t>CENTRO OESTE</t>
        </is>
      </c>
      <c r="F1659" t="inlineStr">
        <is>
          <t>Cliente C - Misturador</t>
        </is>
      </c>
      <c r="G1659" t="inlineStr">
        <is>
          <t>Refrigeradores</t>
        </is>
      </c>
      <c r="H1659" s="10" t="n">
        <v>155</v>
      </c>
      <c r="I1659" s="10">
        <f>IFERROR(T1659*H1659,0)</f>
        <v/>
      </c>
      <c r="J1659" s="11" t="n">
        <v>46204</v>
      </c>
      <c r="K1659" s="11" t="n"/>
      <c r="L1659" t="inlineStr">
        <is>
          <t>Em transporte</t>
        </is>
      </c>
      <c r="M1659">
        <f>IF(L1659="","",IFERROR(VLOOKUP(L1659,mapGrupoStatus,2,0),"Outros"))</f>
        <v/>
      </c>
      <c r="N1659">
        <f>IF(O1659="","",IF(O1659&lt;=30,"0-30 dias",IF(O1659&lt;=60,"31-60 dias",IF(O1659&lt;=90,"61-90 dias","Mais de 90 dias"))))</f>
        <v/>
      </c>
      <c r="O1659">
        <f>IF(OR(M1659="Pendente",M1659="Em andamento"),IF(J1659="","",TODAY()-J1659),"")</f>
        <v/>
      </c>
      <c r="P1659" t="n">
        <v>11293</v>
      </c>
      <c r="Q1659" t="inlineStr">
        <is>
          <t>Assistência Técnica Ltda (11293)</t>
        </is>
      </c>
      <c r="R1659" t="inlineStr">
        <is>
          <t>PC-0022</t>
        </is>
      </c>
      <c r="S1659" t="inlineStr">
        <is>
          <t>Controlador digital modelo 02</t>
        </is>
      </c>
      <c r="T1659" t="n">
        <v>2</v>
      </c>
      <c r="U1659" t="n">
        <v>144</v>
      </c>
      <c r="V1659">
        <f>IF(J1659="","",MONTH(J1659))</f>
        <v/>
      </c>
      <c r="W1659">
        <f>IF(J1659="","",YEAR(J1659))</f>
        <v/>
      </c>
      <c r="X1659" t="inlineStr">
        <is>
          <t>EntregaJá</t>
        </is>
      </c>
      <c r="Y1659">
        <f>IFERROR(INDEX(Rastreio!$H$2:$H$200,MATCH(X1659&amp;"|"&amp;U1659,Rastreio!$A$2:$A$200,0)),"")</f>
        <v/>
      </c>
    </row>
    <row r="1660">
      <c r="A1660">
        <f>IFERROR(INDEX(STAs!$G$2:$G$61,MATCH(P1660,STAs!$F$2:$F$61,0))&amp;"","")</f>
        <v/>
      </c>
      <c r="B1660" t="n">
        <v>20032786</v>
      </c>
      <c r="C1660" t="inlineStr">
        <is>
          <t>Não</t>
        </is>
      </c>
      <c r="D1660" t="inlineStr">
        <is>
          <t>RJ</t>
        </is>
      </c>
      <c r="E1660" t="inlineStr">
        <is>
          <t>SUDESTE RJ e ES</t>
        </is>
      </c>
      <c r="F1660" t="inlineStr">
        <is>
          <t>Cliente C - Misturador</t>
        </is>
      </c>
      <c r="G1660" t="inlineStr">
        <is>
          <t>Misturadores</t>
        </is>
      </c>
      <c r="H1660" s="10" t="n">
        <v>50</v>
      </c>
      <c r="I1660" s="10">
        <f>IFERROR(T1660*H1660,0)</f>
        <v/>
      </c>
      <c r="J1660" s="11" t="n">
        <v>46204</v>
      </c>
      <c r="K1660" s="11" t="n">
        <v>46211</v>
      </c>
      <c r="L1660" t="inlineStr">
        <is>
          <t>Ok. Devolvida</t>
        </is>
      </c>
      <c r="M1660">
        <f>IF(L1660="","",IFERROR(VLOOKUP(L1660,mapGrupoStatus,2,0),"Outros"))</f>
        <v/>
      </c>
      <c r="N1660">
        <f>IF(O1660="","",IF(O1660&lt;=30,"0-30 dias",IF(O1660&lt;=60,"31-60 dias",IF(O1660&lt;=90,"61-90 dias","Mais de 90 dias"))))</f>
        <v/>
      </c>
      <c r="O1660">
        <f>IF(OR(M1660="Pendente",M1660="Em andamento"),IF(J1660="","",TODAY()-J1660),"")</f>
        <v/>
      </c>
      <c r="P1660" t="n">
        <v>11059</v>
      </c>
      <c r="Q1660" t="inlineStr">
        <is>
          <t>Frio Ltda (11059)</t>
        </is>
      </c>
      <c r="R1660" t="inlineStr">
        <is>
          <t>PC-0047</t>
        </is>
      </c>
      <c r="S1660" t="inlineStr">
        <is>
          <t>Sensor de nível modelo 03</t>
        </is>
      </c>
      <c r="T1660" t="n">
        <v>1</v>
      </c>
      <c r="U1660" t="n">
        <v>146</v>
      </c>
      <c r="V1660">
        <f>IF(J1660="","",MONTH(J1660))</f>
        <v/>
      </c>
      <c r="W1660">
        <f>IF(J1660="","",YEAR(J1660))</f>
        <v/>
      </c>
      <c r="X1660" t="inlineStr">
        <is>
          <t>EntregaJá</t>
        </is>
      </c>
      <c r="Y1660">
        <f>IFERROR(INDEX(Rastreio!$H$2:$H$200,MATCH(X1660&amp;"|"&amp;U1660,Rastreio!$A$2:$A$200,0)),"")</f>
        <v/>
      </c>
    </row>
    <row r="1661">
      <c r="A1661">
        <f>IFERROR(INDEX(STAs!$G$2:$G$61,MATCH(P1661,STAs!$F$2:$F$61,0))&amp;"","")</f>
        <v/>
      </c>
      <c r="B1661" t="n">
        <v>20039839</v>
      </c>
      <c r="C1661" t="inlineStr">
        <is>
          <t>Não</t>
        </is>
      </c>
      <c r="D1661" t="inlineStr">
        <is>
          <t>BA</t>
        </is>
      </c>
      <c r="E1661" t="inlineStr">
        <is>
          <t>NORDESTE</t>
        </is>
      </c>
      <c r="F1661" t="inlineStr">
        <is>
          <t>Cliente C - Misturador</t>
        </is>
      </c>
      <c r="G1661" t="inlineStr">
        <is>
          <t>Refrigeradores</t>
        </is>
      </c>
      <c r="H1661" s="10" t="n">
        <v>55</v>
      </c>
      <c r="I1661" s="10">
        <f>IFERROR(T1661*H1661,0)</f>
        <v/>
      </c>
      <c r="J1661" s="11" t="n">
        <v>46204</v>
      </c>
      <c r="K1661" s="11" t="n">
        <v>46262</v>
      </c>
      <c r="L1661" t="inlineStr">
        <is>
          <t>Ok. Devolvida</t>
        </is>
      </c>
      <c r="M1661">
        <f>IF(L1661="","",IFERROR(VLOOKUP(L1661,mapGrupoStatus,2,0),"Outros"))</f>
        <v/>
      </c>
      <c r="N1661">
        <f>IF(O1661="","",IF(O1661&lt;=30,"0-30 dias",IF(O1661&lt;=60,"31-60 dias",IF(O1661&lt;=90,"61-90 dias","Mais de 90 dias"))))</f>
        <v/>
      </c>
      <c r="O1661">
        <f>IF(OR(M1661="Pendente",M1661="Em andamento"),IF(J1661="","",TODAY()-J1661),"")</f>
        <v/>
      </c>
      <c r="P1661" t="n">
        <v>11538</v>
      </c>
      <c r="Q1661" t="inlineStr">
        <is>
          <t>Clima Manutenção (11538)</t>
        </is>
      </c>
      <c r="R1661" t="inlineStr">
        <is>
          <t>PC-0007</t>
        </is>
      </c>
      <c r="S1661" t="inlineStr">
        <is>
          <t>Ventilador modelo 01</t>
        </is>
      </c>
      <c r="T1661" t="n">
        <v>1</v>
      </c>
      <c r="U1661" t="n">
        <v>169</v>
      </c>
      <c r="V1661">
        <f>IF(J1661="","",MONTH(J1661))</f>
        <v/>
      </c>
      <c r="W1661">
        <f>IF(J1661="","",YEAR(J1661))</f>
        <v/>
      </c>
      <c r="X1661" t="inlineStr">
        <is>
          <t>CargoMax</t>
        </is>
      </c>
      <c r="Y1661">
        <f>IFERROR(INDEX(Rastreio!$H$2:$H$200,MATCH(X1661&amp;"|"&amp;U1661,Rastreio!$A$2:$A$200,0)),"")</f>
        <v/>
      </c>
    </row>
    <row r="1662">
      <c r="A1662">
        <f>IFERROR(INDEX(STAs!$G$2:$G$61,MATCH(P1662,STAs!$F$2:$F$61,0))&amp;"","")</f>
        <v/>
      </c>
      <c r="B1662" t="n">
        <v>20005438</v>
      </c>
      <c r="C1662" t="inlineStr">
        <is>
          <t>Sim</t>
        </is>
      </c>
      <c r="D1662" t="inlineStr">
        <is>
          <t>PR</t>
        </is>
      </c>
      <c r="E1662" t="inlineStr">
        <is>
          <t>SUL</t>
        </is>
      </c>
      <c r="F1662" t="inlineStr">
        <is>
          <t>Cliente B - Chopeira</t>
        </is>
      </c>
      <c r="G1662" t="inlineStr">
        <is>
          <t>Misturadores</t>
        </is>
      </c>
      <c r="H1662" s="10" t="n">
        <v>50</v>
      </c>
      <c r="I1662" s="10">
        <f>IFERROR(T1662*H1662,0)</f>
        <v/>
      </c>
      <c r="J1662" s="11" t="n">
        <v>46205</v>
      </c>
      <c r="K1662" s="11" t="n"/>
      <c r="L1662" t="inlineStr">
        <is>
          <t>Em transporte</t>
        </is>
      </c>
      <c r="M1662">
        <f>IF(L1662="","",IFERROR(VLOOKUP(L1662,mapGrupoStatus,2,0),"Outros"))</f>
        <v/>
      </c>
      <c r="N1662">
        <f>IF(O1662="","",IF(O1662&lt;=30,"0-30 dias",IF(O1662&lt;=60,"31-60 dias",IF(O1662&lt;=90,"61-90 dias","Mais de 90 dias"))))</f>
        <v/>
      </c>
      <c r="O1662">
        <f>IF(OR(M1662="Pendente",M1662="Em andamento"),IF(J1662="","",TODAY()-J1662),"")</f>
        <v/>
      </c>
      <c r="P1662" t="n">
        <v>10753</v>
      </c>
      <c r="Q1662" t="inlineStr">
        <is>
          <t>Refrigel &amp; Cia (10753)</t>
        </is>
      </c>
      <c r="R1662" t="inlineStr">
        <is>
          <t>PC-0047</t>
        </is>
      </c>
      <c r="S1662" t="inlineStr">
        <is>
          <t>Sensor de nível modelo 03</t>
        </is>
      </c>
      <c r="T1662" t="n">
        <v>1</v>
      </c>
      <c r="U1662" t="n">
        <v>111</v>
      </c>
      <c r="V1662">
        <f>IF(J1662="","",MONTH(J1662))</f>
        <v/>
      </c>
      <c r="W1662">
        <f>IF(J1662="","",YEAR(J1662))</f>
        <v/>
      </c>
      <c r="X1662" t="inlineStr">
        <is>
          <t>RotaSul</t>
        </is>
      </c>
      <c r="Y1662">
        <f>IFERROR(INDEX(Rastreio!$H$2:$H$200,MATCH(X1662&amp;"|"&amp;U1662,Rastreio!$A$2:$A$200,0)),"")</f>
        <v/>
      </c>
    </row>
    <row r="1663">
      <c r="A1663">
        <f>IFERROR(INDEX(STAs!$G$2:$G$61,MATCH(P1663,STAs!$F$2:$F$61,0))&amp;"","")</f>
        <v/>
      </c>
      <c r="B1663" t="n">
        <v>20005698</v>
      </c>
      <c r="C1663" t="inlineStr">
        <is>
          <t>Não</t>
        </is>
      </c>
      <c r="D1663" t="inlineStr">
        <is>
          <t>BA</t>
        </is>
      </c>
      <c r="E1663" t="inlineStr">
        <is>
          <t>NORDESTE</t>
        </is>
      </c>
      <c r="F1663" t="inlineStr">
        <is>
          <t>Cliente A - Refrigerador</t>
        </is>
      </c>
      <c r="G1663" t="inlineStr">
        <is>
          <t>Misturadores</t>
        </is>
      </c>
      <c r="H1663" s="10" t="n">
        <v>50</v>
      </c>
      <c r="I1663" s="10">
        <f>IFERROR(T1663*H1663,0)</f>
        <v/>
      </c>
      <c r="J1663" s="11" t="n">
        <v>46205</v>
      </c>
      <c r="K1663" s="11" t="n"/>
      <c r="L1663" t="inlineStr">
        <is>
          <t>Em andamento</t>
        </is>
      </c>
      <c r="M1663">
        <f>IF(L1663="","",IFERROR(VLOOKUP(L1663,mapGrupoStatus,2,0),"Outros"))</f>
        <v/>
      </c>
      <c r="N1663">
        <f>IF(O1663="","",IF(O1663&lt;=30,"0-30 dias",IF(O1663&lt;=60,"31-60 dias",IF(O1663&lt;=90,"61-90 dias","Mais de 90 dias"))))</f>
        <v/>
      </c>
      <c r="O1663">
        <f>IF(OR(M1663="Pendente",M1663="Em andamento"),IF(J1663="","",TODAY()-J1663),"")</f>
        <v/>
      </c>
      <c r="P1663" t="n">
        <v>11244</v>
      </c>
      <c r="Q1663" t="inlineStr">
        <is>
          <t>Refrigeração Manutenção (11244)</t>
        </is>
      </c>
      <c r="R1663" t="inlineStr">
        <is>
          <t>PC-0045</t>
        </is>
      </c>
      <c r="S1663" t="inlineStr">
        <is>
          <t>Sensor de nível modelo 01</t>
        </is>
      </c>
      <c r="T1663" t="n">
        <v>1</v>
      </c>
      <c r="U1663" t="n">
        <v>108</v>
      </c>
      <c r="V1663">
        <f>IF(J1663="","",MONTH(J1663))</f>
        <v/>
      </c>
      <c r="W1663">
        <f>IF(J1663="","",YEAR(J1663))</f>
        <v/>
      </c>
      <c r="X1663" t="inlineStr">
        <is>
          <t>LogExpress</t>
        </is>
      </c>
      <c r="Y1663">
        <f>IFERROR(INDEX(Rastreio!$H$2:$H$200,MATCH(X1663&amp;"|"&amp;U1663,Rastreio!$A$2:$A$200,0)),"")</f>
        <v/>
      </c>
    </row>
    <row r="1664">
      <c r="A1664">
        <f>IFERROR(INDEX(STAs!$G$2:$G$61,MATCH(P1664,STAs!$F$2:$F$61,0))&amp;"","")</f>
        <v/>
      </c>
      <c r="B1664" t="n">
        <v>20007913</v>
      </c>
      <c r="C1664" t="inlineStr">
        <is>
          <t>Não</t>
        </is>
      </c>
      <c r="D1664" t="inlineStr">
        <is>
          <t>MG</t>
        </is>
      </c>
      <c r="E1664" t="inlineStr">
        <is>
          <t>SUDESTE MG</t>
        </is>
      </c>
      <c r="F1664" t="inlineStr">
        <is>
          <t>Cliente C - Misturador</t>
        </is>
      </c>
      <c r="G1664" t="inlineStr">
        <is>
          <t>Misturadores</t>
        </is>
      </c>
      <c r="H1664" s="10" t="n">
        <v>185</v>
      </c>
      <c r="I1664" s="10">
        <f>IFERROR(T1664*H1664,0)</f>
        <v/>
      </c>
      <c r="J1664" s="11" t="n">
        <v>46205</v>
      </c>
      <c r="K1664" s="11" t="n">
        <v>46256</v>
      </c>
      <c r="L1664" t="inlineStr">
        <is>
          <t>Ok. Devolvida</t>
        </is>
      </c>
      <c r="M1664">
        <f>IF(L1664="","",IFERROR(VLOOKUP(L1664,mapGrupoStatus,2,0),"Outros"))</f>
        <v/>
      </c>
      <c r="N1664">
        <f>IF(O1664="","",IF(O1664&lt;=30,"0-30 dias",IF(O1664&lt;=60,"31-60 dias",IF(O1664&lt;=90,"61-90 dias","Mais de 90 dias"))))</f>
        <v/>
      </c>
      <c r="O1664">
        <f>IF(OR(M1664="Pendente",M1664="Em andamento"),IF(J1664="","",TODAY()-J1664),"")</f>
        <v/>
      </c>
      <c r="P1664" t="n">
        <v>12470</v>
      </c>
      <c r="Q1664" t="inlineStr">
        <is>
          <t>Cool Service Técnica (12470)</t>
        </is>
      </c>
      <c r="R1664" t="inlineStr">
        <is>
          <t>PC-0041</t>
        </is>
      </c>
      <c r="S1664" t="inlineStr">
        <is>
          <t>Motor agitador modelo 02</t>
        </is>
      </c>
      <c r="T1664" t="n">
        <v>1</v>
      </c>
      <c r="U1664" t="n">
        <v>114</v>
      </c>
      <c r="V1664">
        <f>IF(J1664="","",MONTH(J1664))</f>
        <v/>
      </c>
      <c r="W1664">
        <f>IF(J1664="","",YEAR(J1664))</f>
        <v/>
      </c>
      <c r="X1664" t="inlineStr">
        <is>
          <t>LogExpress</t>
        </is>
      </c>
      <c r="Y1664">
        <f>IFERROR(INDEX(Rastreio!$H$2:$H$200,MATCH(X1664&amp;"|"&amp;U1664,Rastreio!$A$2:$A$200,0)),"")</f>
        <v/>
      </c>
    </row>
    <row r="1665">
      <c r="A1665">
        <f>IFERROR(INDEX(STAs!$G$2:$G$61,MATCH(P1665,STAs!$F$2:$F$61,0))&amp;"","")</f>
        <v/>
      </c>
      <c r="B1665" t="n">
        <v>20008725</v>
      </c>
      <c r="C1665" t="inlineStr">
        <is>
          <t>Não</t>
        </is>
      </c>
      <c r="D1665" t="inlineStr">
        <is>
          <t>SP</t>
        </is>
      </c>
      <c r="E1665" t="inlineStr">
        <is>
          <t>SUDESTE SP</t>
        </is>
      </c>
      <c r="F1665" t="inlineStr">
        <is>
          <t>Cliente C - Misturador</t>
        </is>
      </c>
      <c r="G1665" t="inlineStr">
        <is>
          <t>Misturadores</t>
        </is>
      </c>
      <c r="H1665" s="10" t="n">
        <v>200</v>
      </c>
      <c r="I1665" s="10">
        <f>IFERROR(T1665*H1665,0)</f>
        <v/>
      </c>
      <c r="J1665" s="11" t="n">
        <v>46205</v>
      </c>
      <c r="K1665" s="11" t="n"/>
      <c r="L1665" t="inlineStr">
        <is>
          <t>NPD</t>
        </is>
      </c>
      <c r="M1665">
        <f>IF(L1665="","",IFERROR(VLOOKUP(L1665,mapGrupoStatus,2,0),"Outros"))</f>
        <v/>
      </c>
      <c r="N1665">
        <f>IF(O1665="","",IF(O1665&lt;=30,"0-30 dias",IF(O1665&lt;=60,"31-60 dias",IF(O1665&lt;=90,"61-90 dias","Mais de 90 dias"))))</f>
        <v/>
      </c>
      <c r="O1665">
        <f>IF(OR(M1665="Pendente",M1665="Em andamento"),IF(J1665="","",TODAY()-J1665),"")</f>
        <v/>
      </c>
      <c r="P1665" t="n">
        <v>11710</v>
      </c>
      <c r="Q1665" t="inlineStr">
        <is>
          <t>Brisa &amp; Cia (11710)</t>
        </is>
      </c>
      <c r="R1665" t="inlineStr">
        <is>
          <t>PC-0040</t>
        </is>
      </c>
      <c r="S1665" t="inlineStr">
        <is>
          <t>Motor agitador modelo 01</t>
        </is>
      </c>
      <c r="T1665" t="n">
        <v>1</v>
      </c>
      <c r="U1665" t="inlineStr"/>
      <c r="V1665">
        <f>IF(J1665="","",MONTH(J1665))</f>
        <v/>
      </c>
      <c r="W1665">
        <f>IF(J1665="","",YEAR(J1665))</f>
        <v/>
      </c>
      <c r="X1665" t="inlineStr"/>
      <c r="Y1665">
        <f>IFERROR(INDEX(Rastreio!$H$2:$H$200,MATCH(X1665&amp;"|"&amp;U1665,Rastreio!$A$2:$A$200,0)),"")</f>
        <v/>
      </c>
    </row>
    <row r="1666">
      <c r="A1666">
        <f>IFERROR(INDEX(STAs!$G$2:$G$61,MATCH(P1666,STAs!$F$2:$F$61,0))&amp;"","")</f>
        <v/>
      </c>
      <c r="B1666" t="n">
        <v>20017088</v>
      </c>
      <c r="C1666" t="inlineStr">
        <is>
          <t>Não</t>
        </is>
      </c>
      <c r="D1666" t="inlineStr">
        <is>
          <t>PI</t>
        </is>
      </c>
      <c r="E1666" t="inlineStr">
        <is>
          <t>NORDESTE</t>
        </is>
      </c>
      <c r="F1666" t="inlineStr">
        <is>
          <t>Cliente B - Chopeira</t>
        </is>
      </c>
      <c r="G1666" t="inlineStr">
        <is>
          <t>Refrigeradores</t>
        </is>
      </c>
      <c r="H1666" s="10" t="n">
        <v>155</v>
      </c>
      <c r="I1666" s="10">
        <f>IFERROR(T1666*H1666,0)</f>
        <v/>
      </c>
      <c r="J1666" s="11" t="n">
        <v>46205</v>
      </c>
      <c r="K1666" s="11" t="n"/>
      <c r="L1666" t="inlineStr">
        <is>
          <t>Aguardando devolução</t>
        </is>
      </c>
      <c r="M1666">
        <f>IF(L1666="","",IFERROR(VLOOKUP(L1666,mapGrupoStatus,2,0),"Outros"))</f>
        <v/>
      </c>
      <c r="N1666">
        <f>IF(O1666="","",IF(O1666&lt;=30,"0-30 dias",IF(O1666&lt;=60,"31-60 dias",IF(O1666&lt;=90,"61-90 dias","Mais de 90 dias"))))</f>
        <v/>
      </c>
      <c r="O1666">
        <f>IF(OR(M1666="Pendente",M1666="Em andamento"),IF(J1666="","",TODAY()-J1666),"")</f>
        <v/>
      </c>
      <c r="P1666" t="n">
        <v>10562</v>
      </c>
      <c r="Q1666" t="inlineStr">
        <is>
          <t>Clima &amp; Cia (10562)</t>
        </is>
      </c>
      <c r="R1666" t="inlineStr">
        <is>
          <t>PC-0022</t>
        </is>
      </c>
      <c r="S1666" t="inlineStr">
        <is>
          <t>Controlador digital modelo 02</t>
        </is>
      </c>
      <c r="T1666" t="n">
        <v>1</v>
      </c>
      <c r="U1666" t="inlineStr"/>
      <c r="V1666">
        <f>IF(J1666="","",MONTH(J1666))</f>
        <v/>
      </c>
      <c r="W1666">
        <f>IF(J1666="","",YEAR(J1666))</f>
        <v/>
      </c>
      <c r="X1666" t="inlineStr"/>
      <c r="Y1666">
        <f>IFERROR(INDEX(Rastreio!$H$2:$H$200,MATCH(X1666&amp;"|"&amp;U1666,Rastreio!$A$2:$A$200,0)),"")</f>
        <v/>
      </c>
    </row>
    <row r="1667">
      <c r="A1667">
        <f>IFERROR(INDEX(STAs!$G$2:$G$61,MATCH(P1667,STAs!$F$2:$F$61,0))&amp;"","")</f>
        <v/>
      </c>
      <c r="B1667" t="n">
        <v>20018035</v>
      </c>
      <c r="C1667" t="inlineStr">
        <is>
          <t>Sim</t>
        </is>
      </c>
      <c r="D1667" t="inlineStr">
        <is>
          <t>GO</t>
        </is>
      </c>
      <c r="E1667" t="inlineStr">
        <is>
          <t>CENTRO OESTE</t>
        </is>
      </c>
      <c r="F1667" t="inlineStr">
        <is>
          <t>Cliente C - Misturador</t>
        </is>
      </c>
      <c r="G1667" t="inlineStr">
        <is>
          <t>Misturadores</t>
        </is>
      </c>
      <c r="H1667" s="10" t="n">
        <v>60</v>
      </c>
      <c r="I1667" s="10">
        <f>IFERROR(T1667*H1667,0)</f>
        <v/>
      </c>
      <c r="J1667" s="11" t="n">
        <v>46205</v>
      </c>
      <c r="K1667" s="11" t="n"/>
      <c r="L1667" t="inlineStr">
        <is>
          <t>Em andamento</t>
        </is>
      </c>
      <c r="M1667">
        <f>IF(L1667="","",IFERROR(VLOOKUP(L1667,mapGrupoStatus,2,0),"Outros"))</f>
        <v/>
      </c>
      <c r="N1667">
        <f>IF(O1667="","",IF(O1667&lt;=30,"0-30 dias",IF(O1667&lt;=60,"31-60 dias",IF(O1667&lt;=90,"61-90 dias","Mais de 90 dias"))))</f>
        <v/>
      </c>
      <c r="O1667">
        <f>IF(OR(M1667="Pendente",M1667="Em andamento"),IF(J1667="","",TODAY()-J1667),"")</f>
        <v/>
      </c>
      <c r="P1667" t="n">
        <v>11677</v>
      </c>
      <c r="Q1667" t="inlineStr">
        <is>
          <t>Cool Service Manutenção (11677)</t>
        </is>
      </c>
      <c r="R1667" t="inlineStr">
        <is>
          <t>PC-0046</t>
        </is>
      </c>
      <c r="S1667" t="inlineStr">
        <is>
          <t>Sensor de nível modelo 02</t>
        </is>
      </c>
      <c r="T1667" t="n">
        <v>1</v>
      </c>
      <c r="U1667" t="n">
        <v>133</v>
      </c>
      <c r="V1667">
        <f>IF(J1667="","",MONTH(J1667))</f>
        <v/>
      </c>
      <c r="W1667">
        <f>IF(J1667="","",YEAR(J1667))</f>
        <v/>
      </c>
      <c r="X1667" t="inlineStr">
        <is>
          <t>ViaCargo</t>
        </is>
      </c>
      <c r="Y1667">
        <f>IFERROR(INDEX(Rastreio!$H$2:$H$200,MATCH(X1667&amp;"|"&amp;U1667,Rastreio!$A$2:$A$200,0)),"")</f>
        <v/>
      </c>
    </row>
    <row r="1668">
      <c r="A1668">
        <f>IFERROR(INDEX(STAs!$G$2:$G$61,MATCH(P1668,STAs!$F$2:$F$61,0))&amp;"","")</f>
        <v/>
      </c>
      <c r="B1668" t="n">
        <v>20019810</v>
      </c>
      <c r="C1668" t="inlineStr">
        <is>
          <t>Não</t>
        </is>
      </c>
      <c r="D1668" t="inlineStr">
        <is>
          <t>PA</t>
        </is>
      </c>
      <c r="E1668" t="inlineStr">
        <is>
          <t>NORTE</t>
        </is>
      </c>
      <c r="F1668" t="inlineStr">
        <is>
          <t>Cliente C - Misturador</t>
        </is>
      </c>
      <c r="G1668" t="inlineStr">
        <is>
          <t>Misturadores</t>
        </is>
      </c>
      <c r="H1668" s="10" t="n">
        <v>35</v>
      </c>
      <c r="I1668" s="10">
        <f>IFERROR(T1668*H1668,0)</f>
        <v/>
      </c>
      <c r="J1668" s="11" t="n">
        <v>46205</v>
      </c>
      <c r="K1668" s="11" t="n"/>
      <c r="L1668" t="inlineStr">
        <is>
          <t>Não Devolve-Norte</t>
        </is>
      </c>
      <c r="M1668">
        <f>IF(L1668="","",IFERROR(VLOOKUP(L1668,mapGrupoStatus,2,0),"Outros"))</f>
        <v/>
      </c>
      <c r="N1668">
        <f>IF(O1668="","",IF(O1668&lt;=30,"0-30 dias",IF(O1668&lt;=60,"31-60 dias",IF(O1668&lt;=90,"61-90 dias","Mais de 90 dias"))))</f>
        <v/>
      </c>
      <c r="O1668">
        <f>IF(OR(M1668="Pendente",M1668="Em andamento"),IF(J1668="","",TODAY()-J1668),"")</f>
        <v/>
      </c>
      <c r="P1668" t="n">
        <v>11986</v>
      </c>
      <c r="Q1668" t="inlineStr">
        <is>
          <t>Polar Serviços (11986)</t>
        </is>
      </c>
      <c r="R1668" t="inlineStr">
        <is>
          <t>PC-0043</t>
        </is>
      </c>
      <c r="S1668" t="inlineStr">
        <is>
          <t>Bico dosador modelo 02</t>
        </is>
      </c>
      <c r="T1668" t="n">
        <v>1</v>
      </c>
      <c r="U1668" t="inlineStr"/>
      <c r="V1668">
        <f>IF(J1668="","",MONTH(J1668))</f>
        <v/>
      </c>
      <c r="W1668">
        <f>IF(J1668="","",YEAR(J1668))</f>
        <v/>
      </c>
      <c r="X1668" t="inlineStr"/>
      <c r="Y1668">
        <f>IFERROR(INDEX(Rastreio!$H$2:$H$200,MATCH(X1668&amp;"|"&amp;U1668,Rastreio!$A$2:$A$200,0)),"")</f>
        <v/>
      </c>
    </row>
    <row r="1669">
      <c r="A1669">
        <f>IFERROR(INDEX(STAs!$G$2:$G$61,MATCH(P1669,STAs!$F$2:$F$61,0))&amp;"","")</f>
        <v/>
      </c>
      <c r="B1669" t="n">
        <v>20025030</v>
      </c>
      <c r="C1669" t="inlineStr">
        <is>
          <t>Não</t>
        </is>
      </c>
      <c r="D1669" t="inlineStr">
        <is>
          <t>RR</t>
        </is>
      </c>
      <c r="E1669" t="inlineStr">
        <is>
          <t>NORTE</t>
        </is>
      </c>
      <c r="F1669" t="inlineStr">
        <is>
          <t>Cliente B - Chopeira</t>
        </is>
      </c>
      <c r="G1669" t="inlineStr">
        <is>
          <t>Refrigeradores</t>
        </is>
      </c>
      <c r="H1669" s="10" t="n">
        <v>40</v>
      </c>
      <c r="I1669" s="10">
        <f>IFERROR(T1669*H1669,0)</f>
        <v/>
      </c>
      <c r="J1669" s="11" t="n">
        <v>46205</v>
      </c>
      <c r="K1669" s="11" t="n"/>
      <c r="L1669" t="inlineStr">
        <is>
          <t>Não Devolve-Norte</t>
        </is>
      </c>
      <c r="M1669">
        <f>IF(L1669="","",IFERROR(VLOOKUP(L1669,mapGrupoStatus,2,0),"Outros"))</f>
        <v/>
      </c>
      <c r="N1669">
        <f>IF(O1669="","",IF(O1669&lt;=30,"0-30 dias",IF(O1669&lt;=60,"31-60 dias",IF(O1669&lt;=90,"61-90 dias","Mais de 90 dias"))))</f>
        <v/>
      </c>
      <c r="O1669">
        <f>IF(OR(M1669="Pendente",M1669="Em andamento"),IF(J1669="","",TODAY()-J1669),"")</f>
        <v/>
      </c>
      <c r="P1669" t="n">
        <v>11818</v>
      </c>
      <c r="Q1669" t="inlineStr">
        <is>
          <t>Termotec Ltda (11818)</t>
        </is>
      </c>
      <c r="R1669" t="inlineStr">
        <is>
          <t>PC-0005</t>
        </is>
      </c>
      <c r="S1669" t="inlineStr">
        <is>
          <t>Termostato modelo 02</t>
        </is>
      </c>
      <c r="T1669" t="n">
        <v>1</v>
      </c>
      <c r="U1669" t="inlineStr"/>
      <c r="V1669">
        <f>IF(J1669="","",MONTH(J1669))</f>
        <v/>
      </c>
      <c r="W1669">
        <f>IF(J1669="","",YEAR(J1669))</f>
        <v/>
      </c>
      <c r="X1669" t="inlineStr"/>
      <c r="Y1669">
        <f>IFERROR(INDEX(Rastreio!$H$2:$H$200,MATCH(X1669&amp;"|"&amp;U1669,Rastreio!$A$2:$A$200,0)),"")</f>
        <v/>
      </c>
    </row>
    <row r="1670">
      <c r="A1670">
        <f>IFERROR(INDEX(STAs!$G$2:$G$61,MATCH(P1670,STAs!$F$2:$F$61,0))&amp;"","")</f>
        <v/>
      </c>
      <c r="B1670" t="n">
        <v>20033871</v>
      </c>
      <c r="C1670" t="inlineStr">
        <is>
          <t>Não</t>
        </is>
      </c>
      <c r="D1670" t="inlineStr">
        <is>
          <t>AC</t>
        </is>
      </c>
      <c r="E1670" t="inlineStr">
        <is>
          <t>NORTE</t>
        </is>
      </c>
      <c r="F1670" t="inlineStr">
        <is>
          <t>Cliente B - Chopeira</t>
        </is>
      </c>
      <c r="G1670" t="inlineStr">
        <is>
          <t>Refrigeradores</t>
        </is>
      </c>
      <c r="H1670" s="10" t="n">
        <v>190</v>
      </c>
      <c r="I1670" s="10">
        <f>IFERROR(T1670*H1670,0)</f>
        <v/>
      </c>
      <c r="J1670" s="11" t="n">
        <v>46205</v>
      </c>
      <c r="K1670" s="11" t="n"/>
      <c r="L1670" t="inlineStr">
        <is>
          <t>Não Devolve-Norte</t>
        </is>
      </c>
      <c r="M1670">
        <f>IF(L1670="","",IFERROR(VLOOKUP(L1670,mapGrupoStatus,2,0),"Outros"))</f>
        <v/>
      </c>
      <c r="N1670">
        <f>IF(O1670="","",IF(O1670&lt;=30,"0-30 dias",IF(O1670&lt;=60,"31-60 dias",IF(O1670&lt;=90,"61-90 dias","Mais de 90 dias"))))</f>
        <v/>
      </c>
      <c r="O1670">
        <f>IF(OR(M1670="Pendente",M1670="Em andamento"),IF(J1670="","",TODAY()-J1670),"")</f>
        <v/>
      </c>
      <c r="P1670" t="n">
        <v>11022</v>
      </c>
      <c r="Q1670" t="inlineStr">
        <is>
          <t>Brisa Ltda (11022)</t>
        </is>
      </c>
      <c r="R1670" t="inlineStr">
        <is>
          <t>PC-0014</t>
        </is>
      </c>
      <c r="S1670" t="inlineStr">
        <is>
          <t>Placa eletrônica modelo 04</t>
        </is>
      </c>
      <c r="T1670" t="n">
        <v>1</v>
      </c>
      <c r="U1670" t="inlineStr"/>
      <c r="V1670">
        <f>IF(J1670="","",MONTH(J1670))</f>
        <v/>
      </c>
      <c r="W1670">
        <f>IF(J1670="","",YEAR(J1670))</f>
        <v/>
      </c>
      <c r="X1670" t="inlineStr"/>
      <c r="Y1670">
        <f>IFERROR(INDEX(Rastreio!$H$2:$H$200,MATCH(X1670&amp;"|"&amp;U1670,Rastreio!$A$2:$A$200,0)),"")</f>
        <v/>
      </c>
    </row>
    <row r="1671">
      <c r="A1671">
        <f>IFERROR(INDEX(STAs!$G$2:$G$61,MATCH(P1671,STAs!$F$2:$F$61,0))&amp;"","")</f>
        <v/>
      </c>
      <c r="B1671" t="n">
        <v>20005926</v>
      </c>
      <c r="C1671" t="inlineStr">
        <is>
          <t>Não</t>
        </is>
      </c>
      <c r="D1671" t="inlineStr">
        <is>
          <t>BA</t>
        </is>
      </c>
      <c r="E1671" t="inlineStr">
        <is>
          <t>NORDESTE</t>
        </is>
      </c>
      <c r="F1671" t="inlineStr">
        <is>
          <t>Cliente B - Chopeira</t>
        </is>
      </c>
      <c r="G1671" t="inlineStr">
        <is>
          <t>Chopeiras</t>
        </is>
      </c>
      <c r="H1671" s="10" t="n">
        <v>115</v>
      </c>
      <c r="I1671" s="10">
        <f>IFERROR(T1671*H1671,0)</f>
        <v/>
      </c>
      <c r="J1671" s="11" t="n">
        <v>46206</v>
      </c>
      <c r="K1671" s="11" t="n">
        <v>46236</v>
      </c>
      <c r="L1671" t="inlineStr">
        <is>
          <t>Ok. Devolvida</t>
        </is>
      </c>
      <c r="M1671">
        <f>IF(L1671="","",IFERROR(VLOOKUP(L1671,mapGrupoStatus,2,0),"Outros"))</f>
        <v/>
      </c>
      <c r="N1671">
        <f>IF(O1671="","",IF(O1671&lt;=30,"0-30 dias",IF(O1671&lt;=60,"31-60 dias",IF(O1671&lt;=90,"61-90 dias","Mais de 90 dias"))))</f>
        <v/>
      </c>
      <c r="O1671">
        <f>IF(OR(M1671="Pendente",M1671="Em andamento"),IF(J1671="","",TODAY()-J1671),"")</f>
        <v/>
      </c>
      <c r="P1671" t="n">
        <v>11538</v>
      </c>
      <c r="Q1671" t="inlineStr">
        <is>
          <t>Clima Manutenção (11538)</t>
        </is>
      </c>
      <c r="R1671" t="inlineStr">
        <is>
          <t>PC-0034</t>
        </is>
      </c>
      <c r="S1671" t="inlineStr">
        <is>
          <t>Regulador de pressão modelo 03</t>
        </is>
      </c>
      <c r="T1671" t="n">
        <v>2</v>
      </c>
      <c r="U1671" t="n">
        <v>108</v>
      </c>
      <c r="V1671">
        <f>IF(J1671="","",MONTH(J1671))</f>
        <v/>
      </c>
      <c r="W1671">
        <f>IF(J1671="","",YEAR(J1671))</f>
        <v/>
      </c>
      <c r="X1671" t="inlineStr">
        <is>
          <t>CargoMax</t>
        </is>
      </c>
      <c r="Y1671">
        <f>IFERROR(INDEX(Rastreio!$H$2:$H$200,MATCH(X1671&amp;"|"&amp;U1671,Rastreio!$A$2:$A$200,0)),"")</f>
        <v/>
      </c>
    </row>
    <row r="1672">
      <c r="A1672">
        <f>IFERROR(INDEX(STAs!$G$2:$G$61,MATCH(P1672,STAs!$F$2:$F$61,0))&amp;"","")</f>
        <v/>
      </c>
      <c r="B1672" t="n">
        <v>20014259</v>
      </c>
      <c r="C1672" t="inlineStr">
        <is>
          <t>Não</t>
        </is>
      </c>
      <c r="D1672" t="inlineStr">
        <is>
          <t>BA</t>
        </is>
      </c>
      <c r="E1672" t="inlineStr">
        <is>
          <t>NORDESTE</t>
        </is>
      </c>
      <c r="F1672" t="inlineStr">
        <is>
          <t>Cliente A - Refrigerador</t>
        </is>
      </c>
      <c r="G1672" t="inlineStr">
        <is>
          <t>Refrigeradores</t>
        </is>
      </c>
      <c r="H1672" s="10" t="n">
        <v>55</v>
      </c>
      <c r="I1672" s="10">
        <f>IFERROR(T1672*H1672,0)</f>
        <v/>
      </c>
      <c r="J1672" s="11" t="n">
        <v>46206</v>
      </c>
      <c r="K1672" s="11" t="n">
        <v>46246</v>
      </c>
      <c r="L1672" t="inlineStr">
        <is>
          <t>Ok. Devolvida</t>
        </is>
      </c>
      <c r="M1672">
        <f>IF(L1672="","",IFERROR(VLOOKUP(L1672,mapGrupoStatus,2,0),"Outros"))</f>
        <v/>
      </c>
      <c r="N1672">
        <f>IF(O1672="","",IF(O1672&lt;=30,"0-30 dias",IF(O1672&lt;=60,"31-60 dias",IF(O1672&lt;=90,"61-90 dias","Mais de 90 dias"))))</f>
        <v/>
      </c>
      <c r="O1672">
        <f>IF(OR(M1672="Pendente",M1672="Em andamento"),IF(J1672="","",TODAY()-J1672),"")</f>
        <v/>
      </c>
      <c r="P1672" t="n">
        <v>11538</v>
      </c>
      <c r="Q1672" t="inlineStr">
        <is>
          <t>Clima Manutenção (11538)</t>
        </is>
      </c>
      <c r="R1672" t="inlineStr">
        <is>
          <t>PC-0008</t>
        </is>
      </c>
      <c r="S1672" t="inlineStr">
        <is>
          <t>Ventilador modelo 02</t>
        </is>
      </c>
      <c r="T1672" t="n">
        <v>1</v>
      </c>
      <c r="U1672" t="n">
        <v>126</v>
      </c>
      <c r="V1672">
        <f>IF(J1672="","",MONTH(J1672))</f>
        <v/>
      </c>
      <c r="W1672">
        <f>IF(J1672="","",YEAR(J1672))</f>
        <v/>
      </c>
      <c r="X1672" t="inlineStr">
        <is>
          <t>LogExpress</t>
        </is>
      </c>
      <c r="Y1672">
        <f>IFERROR(INDEX(Rastreio!$H$2:$H$200,MATCH(X1672&amp;"|"&amp;U1672,Rastreio!$A$2:$A$200,0)),"")</f>
        <v/>
      </c>
    </row>
    <row r="1673">
      <c r="A1673">
        <f>IFERROR(INDEX(STAs!$G$2:$G$61,MATCH(P1673,STAs!$F$2:$F$61,0))&amp;"","")</f>
        <v/>
      </c>
      <c r="B1673" t="n">
        <v>20025166</v>
      </c>
      <c r="C1673" t="inlineStr">
        <is>
          <t>Não</t>
        </is>
      </c>
      <c r="D1673" t="inlineStr">
        <is>
          <t>GO</t>
        </is>
      </c>
      <c r="E1673" t="inlineStr">
        <is>
          <t>CENTRO OESTE</t>
        </is>
      </c>
      <c r="F1673" t="inlineStr">
        <is>
          <t>Cliente C - Misturador</t>
        </is>
      </c>
      <c r="G1673" t="inlineStr">
        <is>
          <t>Refrigeradores</t>
        </is>
      </c>
      <c r="H1673" s="10" t="n">
        <v>40</v>
      </c>
      <c r="I1673" s="10">
        <f>IFERROR(T1673*H1673,0)</f>
        <v/>
      </c>
      <c r="J1673" s="11" t="n">
        <v>46206</v>
      </c>
      <c r="K1673" s="11" t="n">
        <v>46230</v>
      </c>
      <c r="L1673" t="inlineStr">
        <is>
          <t>Ok. Devolvida</t>
        </is>
      </c>
      <c r="M1673">
        <f>IF(L1673="","",IFERROR(VLOOKUP(L1673,mapGrupoStatus,2,0),"Outros"))</f>
        <v/>
      </c>
      <c r="N1673">
        <f>IF(O1673="","",IF(O1673&lt;=30,"0-30 dias",IF(O1673&lt;=60,"31-60 dias",IF(O1673&lt;=90,"61-90 dias","Mais de 90 dias"))))</f>
        <v/>
      </c>
      <c r="O1673">
        <f>IF(OR(M1673="Pendente",M1673="Em andamento"),IF(J1673="","",TODAY()-J1673),"")</f>
        <v/>
      </c>
      <c r="P1673" t="n">
        <v>10317</v>
      </c>
      <c r="Q1673" t="inlineStr">
        <is>
          <t>Termotec Manutenção (10317)</t>
        </is>
      </c>
      <c r="R1673" t="inlineStr">
        <is>
          <t>PC-0005</t>
        </is>
      </c>
      <c r="S1673" t="inlineStr">
        <is>
          <t>Termostato modelo 02</t>
        </is>
      </c>
      <c r="T1673" t="n">
        <v>2</v>
      </c>
      <c r="U1673" t="n">
        <v>143</v>
      </c>
      <c r="V1673">
        <f>IF(J1673="","",MONTH(J1673))</f>
        <v/>
      </c>
      <c r="W1673">
        <f>IF(J1673="","",YEAR(J1673))</f>
        <v/>
      </c>
      <c r="X1673" t="inlineStr">
        <is>
          <t>TransNorte</t>
        </is>
      </c>
      <c r="Y1673">
        <f>IFERROR(INDEX(Rastreio!$H$2:$H$200,MATCH(X1673&amp;"|"&amp;U1673,Rastreio!$A$2:$A$200,0)),"")</f>
        <v/>
      </c>
    </row>
    <row r="1674">
      <c r="A1674">
        <f>IFERROR(INDEX(STAs!$G$2:$G$61,MATCH(P1674,STAs!$F$2:$F$61,0))&amp;"","")</f>
        <v/>
      </c>
      <c r="B1674" t="n">
        <v>20026355</v>
      </c>
      <c r="C1674" t="inlineStr">
        <is>
          <t>Sim</t>
        </is>
      </c>
      <c r="D1674" t="inlineStr">
        <is>
          <t>PR</t>
        </is>
      </c>
      <c r="E1674" t="inlineStr">
        <is>
          <t>SUL</t>
        </is>
      </c>
      <c r="F1674" t="inlineStr">
        <is>
          <t>Cliente C - Misturador</t>
        </is>
      </c>
      <c r="G1674" t="inlineStr">
        <is>
          <t>Chopeiras</t>
        </is>
      </c>
      <c r="H1674" s="10" t="n">
        <v>210</v>
      </c>
      <c r="I1674" s="10">
        <f>IFERROR(T1674*H1674,0)</f>
        <v/>
      </c>
      <c r="J1674" s="11" t="n">
        <v>46206</v>
      </c>
      <c r="K1674" s="11" t="n"/>
      <c r="L1674" t="inlineStr">
        <is>
          <t>Aguardando Transporte</t>
        </is>
      </c>
      <c r="M1674">
        <f>IF(L1674="","",IFERROR(VLOOKUP(L1674,mapGrupoStatus,2,0),"Outros"))</f>
        <v/>
      </c>
      <c r="N1674">
        <f>IF(O1674="","",IF(O1674&lt;=30,"0-30 dias",IF(O1674&lt;=60,"31-60 dias",IF(O1674&lt;=90,"61-90 dias","Mais de 90 dias"))))</f>
        <v/>
      </c>
      <c r="O1674">
        <f>IF(OR(M1674="Pendente",M1674="Em andamento"),IF(J1674="","",TODAY()-J1674),"")</f>
        <v/>
      </c>
      <c r="P1674" t="n">
        <v>12724</v>
      </c>
      <c r="Q1674" t="inlineStr">
        <is>
          <t>Cool Service &amp; Cia (12724)</t>
        </is>
      </c>
      <c r="R1674" t="inlineStr">
        <is>
          <t>PC-0029</t>
        </is>
      </c>
      <c r="S1674" t="inlineStr">
        <is>
          <t>Serpentina modelo 01</t>
        </is>
      </c>
      <c r="T1674" t="n">
        <v>1</v>
      </c>
      <c r="U1674" t="n">
        <v>143</v>
      </c>
      <c r="V1674">
        <f>IF(J1674="","",MONTH(J1674))</f>
        <v/>
      </c>
      <c r="W1674">
        <f>IF(J1674="","",YEAR(J1674))</f>
        <v/>
      </c>
      <c r="X1674" t="inlineStr">
        <is>
          <t>ViaCargo</t>
        </is>
      </c>
      <c r="Y1674">
        <f>IFERROR(INDEX(Rastreio!$H$2:$H$200,MATCH(X1674&amp;"|"&amp;U1674,Rastreio!$A$2:$A$200,0)),"")</f>
        <v/>
      </c>
    </row>
    <row r="1675">
      <c r="A1675">
        <f>IFERROR(INDEX(STAs!$G$2:$G$61,MATCH(P1675,STAs!$F$2:$F$61,0))&amp;"","")</f>
        <v/>
      </c>
      <c r="B1675" t="n">
        <v>20031053</v>
      </c>
      <c r="C1675" t="inlineStr">
        <is>
          <t>Não</t>
        </is>
      </c>
      <c r="D1675" t="inlineStr">
        <is>
          <t>MG</t>
        </is>
      </c>
      <c r="E1675" t="inlineStr">
        <is>
          <t>SUDESTE MG</t>
        </is>
      </c>
      <c r="F1675" t="inlineStr">
        <is>
          <t>Cliente C - Misturador</t>
        </is>
      </c>
      <c r="G1675" t="inlineStr">
        <is>
          <t>Misturadores</t>
        </is>
      </c>
      <c r="H1675" s="10" t="n">
        <v>50</v>
      </c>
      <c r="I1675" s="10">
        <f>IFERROR(T1675*H1675,0)</f>
        <v/>
      </c>
      <c r="J1675" s="11" t="n">
        <v>46206</v>
      </c>
      <c r="K1675" s="11" t="n">
        <v>46215</v>
      </c>
      <c r="L1675" t="inlineStr">
        <is>
          <t>Ok. Devolvida</t>
        </is>
      </c>
      <c r="M1675">
        <f>IF(L1675="","",IFERROR(VLOOKUP(L1675,mapGrupoStatus,2,0),"Outros"))</f>
        <v/>
      </c>
      <c r="N1675">
        <f>IF(O1675="","",IF(O1675&lt;=30,"0-30 dias",IF(O1675&lt;=60,"31-60 dias",IF(O1675&lt;=90,"61-90 dias","Mais de 90 dias"))))</f>
        <v/>
      </c>
      <c r="O1675">
        <f>IF(OR(M1675="Pendente",M1675="Em andamento"),IF(J1675="","",TODAY()-J1675),"")</f>
        <v/>
      </c>
      <c r="P1675" t="n">
        <v>12470</v>
      </c>
      <c r="Q1675" t="inlineStr">
        <is>
          <t>Cool Service Técnica (12470)</t>
        </is>
      </c>
      <c r="R1675" t="inlineStr">
        <is>
          <t>PC-0044</t>
        </is>
      </c>
      <c r="S1675" t="inlineStr">
        <is>
          <t>Bico dosador modelo 03</t>
        </is>
      </c>
      <c r="T1675" t="n">
        <v>3</v>
      </c>
      <c r="U1675" t="n">
        <v>150</v>
      </c>
      <c r="V1675">
        <f>IF(J1675="","",MONTH(J1675))</f>
        <v/>
      </c>
      <c r="W1675">
        <f>IF(J1675="","",YEAR(J1675))</f>
        <v/>
      </c>
      <c r="X1675" t="inlineStr">
        <is>
          <t>ViaCargo</t>
        </is>
      </c>
      <c r="Y1675">
        <f>IFERROR(INDEX(Rastreio!$H$2:$H$200,MATCH(X1675&amp;"|"&amp;U1675,Rastreio!$A$2:$A$200,0)),"")</f>
        <v/>
      </c>
    </row>
    <row r="1676">
      <c r="A1676">
        <f>IFERROR(INDEX(STAs!$G$2:$G$61,MATCH(P1676,STAs!$F$2:$F$61,0))&amp;"","")</f>
        <v/>
      </c>
      <c r="B1676" t="n">
        <v>20010707</v>
      </c>
      <c r="C1676" t="inlineStr">
        <is>
          <t>Não</t>
        </is>
      </c>
      <c r="D1676" t="inlineStr">
        <is>
          <t>SP</t>
        </is>
      </c>
      <c r="E1676" t="inlineStr">
        <is>
          <t>SUDESTE SP</t>
        </is>
      </c>
      <c r="F1676" t="inlineStr">
        <is>
          <t>Cliente B - Chopeira</t>
        </is>
      </c>
      <c r="G1676" t="inlineStr">
        <is>
          <t>Refrigeradores</t>
        </is>
      </c>
      <c r="H1676" s="10" t="n">
        <v>50</v>
      </c>
      <c r="I1676" s="10">
        <f>IFERROR(T1676*H1676,0)</f>
        <v/>
      </c>
      <c r="J1676" s="11" t="n">
        <v>46207</v>
      </c>
      <c r="K1676" s="11" t="n"/>
      <c r="L1676" t="inlineStr">
        <is>
          <t>NF Vencida</t>
        </is>
      </c>
      <c r="M1676">
        <f>IF(L1676="","",IFERROR(VLOOKUP(L1676,mapGrupoStatus,2,0),"Outros"))</f>
        <v/>
      </c>
      <c r="N1676">
        <f>IF(O1676="","",IF(O1676&lt;=30,"0-30 dias",IF(O1676&lt;=60,"31-60 dias",IF(O1676&lt;=90,"61-90 dias","Mais de 90 dias"))))</f>
        <v/>
      </c>
      <c r="O1676">
        <f>IF(OR(M1676="Pendente",M1676="Em andamento"),IF(J1676="","",TODAY()-J1676),"")</f>
        <v/>
      </c>
      <c r="P1676" t="n">
        <v>12901</v>
      </c>
      <c r="Q1676" t="inlineStr">
        <is>
          <t>Frio Serviços (12901)</t>
        </is>
      </c>
      <c r="R1676" t="inlineStr">
        <is>
          <t>PC-0006</t>
        </is>
      </c>
      <c r="S1676" t="inlineStr">
        <is>
          <t>Termostato modelo 03</t>
        </is>
      </c>
      <c r="T1676" t="n">
        <v>1</v>
      </c>
      <c r="U1676" t="inlineStr"/>
      <c r="V1676">
        <f>IF(J1676="","",MONTH(J1676))</f>
        <v/>
      </c>
      <c r="W1676">
        <f>IF(J1676="","",YEAR(J1676))</f>
        <v/>
      </c>
      <c r="X1676" t="inlineStr"/>
      <c r="Y1676">
        <f>IFERROR(INDEX(Rastreio!$H$2:$H$200,MATCH(X1676&amp;"|"&amp;U1676,Rastreio!$A$2:$A$200,0)),"")</f>
        <v/>
      </c>
    </row>
    <row r="1677">
      <c r="A1677">
        <f>IFERROR(INDEX(STAs!$G$2:$G$61,MATCH(P1677,STAs!$F$2:$F$61,0))&amp;"","")</f>
        <v/>
      </c>
      <c r="B1677" t="n">
        <v>20016630</v>
      </c>
      <c r="C1677" t="inlineStr">
        <is>
          <t>Sim</t>
        </is>
      </c>
      <c r="D1677" t="inlineStr">
        <is>
          <t>PR</t>
        </is>
      </c>
      <c r="E1677" t="inlineStr">
        <is>
          <t>SUL</t>
        </is>
      </c>
      <c r="F1677" t="inlineStr">
        <is>
          <t>Cliente B - Chopeira</t>
        </is>
      </c>
      <c r="G1677" t="inlineStr">
        <is>
          <t>Chopeiras</t>
        </is>
      </c>
      <c r="H1677" s="10" t="n">
        <v>120</v>
      </c>
      <c r="I1677" s="10">
        <f>IFERROR(T1677*H1677,0)</f>
        <v/>
      </c>
      <c r="J1677" s="11" t="n">
        <v>46207</v>
      </c>
      <c r="K1677" s="11" t="n"/>
      <c r="L1677" t="inlineStr">
        <is>
          <t>Aguardando Transporte</t>
        </is>
      </c>
      <c r="M1677">
        <f>IF(L1677="","",IFERROR(VLOOKUP(L1677,mapGrupoStatus,2,0),"Outros"))</f>
        <v/>
      </c>
      <c r="N1677">
        <f>IF(O1677="","",IF(O1677&lt;=30,"0-30 dias",IF(O1677&lt;=60,"31-60 dias",IF(O1677&lt;=90,"61-90 dias","Mais de 90 dias"))))</f>
        <v/>
      </c>
      <c r="O1677">
        <f>IF(OR(M1677="Pendente",M1677="Em andamento"),IF(J1677="","",TODAY()-J1677),"")</f>
        <v/>
      </c>
      <c r="P1677" t="n">
        <v>10913</v>
      </c>
      <c r="Q1677" t="inlineStr">
        <is>
          <t>Ice Tech &amp; Cia (10913)</t>
        </is>
      </c>
      <c r="R1677" t="inlineStr">
        <is>
          <t>PC-0032</t>
        </is>
      </c>
      <c r="S1677" t="inlineStr">
        <is>
          <t>Regulador de pressão modelo 01</t>
        </is>
      </c>
      <c r="T1677" t="n">
        <v>2</v>
      </c>
      <c r="U1677" t="n">
        <v>129</v>
      </c>
      <c r="V1677">
        <f>IF(J1677="","",MONTH(J1677))</f>
        <v/>
      </c>
      <c r="W1677">
        <f>IF(J1677="","",YEAR(J1677))</f>
        <v/>
      </c>
      <c r="X1677" t="inlineStr">
        <is>
          <t>CargoMax</t>
        </is>
      </c>
      <c r="Y1677">
        <f>IFERROR(INDEX(Rastreio!$H$2:$H$200,MATCH(X1677&amp;"|"&amp;U1677,Rastreio!$A$2:$A$200,0)),"")</f>
        <v/>
      </c>
    </row>
    <row r="1678">
      <c r="A1678">
        <f>IFERROR(INDEX(STAs!$G$2:$G$61,MATCH(P1678,STAs!$F$2:$F$61,0))&amp;"","")</f>
        <v/>
      </c>
      <c r="B1678" t="n">
        <v>20031132</v>
      </c>
      <c r="C1678" t="inlineStr">
        <is>
          <t>Não</t>
        </is>
      </c>
      <c r="D1678" t="inlineStr">
        <is>
          <t>MG</t>
        </is>
      </c>
      <c r="E1678" t="inlineStr">
        <is>
          <t>SUDESTE MG</t>
        </is>
      </c>
      <c r="F1678" t="inlineStr">
        <is>
          <t>Cliente A - Refrigerador</t>
        </is>
      </c>
      <c r="G1678" t="inlineStr">
        <is>
          <t>Refrigeradores</t>
        </is>
      </c>
      <c r="H1678" s="10" t="n">
        <v>325</v>
      </c>
      <c r="I1678" s="10">
        <f>IFERROR(T1678*H1678,0)</f>
        <v/>
      </c>
      <c r="J1678" s="11" t="n">
        <v>46207</v>
      </c>
      <c r="K1678" s="11" t="n"/>
      <c r="L1678" t="inlineStr">
        <is>
          <t>Aguardando devolução</t>
        </is>
      </c>
      <c r="M1678">
        <f>IF(L1678="","",IFERROR(VLOOKUP(L1678,mapGrupoStatus,2,0),"Outros"))</f>
        <v/>
      </c>
      <c r="N1678">
        <f>IF(O1678="","",IF(O1678&lt;=30,"0-30 dias",IF(O1678&lt;=60,"31-60 dias",IF(O1678&lt;=90,"61-90 dias","Mais de 90 dias"))))</f>
        <v/>
      </c>
      <c r="O1678">
        <f>IF(OR(M1678="Pendente",M1678="Em andamento"),IF(J1678="","",TODAY()-J1678),"")</f>
        <v/>
      </c>
      <c r="P1678" t="n">
        <v>11619</v>
      </c>
      <c r="Q1678" t="inlineStr">
        <is>
          <t>Refrigeração Ltda (11619)</t>
        </is>
      </c>
      <c r="R1678" t="inlineStr">
        <is>
          <t>PC-0001</t>
        </is>
      </c>
      <c r="S1678" t="inlineStr">
        <is>
          <t>Compressor modelo 01</t>
        </is>
      </c>
      <c r="T1678" t="n">
        <v>1</v>
      </c>
      <c r="U1678" t="inlineStr"/>
      <c r="V1678">
        <f>IF(J1678="","",MONTH(J1678))</f>
        <v/>
      </c>
      <c r="W1678">
        <f>IF(J1678="","",YEAR(J1678))</f>
        <v/>
      </c>
      <c r="X1678" t="inlineStr"/>
      <c r="Y1678">
        <f>IFERROR(INDEX(Rastreio!$H$2:$H$200,MATCH(X1678&amp;"|"&amp;U1678,Rastreio!$A$2:$A$200,0)),"")</f>
        <v/>
      </c>
    </row>
    <row r="1679">
      <c r="A1679">
        <f>IFERROR(INDEX(STAs!$G$2:$G$61,MATCH(P1679,STAs!$F$2:$F$61,0))&amp;"","")</f>
        <v/>
      </c>
      <c r="B1679" t="n">
        <v>20038207</v>
      </c>
      <c r="C1679" t="inlineStr">
        <is>
          <t>Não</t>
        </is>
      </c>
      <c r="D1679" t="inlineStr">
        <is>
          <t>PA</t>
        </is>
      </c>
      <c r="E1679" t="inlineStr">
        <is>
          <t>NORTE</t>
        </is>
      </c>
      <c r="F1679" t="inlineStr">
        <is>
          <t>Cliente A - Refrigerador</t>
        </is>
      </c>
      <c r="G1679" t="inlineStr">
        <is>
          <t>Refrigeradores</t>
        </is>
      </c>
      <c r="H1679" s="10" t="n">
        <v>190</v>
      </c>
      <c r="I1679" s="10">
        <f>IFERROR(T1679*H1679,0)</f>
        <v/>
      </c>
      <c r="J1679" s="11" t="n">
        <v>46207</v>
      </c>
      <c r="K1679" s="11" t="n"/>
      <c r="L1679" t="inlineStr">
        <is>
          <t>Não Devolve-Norte</t>
        </is>
      </c>
      <c r="M1679">
        <f>IF(L1679="","",IFERROR(VLOOKUP(L1679,mapGrupoStatus,2,0),"Outros"))</f>
        <v/>
      </c>
      <c r="N1679">
        <f>IF(O1679="","",IF(O1679&lt;=30,"0-30 dias",IF(O1679&lt;=60,"31-60 dias",IF(O1679&lt;=90,"61-90 dias","Mais de 90 dias"))))</f>
        <v/>
      </c>
      <c r="O1679">
        <f>IF(OR(M1679="Pendente",M1679="Em andamento"),IF(J1679="","",TODAY()-J1679),"")</f>
        <v/>
      </c>
      <c r="P1679" t="n">
        <v>11986</v>
      </c>
      <c r="Q1679" t="inlineStr">
        <is>
          <t>Polar Serviços (11986)</t>
        </is>
      </c>
      <c r="R1679" t="inlineStr">
        <is>
          <t>PC-0011</t>
        </is>
      </c>
      <c r="S1679" t="inlineStr">
        <is>
          <t>Placa eletrônica modelo 01</t>
        </is>
      </c>
      <c r="T1679" t="n">
        <v>1</v>
      </c>
      <c r="U1679" t="inlineStr"/>
      <c r="V1679">
        <f>IF(J1679="","",MONTH(J1679))</f>
        <v/>
      </c>
      <c r="W1679">
        <f>IF(J1679="","",YEAR(J1679))</f>
        <v/>
      </c>
      <c r="X1679" t="inlineStr"/>
      <c r="Y1679">
        <f>IFERROR(INDEX(Rastreio!$H$2:$H$200,MATCH(X1679&amp;"|"&amp;U1679,Rastreio!$A$2:$A$200,0)),"")</f>
        <v/>
      </c>
    </row>
    <row r="1680">
      <c r="A1680">
        <f>IFERROR(INDEX(STAs!$G$2:$G$61,MATCH(P1680,STAs!$F$2:$F$61,0))&amp;"","")</f>
        <v/>
      </c>
      <c r="B1680" t="n">
        <v>20008212</v>
      </c>
      <c r="C1680" t="inlineStr">
        <is>
          <t>Não</t>
        </is>
      </c>
      <c r="D1680" t="inlineStr">
        <is>
          <t>SP</t>
        </is>
      </c>
      <c r="E1680" t="inlineStr">
        <is>
          <t>SUDESTE SP</t>
        </is>
      </c>
      <c r="F1680" t="inlineStr">
        <is>
          <t>Cliente A - Refrigerador</t>
        </is>
      </c>
      <c r="G1680" t="inlineStr">
        <is>
          <t>Refrigeradores</t>
        </is>
      </c>
      <c r="H1680" s="10" t="n">
        <v>70</v>
      </c>
      <c r="I1680" s="10">
        <f>IFERROR(T1680*H1680,0)</f>
        <v/>
      </c>
      <c r="J1680" s="11" t="n">
        <v>46208</v>
      </c>
      <c r="K1680" s="11" t="n"/>
      <c r="L1680" t="inlineStr">
        <is>
          <t>Aguardando devolução</t>
        </is>
      </c>
      <c r="M1680">
        <f>IF(L1680="","",IFERROR(VLOOKUP(L1680,mapGrupoStatus,2,0),"Outros"))</f>
        <v/>
      </c>
      <c r="N1680">
        <f>IF(O1680="","",IF(O1680&lt;=30,"0-30 dias",IF(O1680&lt;=60,"31-60 dias",IF(O1680&lt;=90,"61-90 dias","Mais de 90 dias"))))</f>
        <v/>
      </c>
      <c r="O1680">
        <f>IF(OR(M1680="Pendente",M1680="Em andamento"),IF(J1680="","",TODAY()-J1680),"")</f>
        <v/>
      </c>
      <c r="P1680" t="n">
        <v>12901</v>
      </c>
      <c r="Q1680" t="inlineStr">
        <is>
          <t>Frio Serviços (12901)</t>
        </is>
      </c>
      <c r="R1680" t="inlineStr">
        <is>
          <t>PC-0009</t>
        </is>
      </c>
      <c r="S1680" t="inlineStr">
        <is>
          <t>Ventilador modelo 03</t>
        </is>
      </c>
      <c r="T1680" t="n">
        <v>1</v>
      </c>
      <c r="U1680" t="inlineStr"/>
      <c r="V1680">
        <f>IF(J1680="","",MONTH(J1680))</f>
        <v/>
      </c>
      <c r="W1680">
        <f>IF(J1680="","",YEAR(J1680))</f>
        <v/>
      </c>
      <c r="X1680" t="inlineStr"/>
      <c r="Y1680">
        <f>IFERROR(INDEX(Rastreio!$H$2:$H$200,MATCH(X1680&amp;"|"&amp;U1680,Rastreio!$A$2:$A$200,0)),"")</f>
        <v/>
      </c>
    </row>
    <row r="1681">
      <c r="A1681">
        <f>IFERROR(INDEX(STAs!$G$2:$G$61,MATCH(P1681,STAs!$F$2:$F$61,0))&amp;"","")</f>
        <v/>
      </c>
      <c r="B1681" t="n">
        <v>20010587</v>
      </c>
      <c r="C1681" t="inlineStr">
        <is>
          <t>Não</t>
        </is>
      </c>
      <c r="D1681" t="inlineStr">
        <is>
          <t>SP</t>
        </is>
      </c>
      <c r="E1681" t="inlineStr">
        <is>
          <t>SUDESTE SP</t>
        </is>
      </c>
      <c r="F1681" t="inlineStr">
        <is>
          <t>Cliente A - Refrigerador</t>
        </is>
      </c>
      <c r="G1681" t="inlineStr">
        <is>
          <t>Chopeiras</t>
        </is>
      </c>
      <c r="H1681" s="10" t="n">
        <v>205</v>
      </c>
      <c r="I1681" s="10">
        <f>IFERROR(T1681*H1681,0)</f>
        <v/>
      </c>
      <c r="J1681" s="11" t="n">
        <v>46208</v>
      </c>
      <c r="K1681" s="11" t="n">
        <v>46263</v>
      </c>
      <c r="L1681" t="inlineStr">
        <is>
          <t>Ok. Devolvida</t>
        </is>
      </c>
      <c r="M1681">
        <f>IF(L1681="","",IFERROR(VLOOKUP(L1681,mapGrupoStatus,2,0),"Outros"))</f>
        <v/>
      </c>
      <c r="N1681">
        <f>IF(O1681="","",IF(O1681&lt;=30,"0-30 dias",IF(O1681&lt;=60,"31-60 dias",IF(O1681&lt;=90,"61-90 dias","Mais de 90 dias"))))</f>
        <v/>
      </c>
      <c r="O1681">
        <f>IF(OR(M1681="Pendente",M1681="Em andamento"),IF(J1681="","",TODAY()-J1681),"")</f>
        <v/>
      </c>
      <c r="P1681" t="n">
        <v>10538</v>
      </c>
      <c r="Q1681" t="inlineStr">
        <is>
          <t>Frio Refrigeração (10538)</t>
        </is>
      </c>
      <c r="R1681" t="inlineStr">
        <is>
          <t>PC-0031</t>
        </is>
      </c>
      <c r="S1681" t="inlineStr">
        <is>
          <t>Serpentina modelo 03</t>
        </is>
      </c>
      <c r="T1681" t="n">
        <v>1</v>
      </c>
      <c r="U1681" t="n">
        <v>120</v>
      </c>
      <c r="V1681">
        <f>IF(J1681="","",MONTH(J1681))</f>
        <v/>
      </c>
      <c r="W1681">
        <f>IF(J1681="","",YEAR(J1681))</f>
        <v/>
      </c>
      <c r="X1681" t="inlineStr">
        <is>
          <t>CargoMax</t>
        </is>
      </c>
      <c r="Y1681">
        <f>IFERROR(INDEX(Rastreio!$H$2:$H$200,MATCH(X1681&amp;"|"&amp;U1681,Rastreio!$A$2:$A$200,0)),"")</f>
        <v/>
      </c>
    </row>
    <row r="1682">
      <c r="A1682">
        <f>IFERROR(INDEX(STAs!$G$2:$G$61,MATCH(P1682,STAs!$F$2:$F$61,0))&amp;"","")</f>
        <v/>
      </c>
      <c r="B1682" t="n">
        <v>20010865</v>
      </c>
      <c r="C1682" t="inlineStr">
        <is>
          <t>Não</t>
        </is>
      </c>
      <c r="D1682" t="inlineStr">
        <is>
          <t>MS</t>
        </is>
      </c>
      <c r="E1682" t="inlineStr">
        <is>
          <t>CENTRO OESTE</t>
        </is>
      </c>
      <c r="F1682" t="inlineStr">
        <is>
          <t>Cliente A - Refrigerador</t>
        </is>
      </c>
      <c r="G1682" t="inlineStr">
        <is>
          <t>Refrigeradores</t>
        </is>
      </c>
      <c r="H1682" s="10" t="n">
        <v>65</v>
      </c>
      <c r="I1682" s="10">
        <f>IFERROR(T1682*H1682,0)</f>
        <v/>
      </c>
      <c r="J1682" s="11" t="n">
        <v>46208</v>
      </c>
      <c r="K1682" s="11" t="n">
        <v>46217</v>
      </c>
      <c r="L1682" t="inlineStr">
        <is>
          <t>Ok. Devolvida</t>
        </is>
      </c>
      <c r="M1682">
        <f>IF(L1682="","",IFERROR(VLOOKUP(L1682,mapGrupoStatus,2,0),"Outros"))</f>
        <v/>
      </c>
      <c r="N1682">
        <f>IF(O1682="","",IF(O1682&lt;=30,"0-30 dias",IF(O1682&lt;=60,"31-60 dias",IF(O1682&lt;=90,"61-90 dias","Mais de 90 dias"))))</f>
        <v/>
      </c>
      <c r="O1682">
        <f>IF(OR(M1682="Pendente",M1682="Em andamento"),IF(J1682="","",TODAY()-J1682),"")</f>
        <v/>
      </c>
      <c r="P1682" t="n">
        <v>10302</v>
      </c>
      <c r="Q1682" t="inlineStr">
        <is>
          <t>Ice Tech Express (10302)</t>
        </is>
      </c>
      <c r="R1682" t="inlineStr">
        <is>
          <t>PC-0010</t>
        </is>
      </c>
      <c r="S1682" t="inlineStr">
        <is>
          <t>Ventilador modelo 04</t>
        </is>
      </c>
      <c r="T1682" t="n">
        <v>1</v>
      </c>
      <c r="U1682" t="n">
        <v>124</v>
      </c>
      <c r="V1682">
        <f>IF(J1682="","",MONTH(J1682))</f>
        <v/>
      </c>
      <c r="W1682">
        <f>IF(J1682="","",YEAR(J1682))</f>
        <v/>
      </c>
      <c r="X1682" t="inlineStr">
        <is>
          <t>ViaCargo</t>
        </is>
      </c>
      <c r="Y1682">
        <f>IFERROR(INDEX(Rastreio!$H$2:$H$200,MATCH(X1682&amp;"|"&amp;U1682,Rastreio!$A$2:$A$200,0)),"")</f>
        <v/>
      </c>
    </row>
    <row r="1683">
      <c r="A1683">
        <f>IFERROR(INDEX(STAs!$G$2:$G$61,MATCH(P1683,STAs!$F$2:$F$61,0))&amp;"","")</f>
        <v/>
      </c>
      <c r="B1683" t="n">
        <v>20017811</v>
      </c>
      <c r="C1683" t="inlineStr">
        <is>
          <t>Sim</t>
        </is>
      </c>
      <c r="D1683" t="inlineStr">
        <is>
          <t>PR</t>
        </is>
      </c>
      <c r="E1683" t="inlineStr">
        <is>
          <t>SUL</t>
        </is>
      </c>
      <c r="F1683" t="inlineStr">
        <is>
          <t>Cliente C - Misturador</t>
        </is>
      </c>
      <c r="G1683" t="inlineStr">
        <is>
          <t>Refrigeradores</t>
        </is>
      </c>
      <c r="H1683" s="10" t="n">
        <v>50</v>
      </c>
      <c r="I1683" s="10">
        <f>IFERROR(T1683*H1683,0)</f>
        <v/>
      </c>
      <c r="J1683" s="11" t="n">
        <v>46208</v>
      </c>
      <c r="K1683" s="11" t="n">
        <v>46264</v>
      </c>
      <c r="L1683" t="inlineStr">
        <is>
          <t>Ok. Devolvida</t>
        </is>
      </c>
      <c r="M1683">
        <f>IF(L1683="","",IFERROR(VLOOKUP(L1683,mapGrupoStatus,2,0),"Outros"))</f>
        <v/>
      </c>
      <c r="N1683">
        <f>IF(O1683="","",IF(O1683&lt;=30,"0-30 dias",IF(O1683&lt;=60,"31-60 dias",IF(O1683&lt;=90,"61-90 dias","Mais de 90 dias"))))</f>
        <v/>
      </c>
      <c r="O1683">
        <f>IF(OR(M1683="Pendente",M1683="Em andamento"),IF(J1683="","",TODAY()-J1683),"")</f>
        <v/>
      </c>
      <c r="P1683" t="n">
        <v>12724</v>
      </c>
      <c r="Q1683" t="inlineStr">
        <is>
          <t>Cool Service &amp; Cia (12724)</t>
        </is>
      </c>
      <c r="R1683" t="inlineStr">
        <is>
          <t>PC-0006</t>
        </is>
      </c>
      <c r="S1683" t="inlineStr">
        <is>
          <t>Termostato modelo 03</t>
        </is>
      </c>
      <c r="T1683" t="n">
        <v>1</v>
      </c>
      <c r="U1683" t="n">
        <v>133</v>
      </c>
      <c r="V1683">
        <f>IF(J1683="","",MONTH(J1683))</f>
        <v/>
      </c>
      <c r="W1683">
        <f>IF(J1683="","",YEAR(J1683))</f>
        <v/>
      </c>
      <c r="X1683" t="inlineStr">
        <is>
          <t>ViaCargo</t>
        </is>
      </c>
      <c r="Y1683">
        <f>IFERROR(INDEX(Rastreio!$H$2:$H$200,MATCH(X1683&amp;"|"&amp;U1683,Rastreio!$A$2:$A$200,0)),"")</f>
        <v/>
      </c>
    </row>
    <row r="1684">
      <c r="A1684">
        <f>IFERROR(INDEX(STAs!$G$2:$G$61,MATCH(P1684,STAs!$F$2:$F$61,0))&amp;"","")</f>
        <v/>
      </c>
      <c r="B1684" t="n">
        <v>20033713</v>
      </c>
      <c r="C1684" t="inlineStr">
        <is>
          <t>Não</t>
        </is>
      </c>
      <c r="D1684" t="inlineStr">
        <is>
          <t>BA</t>
        </is>
      </c>
      <c r="E1684" t="inlineStr">
        <is>
          <t>NORDESTE</t>
        </is>
      </c>
      <c r="F1684" t="inlineStr">
        <is>
          <t>Cliente C - Misturador</t>
        </is>
      </c>
      <c r="G1684" t="inlineStr">
        <is>
          <t>Refrigeradores</t>
        </is>
      </c>
      <c r="H1684" s="10" t="n">
        <v>35</v>
      </c>
      <c r="I1684" s="10">
        <f>IFERROR(T1684*H1684,0)</f>
        <v/>
      </c>
      <c r="J1684" s="11" t="n">
        <v>46208</v>
      </c>
      <c r="K1684" s="11" t="n"/>
      <c r="L1684" t="inlineStr">
        <is>
          <t>Aguardando devolução</t>
        </is>
      </c>
      <c r="M1684">
        <f>IF(L1684="","",IFERROR(VLOOKUP(L1684,mapGrupoStatus,2,0),"Outros"))</f>
        <v/>
      </c>
      <c r="N1684">
        <f>IF(O1684="","",IF(O1684&lt;=30,"0-30 dias",IF(O1684&lt;=60,"31-60 dias",IF(O1684&lt;=90,"61-90 dias","Mais de 90 dias"))))</f>
        <v/>
      </c>
      <c r="O1684">
        <f>IF(OR(M1684="Pendente",M1684="Em andamento"),IF(J1684="","",TODAY()-J1684),"")</f>
        <v/>
      </c>
      <c r="P1684" t="n">
        <v>12194</v>
      </c>
      <c r="Q1684" t="inlineStr">
        <is>
          <t>Polar &amp; Cia (12194)</t>
        </is>
      </c>
      <c r="R1684" t="inlineStr">
        <is>
          <t>PC-0023</t>
        </is>
      </c>
      <c r="S1684" t="inlineStr">
        <is>
          <t>Relé de partida modelo 01</t>
        </is>
      </c>
      <c r="T1684" t="n">
        <v>2</v>
      </c>
      <c r="U1684" t="inlineStr"/>
      <c r="V1684">
        <f>IF(J1684="","",MONTH(J1684))</f>
        <v/>
      </c>
      <c r="W1684">
        <f>IF(J1684="","",YEAR(J1684))</f>
        <v/>
      </c>
      <c r="X1684" t="inlineStr"/>
      <c r="Y1684">
        <f>IFERROR(INDEX(Rastreio!$H$2:$H$200,MATCH(X1684&amp;"|"&amp;U1684,Rastreio!$A$2:$A$200,0)),"")</f>
        <v/>
      </c>
    </row>
    <row r="1685">
      <c r="A1685">
        <f>IFERROR(INDEX(STAs!$G$2:$G$61,MATCH(P1685,STAs!$F$2:$F$61,0))&amp;"","")</f>
        <v/>
      </c>
      <c r="B1685" t="n">
        <v>20040252</v>
      </c>
      <c r="C1685" t="inlineStr">
        <is>
          <t>Não</t>
        </is>
      </c>
      <c r="D1685" t="inlineStr">
        <is>
          <t>MG</t>
        </is>
      </c>
      <c r="E1685" t="inlineStr">
        <is>
          <t>SUDESTE MG</t>
        </is>
      </c>
      <c r="F1685" t="inlineStr">
        <is>
          <t>Cliente A - Refrigerador</t>
        </is>
      </c>
      <c r="G1685" t="inlineStr">
        <is>
          <t>Misturadores</t>
        </is>
      </c>
      <c r="H1685" s="10" t="n">
        <v>185</v>
      </c>
      <c r="I1685" s="10">
        <f>IFERROR(T1685*H1685,0)</f>
        <v/>
      </c>
      <c r="J1685" s="11" t="n">
        <v>46208</v>
      </c>
      <c r="K1685" s="11" t="n"/>
      <c r="L1685" t="inlineStr">
        <is>
          <t>Em andamento</t>
        </is>
      </c>
      <c r="M1685">
        <f>IF(L1685="","",IFERROR(VLOOKUP(L1685,mapGrupoStatus,2,0),"Outros"))</f>
        <v/>
      </c>
      <c r="N1685">
        <f>IF(O1685="","",IF(O1685&lt;=30,"0-30 dias",IF(O1685&lt;=60,"31-60 dias",IF(O1685&lt;=90,"61-90 dias","Mais de 90 dias"))))</f>
        <v/>
      </c>
      <c r="O1685">
        <f>IF(OR(M1685="Pendente",M1685="Em andamento"),IF(J1685="","",TODAY()-J1685),"")</f>
        <v/>
      </c>
      <c r="P1685" t="n">
        <v>12158</v>
      </c>
      <c r="Q1685" t="inlineStr">
        <is>
          <t>Gelo Serviços (12158)</t>
        </is>
      </c>
      <c r="R1685" t="inlineStr">
        <is>
          <t>PC-0041</t>
        </is>
      </c>
      <c r="S1685" t="inlineStr">
        <is>
          <t>Motor agitador modelo 02</t>
        </is>
      </c>
      <c r="T1685" t="n">
        <v>1</v>
      </c>
      <c r="U1685" t="n">
        <v>175</v>
      </c>
      <c r="V1685">
        <f>IF(J1685="","",MONTH(J1685))</f>
        <v/>
      </c>
      <c r="W1685">
        <f>IF(J1685="","",YEAR(J1685))</f>
        <v/>
      </c>
      <c r="X1685" t="inlineStr">
        <is>
          <t>RotaSul</t>
        </is>
      </c>
      <c r="Y1685">
        <f>IFERROR(INDEX(Rastreio!$H$2:$H$200,MATCH(X1685&amp;"|"&amp;U1685,Rastreio!$A$2:$A$200,0)),"")</f>
        <v/>
      </c>
    </row>
    <row r="1686">
      <c r="A1686">
        <f>IFERROR(INDEX(STAs!$G$2:$G$61,MATCH(P1686,STAs!$F$2:$F$61,0))&amp;"","")</f>
        <v/>
      </c>
      <c r="B1686" t="n">
        <v>20024698</v>
      </c>
      <c r="C1686" t="inlineStr">
        <is>
          <t>Não</t>
        </is>
      </c>
      <c r="D1686" t="inlineStr">
        <is>
          <t>SP</t>
        </is>
      </c>
      <c r="E1686" t="inlineStr">
        <is>
          <t>SUDESTE SP</t>
        </is>
      </c>
      <c r="F1686" t="inlineStr">
        <is>
          <t>Cliente A - Refrigerador</t>
        </is>
      </c>
      <c r="G1686" t="inlineStr">
        <is>
          <t>Misturadores</t>
        </is>
      </c>
      <c r="H1686" s="10" t="n">
        <v>50</v>
      </c>
      <c r="I1686" s="10">
        <f>IFERROR(T1686*H1686,0)</f>
        <v/>
      </c>
      <c r="J1686" s="11" t="n">
        <v>46209</v>
      </c>
      <c r="K1686" s="11" t="n">
        <v>46238</v>
      </c>
      <c r="L1686" t="inlineStr">
        <is>
          <t>Ok. Devolvida</t>
        </is>
      </c>
      <c r="M1686">
        <f>IF(L1686="","",IFERROR(VLOOKUP(L1686,mapGrupoStatus,2,0),"Outros"))</f>
        <v/>
      </c>
      <c r="N1686">
        <f>IF(O1686="","",IF(O1686&lt;=30,"0-30 dias",IF(O1686&lt;=60,"31-60 dias",IF(O1686&lt;=90,"61-90 dias","Mais de 90 dias"))))</f>
        <v/>
      </c>
      <c r="O1686">
        <f>IF(OR(M1686="Pendente",M1686="Em andamento"),IF(J1686="","",TODAY()-J1686),"")</f>
        <v/>
      </c>
      <c r="P1686" t="n">
        <v>10413</v>
      </c>
      <c r="Q1686" t="inlineStr">
        <is>
          <t>Polar Manutenção (10413)</t>
        </is>
      </c>
      <c r="R1686" t="inlineStr">
        <is>
          <t>PC-0047</t>
        </is>
      </c>
      <c r="S1686" t="inlineStr">
        <is>
          <t>Sensor de nível modelo 03</t>
        </is>
      </c>
      <c r="T1686" t="n">
        <v>1</v>
      </c>
      <c r="U1686" t="n">
        <v>146</v>
      </c>
      <c r="V1686">
        <f>IF(J1686="","",MONTH(J1686))</f>
        <v/>
      </c>
      <c r="W1686">
        <f>IF(J1686="","",YEAR(J1686))</f>
        <v/>
      </c>
      <c r="X1686" t="inlineStr">
        <is>
          <t>LogExpress</t>
        </is>
      </c>
      <c r="Y1686">
        <f>IFERROR(INDEX(Rastreio!$H$2:$H$200,MATCH(X1686&amp;"|"&amp;U1686,Rastreio!$A$2:$A$200,0)),"")</f>
        <v/>
      </c>
    </row>
    <row r="1687">
      <c r="A1687">
        <f>IFERROR(INDEX(STAs!$G$2:$G$61,MATCH(P1687,STAs!$F$2:$F$61,0))&amp;"","")</f>
        <v/>
      </c>
      <c r="B1687" t="n">
        <v>20034072</v>
      </c>
      <c r="C1687" t="inlineStr">
        <is>
          <t>Não</t>
        </is>
      </c>
      <c r="D1687" t="inlineStr">
        <is>
          <t>RO</t>
        </is>
      </c>
      <c r="E1687" t="inlineStr">
        <is>
          <t>NORTE</t>
        </is>
      </c>
      <c r="F1687" t="inlineStr">
        <is>
          <t>Cliente A - Refrigerador</t>
        </is>
      </c>
      <c r="G1687" t="inlineStr">
        <is>
          <t>Refrigeradores</t>
        </is>
      </c>
      <c r="H1687" s="10" t="n">
        <v>30</v>
      </c>
      <c r="I1687" s="10">
        <f>IFERROR(T1687*H1687,0)</f>
        <v/>
      </c>
      <c r="J1687" s="11" t="n">
        <v>46209</v>
      </c>
      <c r="K1687" s="11" t="n">
        <v>46255</v>
      </c>
      <c r="L1687" t="inlineStr">
        <is>
          <t>Ok. Devolvida</t>
        </is>
      </c>
      <c r="M1687">
        <f>IF(L1687="","",IFERROR(VLOOKUP(L1687,mapGrupoStatus,2,0),"Outros"))</f>
        <v/>
      </c>
      <c r="N1687">
        <f>IF(O1687="","",IF(O1687&lt;=30,"0-30 dias",IF(O1687&lt;=60,"31-60 dias",IF(O1687&lt;=90,"61-90 dias","Mais de 90 dias"))))</f>
        <v/>
      </c>
      <c r="O1687">
        <f>IF(OR(M1687="Pendente",M1687="Em andamento"),IF(J1687="","",TODAY()-J1687),"")</f>
        <v/>
      </c>
      <c r="P1687" t="n">
        <v>12019</v>
      </c>
      <c r="Q1687" t="inlineStr">
        <is>
          <t>Ártico Serviços (12019)</t>
        </is>
      </c>
      <c r="R1687" t="inlineStr">
        <is>
          <t>PC-0025</t>
        </is>
      </c>
      <c r="S1687" t="inlineStr">
        <is>
          <t>Relé de partida modelo 03</t>
        </is>
      </c>
      <c r="T1687" t="n">
        <v>3</v>
      </c>
      <c r="U1687" t="n">
        <v>160</v>
      </c>
      <c r="V1687">
        <f>IF(J1687="","",MONTH(J1687))</f>
        <v/>
      </c>
      <c r="W1687">
        <f>IF(J1687="","",YEAR(J1687))</f>
        <v/>
      </c>
      <c r="X1687" t="inlineStr">
        <is>
          <t>LogExpress</t>
        </is>
      </c>
      <c r="Y1687">
        <f>IFERROR(INDEX(Rastreio!$H$2:$H$200,MATCH(X1687&amp;"|"&amp;U1687,Rastreio!$A$2:$A$200,0)),"")</f>
        <v/>
      </c>
    </row>
    <row r="1688">
      <c r="A1688">
        <f>IFERROR(INDEX(STAs!$G$2:$G$61,MATCH(P1688,STAs!$F$2:$F$61,0))&amp;"","")</f>
        <v/>
      </c>
      <c r="B1688" t="n">
        <v>20014467</v>
      </c>
      <c r="C1688" t="inlineStr">
        <is>
          <t>Não</t>
        </is>
      </c>
      <c r="D1688" t="inlineStr">
        <is>
          <t>RJ</t>
        </is>
      </c>
      <c r="E1688" t="inlineStr">
        <is>
          <t>SUDESTE RJ e ES</t>
        </is>
      </c>
      <c r="F1688" t="inlineStr">
        <is>
          <t>Cliente C - Misturador</t>
        </is>
      </c>
      <c r="G1688" t="inlineStr">
        <is>
          <t>Refrigeradores</t>
        </is>
      </c>
      <c r="H1688" s="10" t="n">
        <v>175</v>
      </c>
      <c r="I1688" s="10">
        <f>IFERROR(T1688*H1688,0)</f>
        <v/>
      </c>
      <c r="J1688" s="11" t="n">
        <v>46210</v>
      </c>
      <c r="K1688" s="11" t="n">
        <v>46246</v>
      </c>
      <c r="L1688" t="inlineStr">
        <is>
          <t>Ok. Devolvida</t>
        </is>
      </c>
      <c r="M1688">
        <f>IF(L1688="","",IFERROR(VLOOKUP(L1688,mapGrupoStatus,2,0),"Outros"))</f>
        <v/>
      </c>
      <c r="N1688">
        <f>IF(O1688="","",IF(O1688&lt;=30,"0-30 dias",IF(O1688&lt;=60,"31-60 dias",IF(O1688&lt;=90,"61-90 dias","Mais de 90 dias"))))</f>
        <v/>
      </c>
      <c r="O1688">
        <f>IF(OR(M1688="Pendente",M1688="Em andamento"),IF(J1688="","",TODAY()-J1688),"")</f>
        <v/>
      </c>
      <c r="P1688" t="n">
        <v>10676</v>
      </c>
      <c r="Q1688" t="inlineStr">
        <is>
          <t>Clima Serviços (10676)</t>
        </is>
      </c>
      <c r="R1688" t="inlineStr">
        <is>
          <t>PC-0012</t>
        </is>
      </c>
      <c r="S1688" t="inlineStr">
        <is>
          <t>Placa eletrônica modelo 02</t>
        </is>
      </c>
      <c r="T1688" t="n">
        <v>1</v>
      </c>
      <c r="U1688" t="n">
        <v>125</v>
      </c>
      <c r="V1688">
        <f>IF(J1688="","",MONTH(J1688))</f>
        <v/>
      </c>
      <c r="W1688">
        <f>IF(J1688="","",YEAR(J1688))</f>
        <v/>
      </c>
      <c r="X1688" t="inlineStr">
        <is>
          <t>EntregaJá</t>
        </is>
      </c>
      <c r="Y1688">
        <f>IFERROR(INDEX(Rastreio!$H$2:$H$200,MATCH(X1688&amp;"|"&amp;U1688,Rastreio!$A$2:$A$200,0)),"")</f>
        <v/>
      </c>
    </row>
    <row r="1689">
      <c r="A1689">
        <f>IFERROR(INDEX(STAs!$G$2:$G$61,MATCH(P1689,STAs!$F$2:$F$61,0))&amp;"","")</f>
        <v/>
      </c>
      <c r="B1689" t="n">
        <v>20025563</v>
      </c>
      <c r="C1689" t="inlineStr">
        <is>
          <t>Não</t>
        </is>
      </c>
      <c r="D1689" t="inlineStr">
        <is>
          <t>MT</t>
        </is>
      </c>
      <c r="E1689" t="inlineStr">
        <is>
          <t>CENTRO OESTE</t>
        </is>
      </c>
      <c r="F1689" t="inlineStr">
        <is>
          <t>Cliente B - Chopeira</t>
        </is>
      </c>
      <c r="G1689" t="inlineStr">
        <is>
          <t>Refrigeradores</t>
        </is>
      </c>
      <c r="H1689" s="10" t="n">
        <v>155</v>
      </c>
      <c r="I1689" s="10">
        <f>IFERROR(T1689*H1689,0)</f>
        <v/>
      </c>
      <c r="J1689" s="11" t="n">
        <v>46210</v>
      </c>
      <c r="K1689" s="11" t="n">
        <v>46259</v>
      </c>
      <c r="L1689" t="inlineStr">
        <is>
          <t>Ok. Devolvida</t>
        </is>
      </c>
      <c r="M1689">
        <f>IF(L1689="","",IFERROR(VLOOKUP(L1689,mapGrupoStatus,2,0),"Outros"))</f>
        <v/>
      </c>
      <c r="N1689">
        <f>IF(O1689="","",IF(O1689&lt;=30,"0-30 dias",IF(O1689&lt;=60,"31-60 dias",IF(O1689&lt;=90,"61-90 dias","Mais de 90 dias"))))</f>
        <v/>
      </c>
      <c r="O1689">
        <f>IF(OR(M1689="Pendente",M1689="Em andamento"),IF(J1689="","",TODAY()-J1689),"")</f>
        <v/>
      </c>
      <c r="P1689" t="n">
        <v>10227</v>
      </c>
      <c r="Q1689" t="inlineStr">
        <is>
          <t>Assistência Técnica ME (10227)</t>
        </is>
      </c>
      <c r="R1689" t="inlineStr">
        <is>
          <t>PC-0021</t>
        </is>
      </c>
      <c r="S1689" t="inlineStr">
        <is>
          <t>Controlador digital modelo 01</t>
        </is>
      </c>
      <c r="T1689" t="n">
        <v>1</v>
      </c>
      <c r="U1689" t="n">
        <v>138</v>
      </c>
      <c r="V1689">
        <f>IF(J1689="","",MONTH(J1689))</f>
        <v/>
      </c>
      <c r="W1689">
        <f>IF(J1689="","",YEAR(J1689))</f>
        <v/>
      </c>
      <c r="X1689" t="inlineStr">
        <is>
          <t>EntregaJá</t>
        </is>
      </c>
      <c r="Y1689">
        <f>IFERROR(INDEX(Rastreio!$H$2:$H$200,MATCH(X1689&amp;"|"&amp;U1689,Rastreio!$A$2:$A$200,0)),"")</f>
        <v/>
      </c>
    </row>
    <row r="1690">
      <c r="A1690">
        <f>IFERROR(INDEX(STAs!$G$2:$G$61,MATCH(P1690,STAs!$F$2:$F$61,0))&amp;"","")</f>
        <v/>
      </c>
      <c r="B1690" t="n">
        <v>20031236</v>
      </c>
      <c r="C1690" t="inlineStr">
        <is>
          <t>Não</t>
        </is>
      </c>
      <c r="D1690" t="inlineStr">
        <is>
          <t>BA</t>
        </is>
      </c>
      <c r="E1690" t="inlineStr">
        <is>
          <t>NORDESTE</t>
        </is>
      </c>
      <c r="F1690" t="inlineStr">
        <is>
          <t>Cliente B - Chopeira</t>
        </is>
      </c>
      <c r="G1690" t="inlineStr">
        <is>
          <t>Misturadores</t>
        </is>
      </c>
      <c r="H1690" s="10" t="n">
        <v>185</v>
      </c>
      <c r="I1690" s="10">
        <f>IFERROR(T1690*H1690,0)</f>
        <v/>
      </c>
      <c r="J1690" s="11" t="n">
        <v>46210</v>
      </c>
      <c r="K1690" s="11" t="n"/>
      <c r="L1690" t="inlineStr">
        <is>
          <t>Aguardando devolução</t>
        </is>
      </c>
      <c r="M1690">
        <f>IF(L1690="","",IFERROR(VLOOKUP(L1690,mapGrupoStatus,2,0),"Outros"))</f>
        <v/>
      </c>
      <c r="N1690">
        <f>IF(O1690="","",IF(O1690&lt;=30,"0-30 dias",IF(O1690&lt;=60,"31-60 dias",IF(O1690&lt;=90,"61-90 dias","Mais de 90 dias"))))</f>
        <v/>
      </c>
      <c r="O1690">
        <f>IF(OR(M1690="Pendente",M1690="Em andamento"),IF(J1690="","",TODAY()-J1690),"")</f>
        <v/>
      </c>
      <c r="P1690" t="n">
        <v>12194</v>
      </c>
      <c r="Q1690" t="inlineStr">
        <is>
          <t>Polar &amp; Cia (12194)</t>
        </is>
      </c>
      <c r="R1690" t="inlineStr">
        <is>
          <t>PC-0041</t>
        </is>
      </c>
      <c r="S1690" t="inlineStr">
        <is>
          <t>Motor agitador modelo 02</t>
        </is>
      </c>
      <c r="T1690" t="n">
        <v>1</v>
      </c>
      <c r="U1690" t="inlineStr"/>
      <c r="V1690">
        <f>IF(J1690="","",MONTH(J1690))</f>
        <v/>
      </c>
      <c r="W1690">
        <f>IF(J1690="","",YEAR(J1690))</f>
        <v/>
      </c>
      <c r="X1690" t="inlineStr"/>
      <c r="Y1690">
        <f>IFERROR(INDEX(Rastreio!$H$2:$H$200,MATCH(X1690&amp;"|"&amp;U1690,Rastreio!$A$2:$A$200,0)),"")</f>
        <v/>
      </c>
    </row>
    <row r="1691">
      <c r="A1691">
        <f>IFERROR(INDEX(STAs!$G$2:$G$61,MATCH(P1691,STAs!$F$2:$F$61,0))&amp;"","")</f>
        <v/>
      </c>
      <c r="B1691" t="n">
        <v>20034502</v>
      </c>
      <c r="C1691" t="inlineStr">
        <is>
          <t>Não</t>
        </is>
      </c>
      <c r="D1691" t="inlineStr">
        <is>
          <t>SP</t>
        </is>
      </c>
      <c r="E1691" t="inlineStr">
        <is>
          <t>SUDESTE SP</t>
        </is>
      </c>
      <c r="F1691" t="inlineStr">
        <is>
          <t>Cliente C - Misturador</t>
        </is>
      </c>
      <c r="G1691" t="inlineStr">
        <is>
          <t>Refrigeradores</t>
        </is>
      </c>
      <c r="H1691" s="10" t="n">
        <v>155</v>
      </c>
      <c r="I1691" s="10">
        <f>IFERROR(T1691*H1691,0)</f>
        <v/>
      </c>
      <c r="J1691" s="11" t="n">
        <v>46210</v>
      </c>
      <c r="K1691" s="11" t="n">
        <v>46237</v>
      </c>
      <c r="L1691" t="inlineStr">
        <is>
          <t>Ok. Devolvida</t>
        </is>
      </c>
      <c r="M1691">
        <f>IF(L1691="","",IFERROR(VLOOKUP(L1691,mapGrupoStatus,2,0),"Outros"))</f>
        <v/>
      </c>
      <c r="N1691">
        <f>IF(O1691="","",IF(O1691&lt;=30,"0-30 dias",IF(O1691&lt;=60,"31-60 dias",IF(O1691&lt;=90,"61-90 dias","Mais de 90 dias"))))</f>
        <v/>
      </c>
      <c r="O1691">
        <f>IF(OR(M1691="Pendente",M1691="Em andamento"),IF(J1691="","",TODAY()-J1691),"")</f>
        <v/>
      </c>
      <c r="P1691" t="n">
        <v>11710</v>
      </c>
      <c r="Q1691" t="inlineStr">
        <is>
          <t>Brisa &amp; Cia (11710)</t>
        </is>
      </c>
      <c r="R1691" t="inlineStr">
        <is>
          <t>PC-0021</t>
        </is>
      </c>
      <c r="S1691" t="inlineStr">
        <is>
          <t>Controlador digital modelo 01</t>
        </is>
      </c>
      <c r="T1691" t="n">
        <v>2</v>
      </c>
      <c r="U1691" t="n">
        <v>147</v>
      </c>
      <c r="V1691">
        <f>IF(J1691="","",MONTH(J1691))</f>
        <v/>
      </c>
      <c r="W1691">
        <f>IF(J1691="","",YEAR(J1691))</f>
        <v/>
      </c>
      <c r="X1691" t="inlineStr">
        <is>
          <t>EntregaJá</t>
        </is>
      </c>
      <c r="Y1691">
        <f>IFERROR(INDEX(Rastreio!$H$2:$H$200,MATCH(X1691&amp;"|"&amp;U1691,Rastreio!$A$2:$A$200,0)),"")</f>
        <v/>
      </c>
    </row>
    <row r="1692">
      <c r="A1692">
        <f>IFERROR(INDEX(STAs!$G$2:$G$61,MATCH(P1692,STAs!$F$2:$F$61,0))&amp;"","")</f>
        <v/>
      </c>
      <c r="B1692" t="n">
        <v>20037871</v>
      </c>
      <c r="C1692" t="inlineStr">
        <is>
          <t>Não</t>
        </is>
      </c>
      <c r="D1692" t="inlineStr">
        <is>
          <t>BA</t>
        </is>
      </c>
      <c r="E1692" t="inlineStr">
        <is>
          <t>NORDESTE</t>
        </is>
      </c>
      <c r="F1692" t="inlineStr">
        <is>
          <t>Cliente A - Refrigerador</t>
        </is>
      </c>
      <c r="G1692" t="inlineStr">
        <is>
          <t>Refrigeradores</t>
        </is>
      </c>
      <c r="H1692" s="10" t="n">
        <v>155</v>
      </c>
      <c r="I1692" s="10">
        <f>IFERROR(T1692*H1692,0)</f>
        <v/>
      </c>
      <c r="J1692" s="11" t="n">
        <v>46210</v>
      </c>
      <c r="K1692" s="11" t="n"/>
      <c r="L1692" t="inlineStr">
        <is>
          <t>NPD</t>
        </is>
      </c>
      <c r="M1692">
        <f>IF(L1692="","",IFERROR(VLOOKUP(L1692,mapGrupoStatus,2,0),"Outros"))</f>
        <v/>
      </c>
      <c r="N1692">
        <f>IF(O1692="","",IF(O1692&lt;=30,"0-30 dias",IF(O1692&lt;=60,"31-60 dias",IF(O1692&lt;=90,"61-90 dias","Mais de 90 dias"))))</f>
        <v/>
      </c>
      <c r="O1692">
        <f>IF(OR(M1692="Pendente",M1692="Em andamento"),IF(J1692="","",TODAY()-J1692),"")</f>
        <v/>
      </c>
      <c r="P1692" t="n">
        <v>12194</v>
      </c>
      <c r="Q1692" t="inlineStr">
        <is>
          <t>Polar &amp; Cia (12194)</t>
        </is>
      </c>
      <c r="R1692" t="inlineStr">
        <is>
          <t>PC-0022</t>
        </is>
      </c>
      <c r="S1692" t="inlineStr">
        <is>
          <t>Controlador digital modelo 02</t>
        </is>
      </c>
      <c r="T1692" t="n">
        <v>1</v>
      </c>
      <c r="U1692" t="inlineStr"/>
      <c r="V1692">
        <f>IF(J1692="","",MONTH(J1692))</f>
        <v/>
      </c>
      <c r="W1692">
        <f>IF(J1692="","",YEAR(J1692))</f>
        <v/>
      </c>
      <c r="X1692" t="inlineStr"/>
      <c r="Y1692">
        <f>IFERROR(INDEX(Rastreio!$H$2:$H$200,MATCH(X1692&amp;"|"&amp;U1692,Rastreio!$A$2:$A$200,0)),"")</f>
        <v/>
      </c>
    </row>
    <row r="1693">
      <c r="A1693">
        <f>IFERROR(INDEX(STAs!$G$2:$G$61,MATCH(P1693,STAs!$F$2:$F$61,0))&amp;"","")</f>
        <v/>
      </c>
      <c r="B1693" t="n">
        <v>20038616</v>
      </c>
      <c r="C1693" t="inlineStr">
        <is>
          <t>Não</t>
        </is>
      </c>
      <c r="D1693" t="inlineStr">
        <is>
          <t>RJ</t>
        </is>
      </c>
      <c r="E1693" t="inlineStr">
        <is>
          <t>SUDESTE RJ e ES</t>
        </is>
      </c>
      <c r="F1693" t="inlineStr">
        <is>
          <t>Cliente B - Chopeira</t>
        </is>
      </c>
      <c r="G1693" t="inlineStr">
        <is>
          <t>Refrigeradores</t>
        </is>
      </c>
      <c r="H1693" s="10" t="n">
        <v>25</v>
      </c>
      <c r="I1693" s="10">
        <f>IFERROR(T1693*H1693,0)</f>
        <v/>
      </c>
      <c r="J1693" s="11" t="n">
        <v>46210</v>
      </c>
      <c r="K1693" s="11" t="n"/>
      <c r="L1693" t="inlineStr">
        <is>
          <t>Em transporte</t>
        </is>
      </c>
      <c r="M1693">
        <f>IF(L1693="","",IFERROR(VLOOKUP(L1693,mapGrupoStatus,2,0),"Outros"))</f>
        <v/>
      </c>
      <c r="N1693">
        <f>IF(O1693="","",IF(O1693&lt;=30,"0-30 dias",IF(O1693&lt;=60,"31-60 dias",IF(O1693&lt;=90,"61-90 dias","Mais de 90 dias"))))</f>
        <v/>
      </c>
      <c r="O1693">
        <f>IF(OR(M1693="Pendente",M1693="Em andamento"),IF(J1693="","",TODAY()-J1693),"")</f>
        <v/>
      </c>
      <c r="P1693" t="n">
        <v>10676</v>
      </c>
      <c r="Q1693" t="inlineStr">
        <is>
          <t>Clima Serviços (10676)</t>
        </is>
      </c>
      <c r="R1693" t="inlineStr">
        <is>
          <t>PC-0015</t>
        </is>
      </c>
      <c r="S1693" t="inlineStr">
        <is>
          <t>Filtro secador modelo 01</t>
        </is>
      </c>
      <c r="T1693" t="n">
        <v>2</v>
      </c>
      <c r="U1693" t="n">
        <v>158</v>
      </c>
      <c r="V1693">
        <f>IF(J1693="","",MONTH(J1693))</f>
        <v/>
      </c>
      <c r="W1693">
        <f>IF(J1693="","",YEAR(J1693))</f>
        <v/>
      </c>
      <c r="X1693" t="inlineStr">
        <is>
          <t>ViaCargo</t>
        </is>
      </c>
      <c r="Y1693">
        <f>IFERROR(INDEX(Rastreio!$H$2:$H$200,MATCH(X1693&amp;"|"&amp;U1693,Rastreio!$A$2:$A$200,0)),"")</f>
        <v/>
      </c>
    </row>
    <row r="1694">
      <c r="A1694">
        <f>IFERROR(INDEX(STAs!$G$2:$G$61,MATCH(P1694,STAs!$F$2:$F$61,0))&amp;"","")</f>
        <v/>
      </c>
      <c r="B1694" t="n">
        <v>20000115</v>
      </c>
      <c r="C1694" t="inlineStr">
        <is>
          <t>Não</t>
        </is>
      </c>
      <c r="D1694" t="inlineStr">
        <is>
          <t>AM</t>
        </is>
      </c>
      <c r="E1694" t="inlineStr">
        <is>
          <t>NORTE</t>
        </is>
      </c>
      <c r="F1694" t="inlineStr">
        <is>
          <t>Cliente A - Refrigerador</t>
        </is>
      </c>
      <c r="G1694" t="inlineStr">
        <is>
          <t>Refrigeradores</t>
        </is>
      </c>
      <c r="H1694" s="10" t="n">
        <v>35</v>
      </c>
      <c r="I1694" s="10">
        <f>IFERROR(T1694*H1694,0)</f>
        <v/>
      </c>
      <c r="J1694" s="11" t="n">
        <v>46211</v>
      </c>
      <c r="K1694" s="11" t="n"/>
      <c r="L1694" t="inlineStr">
        <is>
          <t>Em transporte</t>
        </is>
      </c>
      <c r="M1694">
        <f>IF(L1694="","",IFERROR(VLOOKUP(L1694,mapGrupoStatus,2,0),"Outros"))</f>
        <v/>
      </c>
      <c r="N1694">
        <f>IF(O1694="","",IF(O1694&lt;=30,"0-30 dias",IF(O1694&lt;=60,"31-60 dias",IF(O1694&lt;=90,"61-90 dias","Mais de 90 dias"))))</f>
        <v/>
      </c>
      <c r="O1694">
        <f>IF(OR(M1694="Pendente",M1694="Em andamento"),IF(J1694="","",TODAY()-J1694),"")</f>
        <v/>
      </c>
      <c r="P1694" t="n">
        <v>10842</v>
      </c>
      <c r="Q1694" t="inlineStr">
        <is>
          <t>Frigo &amp; Cia (10842)</t>
        </is>
      </c>
      <c r="R1694" t="inlineStr">
        <is>
          <t>PC-0024</t>
        </is>
      </c>
      <c r="S1694" t="inlineStr">
        <is>
          <t>Relé de partida modelo 02</t>
        </is>
      </c>
      <c r="T1694" t="n">
        <v>3</v>
      </c>
      <c r="U1694" t="n">
        <v>100</v>
      </c>
      <c r="V1694">
        <f>IF(J1694="","",MONTH(J1694))</f>
        <v/>
      </c>
      <c r="W1694">
        <f>IF(J1694="","",YEAR(J1694))</f>
        <v/>
      </c>
      <c r="X1694" t="inlineStr">
        <is>
          <t>LogExpress</t>
        </is>
      </c>
      <c r="Y1694">
        <f>IFERROR(INDEX(Rastreio!$H$2:$H$200,MATCH(X1694&amp;"|"&amp;U1694,Rastreio!$A$2:$A$200,0)),"")</f>
        <v/>
      </c>
    </row>
    <row r="1695">
      <c r="A1695">
        <f>IFERROR(INDEX(STAs!$G$2:$G$61,MATCH(P1695,STAs!$F$2:$F$61,0))&amp;"","")</f>
        <v/>
      </c>
      <c r="B1695" t="n">
        <v>20001973</v>
      </c>
      <c r="C1695" t="inlineStr">
        <is>
          <t>Não</t>
        </is>
      </c>
      <c r="D1695" t="inlineStr">
        <is>
          <t>RO</t>
        </is>
      </c>
      <c r="E1695" t="inlineStr">
        <is>
          <t>NORTE</t>
        </is>
      </c>
      <c r="F1695" t="inlineStr">
        <is>
          <t>Cliente C - Misturador</t>
        </is>
      </c>
      <c r="G1695" t="inlineStr">
        <is>
          <t>Chopeiras</t>
        </is>
      </c>
      <c r="H1695" s="10" t="n">
        <v>85</v>
      </c>
      <c r="I1695" s="10">
        <f>IFERROR(T1695*H1695,0)</f>
        <v/>
      </c>
      <c r="J1695" s="11" t="n">
        <v>46211</v>
      </c>
      <c r="K1695" s="11" t="n"/>
      <c r="L1695" t="inlineStr">
        <is>
          <t>Não Devolve-Norte</t>
        </is>
      </c>
      <c r="M1695">
        <f>IF(L1695="","",IFERROR(VLOOKUP(L1695,mapGrupoStatus,2,0),"Outros"))</f>
        <v/>
      </c>
      <c r="N1695">
        <f>IF(O1695="","",IF(O1695&lt;=30,"0-30 dias",IF(O1695&lt;=60,"31-60 dias",IF(O1695&lt;=90,"61-90 dias","Mais de 90 dias"))))</f>
        <v/>
      </c>
      <c r="O1695">
        <f>IF(OR(M1695="Pendente",M1695="Em andamento"),IF(J1695="","",TODAY()-J1695),"")</f>
        <v/>
      </c>
      <c r="P1695" t="n">
        <v>12019</v>
      </c>
      <c r="Q1695" t="inlineStr">
        <is>
          <t>Ártico Serviços (12019)</t>
        </is>
      </c>
      <c r="R1695" t="inlineStr">
        <is>
          <t>PC-0028</t>
        </is>
      </c>
      <c r="S1695" t="inlineStr">
        <is>
          <t>Torneira de chopp modelo 03</t>
        </is>
      </c>
      <c r="T1695" t="n">
        <v>1</v>
      </c>
      <c r="U1695" t="inlineStr"/>
      <c r="V1695">
        <f>IF(J1695="","",MONTH(J1695))</f>
        <v/>
      </c>
      <c r="W1695">
        <f>IF(J1695="","",YEAR(J1695))</f>
        <v/>
      </c>
      <c r="X1695" t="inlineStr"/>
      <c r="Y1695">
        <f>IFERROR(INDEX(Rastreio!$H$2:$H$200,MATCH(X1695&amp;"|"&amp;U1695,Rastreio!$A$2:$A$200,0)),"")</f>
        <v/>
      </c>
    </row>
    <row r="1696">
      <c r="A1696">
        <f>IFERROR(INDEX(STAs!$G$2:$G$61,MATCH(P1696,STAs!$F$2:$F$61,0))&amp;"","")</f>
        <v/>
      </c>
      <c r="B1696" t="n">
        <v>20009917</v>
      </c>
      <c r="C1696" t="inlineStr">
        <is>
          <t>Não</t>
        </is>
      </c>
      <c r="D1696" t="inlineStr">
        <is>
          <t>GO</t>
        </is>
      </c>
      <c r="E1696" t="inlineStr">
        <is>
          <t>CENTRO OESTE</t>
        </is>
      </c>
      <c r="F1696" t="inlineStr">
        <is>
          <t>Cliente C - Misturador</t>
        </is>
      </c>
      <c r="G1696" t="inlineStr">
        <is>
          <t>Refrigeradores</t>
        </is>
      </c>
      <c r="H1696" s="10" t="n">
        <v>45</v>
      </c>
      <c r="I1696" s="10">
        <f>IFERROR(T1696*H1696,0)</f>
        <v/>
      </c>
      <c r="J1696" s="11" t="n">
        <v>46211</v>
      </c>
      <c r="K1696" s="11" t="n">
        <v>46264</v>
      </c>
      <c r="L1696" t="inlineStr">
        <is>
          <t>Ok. Devolvida</t>
        </is>
      </c>
      <c r="M1696">
        <f>IF(L1696="","",IFERROR(VLOOKUP(L1696,mapGrupoStatus,2,0),"Outros"))</f>
        <v/>
      </c>
      <c r="N1696">
        <f>IF(O1696="","",IF(O1696&lt;=30,"0-30 dias",IF(O1696&lt;=60,"31-60 dias",IF(O1696&lt;=90,"61-90 dias","Mais de 90 dias"))))</f>
        <v/>
      </c>
      <c r="O1696">
        <f>IF(OR(M1696="Pendente",M1696="Em andamento"),IF(J1696="","",TODAY()-J1696),"")</f>
        <v/>
      </c>
      <c r="P1696" t="n">
        <v>10317</v>
      </c>
      <c r="Q1696" t="inlineStr">
        <is>
          <t>Termotec Manutenção (10317)</t>
        </is>
      </c>
      <c r="R1696" t="inlineStr">
        <is>
          <t>PC-0019</t>
        </is>
      </c>
      <c r="S1696" t="inlineStr">
        <is>
          <t>Gaxeta da porta modelo 02</t>
        </is>
      </c>
      <c r="T1696" t="n">
        <v>1</v>
      </c>
      <c r="U1696" t="n">
        <v>117</v>
      </c>
      <c r="V1696">
        <f>IF(J1696="","",MONTH(J1696))</f>
        <v/>
      </c>
      <c r="W1696">
        <f>IF(J1696="","",YEAR(J1696))</f>
        <v/>
      </c>
      <c r="X1696" t="inlineStr">
        <is>
          <t>RotaSul</t>
        </is>
      </c>
      <c r="Y1696">
        <f>IFERROR(INDEX(Rastreio!$H$2:$H$200,MATCH(X1696&amp;"|"&amp;U1696,Rastreio!$A$2:$A$200,0)),"")</f>
        <v/>
      </c>
    </row>
    <row r="1697">
      <c r="A1697">
        <f>IFERROR(INDEX(STAs!$G$2:$G$61,MATCH(P1697,STAs!$F$2:$F$61,0))&amp;"","")</f>
        <v/>
      </c>
      <c r="B1697" t="n">
        <v>20013193</v>
      </c>
      <c r="C1697" t="inlineStr">
        <is>
          <t>Não</t>
        </is>
      </c>
      <c r="D1697" t="inlineStr">
        <is>
          <t>PR</t>
        </is>
      </c>
      <c r="E1697" t="inlineStr">
        <is>
          <t>SUL</t>
        </is>
      </c>
      <c r="F1697" t="inlineStr">
        <is>
          <t>Cliente A - Refrigerador</t>
        </is>
      </c>
      <c r="G1697" t="inlineStr">
        <is>
          <t>Misturadores</t>
        </is>
      </c>
      <c r="H1697" s="10" t="n">
        <v>200</v>
      </c>
      <c r="I1697" s="10">
        <f>IFERROR(T1697*H1697,0)</f>
        <v/>
      </c>
      <c r="J1697" s="11" t="n">
        <v>46211</v>
      </c>
      <c r="K1697" s="11" t="n"/>
      <c r="L1697" t="inlineStr">
        <is>
          <t>Em transporte</t>
        </is>
      </c>
      <c r="M1697">
        <f>IF(L1697="","",IFERROR(VLOOKUP(L1697,mapGrupoStatus,2,0),"Outros"))</f>
        <v/>
      </c>
      <c r="N1697">
        <f>IF(O1697="","",IF(O1697&lt;=30,"0-30 dias",IF(O1697&lt;=60,"31-60 dias",IF(O1697&lt;=90,"61-90 dias","Mais de 90 dias"))))</f>
        <v/>
      </c>
      <c r="O1697">
        <f>IF(OR(M1697="Pendente",M1697="Em andamento"),IF(J1697="","",TODAY()-J1697),"")</f>
        <v/>
      </c>
      <c r="P1697" t="n">
        <v>11898</v>
      </c>
      <c r="Q1697" t="inlineStr">
        <is>
          <t>Refrigel Express (11898)</t>
        </is>
      </c>
      <c r="R1697" t="inlineStr">
        <is>
          <t>PC-0040</t>
        </is>
      </c>
      <c r="S1697" t="inlineStr">
        <is>
          <t>Motor agitador modelo 01</t>
        </is>
      </c>
      <c r="T1697" t="n">
        <v>1</v>
      </c>
      <c r="U1697" t="n">
        <v>123</v>
      </c>
      <c r="V1697">
        <f>IF(J1697="","",MONTH(J1697))</f>
        <v/>
      </c>
      <c r="W1697">
        <f>IF(J1697="","",YEAR(J1697))</f>
        <v/>
      </c>
      <c r="X1697" t="inlineStr">
        <is>
          <t>TransNorte</t>
        </is>
      </c>
      <c r="Y1697">
        <f>IFERROR(INDEX(Rastreio!$H$2:$H$200,MATCH(X1697&amp;"|"&amp;U1697,Rastreio!$A$2:$A$200,0)),"")</f>
        <v/>
      </c>
    </row>
    <row r="1698">
      <c r="A1698">
        <f>IFERROR(INDEX(STAs!$G$2:$G$61,MATCH(P1698,STAs!$F$2:$F$61,0))&amp;"","")</f>
        <v/>
      </c>
      <c r="B1698" t="n">
        <v>20039160</v>
      </c>
      <c r="C1698" t="inlineStr">
        <is>
          <t>Não</t>
        </is>
      </c>
      <c r="D1698" t="inlineStr">
        <is>
          <t>GO</t>
        </is>
      </c>
      <c r="E1698" t="inlineStr">
        <is>
          <t>CENTRO OESTE</t>
        </is>
      </c>
      <c r="F1698" t="inlineStr">
        <is>
          <t>Cliente B - Chopeira</t>
        </is>
      </c>
      <c r="G1698" t="inlineStr">
        <is>
          <t>Chopeiras</t>
        </is>
      </c>
      <c r="H1698" s="10" t="n">
        <v>115</v>
      </c>
      <c r="I1698" s="10">
        <f>IFERROR(T1698*H1698,0)</f>
        <v/>
      </c>
      <c r="J1698" s="11" t="n">
        <v>46211</v>
      </c>
      <c r="K1698" s="11" t="n"/>
      <c r="L1698" t="inlineStr">
        <is>
          <t>Em transporte</t>
        </is>
      </c>
      <c r="M1698">
        <f>IF(L1698="","",IFERROR(VLOOKUP(L1698,mapGrupoStatus,2,0),"Outros"))</f>
        <v/>
      </c>
      <c r="N1698">
        <f>IF(O1698="","",IF(O1698&lt;=30,"0-30 dias",IF(O1698&lt;=60,"31-60 dias",IF(O1698&lt;=90,"61-90 dias","Mais de 90 dias"))))</f>
        <v/>
      </c>
      <c r="O1698">
        <f>IF(OR(M1698="Pendente",M1698="Em andamento"),IF(J1698="","",TODAY()-J1698),"")</f>
        <v/>
      </c>
      <c r="P1698" t="n">
        <v>12007</v>
      </c>
      <c r="Q1698" t="inlineStr">
        <is>
          <t>Refrigel Ltda (12007)</t>
        </is>
      </c>
      <c r="R1698" t="inlineStr">
        <is>
          <t>PC-0034</t>
        </is>
      </c>
      <c r="S1698" t="inlineStr">
        <is>
          <t>Regulador de pressão modelo 03</t>
        </is>
      </c>
      <c r="T1698" t="n">
        <v>1</v>
      </c>
      <c r="U1698" t="n">
        <v>156</v>
      </c>
      <c r="V1698">
        <f>IF(J1698="","",MONTH(J1698))</f>
        <v/>
      </c>
      <c r="W1698">
        <f>IF(J1698="","",YEAR(J1698))</f>
        <v/>
      </c>
      <c r="X1698" t="inlineStr">
        <is>
          <t>EntregaJá</t>
        </is>
      </c>
      <c r="Y1698">
        <f>IFERROR(INDEX(Rastreio!$H$2:$H$200,MATCH(X1698&amp;"|"&amp;U1698,Rastreio!$A$2:$A$200,0)),"")</f>
        <v/>
      </c>
    </row>
    <row r="1699">
      <c r="A1699">
        <f>IFERROR(INDEX(STAs!$G$2:$G$61,MATCH(P1699,STAs!$F$2:$F$61,0))&amp;"","")</f>
        <v/>
      </c>
      <c r="B1699" t="n">
        <v>20006679</v>
      </c>
      <c r="C1699" t="inlineStr">
        <is>
          <t>Não</t>
        </is>
      </c>
      <c r="D1699" t="inlineStr">
        <is>
          <t>AC</t>
        </is>
      </c>
      <c r="E1699" t="inlineStr">
        <is>
          <t>NORTE</t>
        </is>
      </c>
      <c r="F1699" t="inlineStr">
        <is>
          <t>Cliente A - Refrigerador</t>
        </is>
      </c>
      <c r="G1699" t="inlineStr">
        <is>
          <t>Chopeiras</t>
        </is>
      </c>
      <c r="H1699" s="10" t="n">
        <v>215</v>
      </c>
      <c r="I1699" s="10">
        <f>IFERROR(T1699*H1699,0)</f>
        <v/>
      </c>
      <c r="J1699" s="11" t="n">
        <v>46212</v>
      </c>
      <c r="K1699" s="11" t="n">
        <v>46259</v>
      </c>
      <c r="L1699" t="inlineStr">
        <is>
          <t>Ok. Devolvida</t>
        </is>
      </c>
      <c r="M1699">
        <f>IF(L1699="","",IFERROR(VLOOKUP(L1699,mapGrupoStatus,2,0),"Outros"))</f>
        <v/>
      </c>
      <c r="N1699">
        <f>IF(O1699="","",IF(O1699&lt;=30,"0-30 dias",IF(O1699&lt;=60,"31-60 dias",IF(O1699&lt;=90,"61-90 dias","Mais de 90 dias"))))</f>
        <v/>
      </c>
      <c r="O1699">
        <f>IF(OR(M1699="Pendente",M1699="Em andamento"),IF(J1699="","",TODAY()-J1699),"")</f>
        <v/>
      </c>
      <c r="P1699" t="n">
        <v>10372</v>
      </c>
      <c r="Q1699" t="inlineStr">
        <is>
          <t>Zero Grau ME (10372)</t>
        </is>
      </c>
      <c r="R1699" t="inlineStr">
        <is>
          <t>PC-0030</t>
        </is>
      </c>
      <c r="S1699" t="inlineStr">
        <is>
          <t>Serpentina modelo 02</t>
        </is>
      </c>
      <c r="T1699" t="n">
        <v>1</v>
      </c>
      <c r="U1699" t="n">
        <v>115</v>
      </c>
      <c r="V1699">
        <f>IF(J1699="","",MONTH(J1699))</f>
        <v/>
      </c>
      <c r="W1699">
        <f>IF(J1699="","",YEAR(J1699))</f>
        <v/>
      </c>
      <c r="X1699" t="inlineStr">
        <is>
          <t>EntregaJá</t>
        </is>
      </c>
      <c r="Y1699">
        <f>IFERROR(INDEX(Rastreio!$H$2:$H$200,MATCH(X1699&amp;"|"&amp;U1699,Rastreio!$A$2:$A$200,0)),"")</f>
        <v/>
      </c>
    </row>
    <row r="1700">
      <c r="A1700">
        <f>IFERROR(INDEX(STAs!$G$2:$G$61,MATCH(P1700,STAs!$F$2:$F$61,0))&amp;"","")</f>
        <v/>
      </c>
      <c r="B1700" t="n">
        <v>20008075</v>
      </c>
      <c r="C1700" t="inlineStr">
        <is>
          <t>Não</t>
        </is>
      </c>
      <c r="D1700" t="inlineStr">
        <is>
          <t>PE</t>
        </is>
      </c>
      <c r="E1700" t="inlineStr">
        <is>
          <t>NORDESTE</t>
        </is>
      </c>
      <c r="F1700" t="inlineStr">
        <is>
          <t>Cliente B - Chopeira</t>
        </is>
      </c>
      <c r="G1700" t="inlineStr">
        <is>
          <t>Refrigeradores</t>
        </is>
      </c>
      <c r="H1700" s="10" t="n">
        <v>65</v>
      </c>
      <c r="I1700" s="10">
        <f>IFERROR(T1700*H1700,0)</f>
        <v/>
      </c>
      <c r="J1700" s="11" t="n">
        <v>46212</v>
      </c>
      <c r="K1700" s="11" t="n"/>
      <c r="L1700" t="inlineStr">
        <is>
          <t>Em andamento</t>
        </is>
      </c>
      <c r="M1700">
        <f>IF(L1700="","",IFERROR(VLOOKUP(L1700,mapGrupoStatus,2,0),"Outros"))</f>
        <v/>
      </c>
      <c r="N1700">
        <f>IF(O1700="","",IF(O1700&lt;=30,"0-30 dias",IF(O1700&lt;=60,"31-60 dias",IF(O1700&lt;=90,"61-90 dias","Mais de 90 dias"))))</f>
        <v/>
      </c>
      <c r="O1700">
        <f>IF(OR(M1700="Pendente",M1700="Em andamento"),IF(J1700="","",TODAY()-J1700),"")</f>
        <v/>
      </c>
      <c r="P1700" t="n">
        <v>11352</v>
      </c>
      <c r="Q1700" t="inlineStr">
        <is>
          <t>Frio Express (11352)</t>
        </is>
      </c>
      <c r="R1700" t="inlineStr">
        <is>
          <t>PC-0010</t>
        </is>
      </c>
      <c r="S1700" t="inlineStr">
        <is>
          <t>Ventilador modelo 04</t>
        </is>
      </c>
      <c r="T1700" t="n">
        <v>1</v>
      </c>
      <c r="U1700" t="n">
        <v>114</v>
      </c>
      <c r="V1700">
        <f>IF(J1700="","",MONTH(J1700))</f>
        <v/>
      </c>
      <c r="W1700">
        <f>IF(J1700="","",YEAR(J1700))</f>
        <v/>
      </c>
      <c r="X1700" t="inlineStr">
        <is>
          <t>RotaSul</t>
        </is>
      </c>
      <c r="Y1700">
        <f>IFERROR(INDEX(Rastreio!$H$2:$H$200,MATCH(X1700&amp;"|"&amp;U1700,Rastreio!$A$2:$A$200,0)),"")</f>
        <v/>
      </c>
    </row>
    <row r="1701">
      <c r="A1701">
        <f>IFERROR(INDEX(STAs!$G$2:$G$61,MATCH(P1701,STAs!$F$2:$F$61,0))&amp;"","")</f>
        <v/>
      </c>
      <c r="B1701" t="n">
        <v>20020422</v>
      </c>
      <c r="C1701" t="inlineStr">
        <is>
          <t>Não</t>
        </is>
      </c>
      <c r="D1701" t="inlineStr">
        <is>
          <t>PR</t>
        </is>
      </c>
      <c r="E1701" t="inlineStr">
        <is>
          <t>SUL</t>
        </is>
      </c>
      <c r="F1701" t="inlineStr">
        <is>
          <t>Cliente C - Misturador</t>
        </is>
      </c>
      <c r="G1701" t="inlineStr">
        <is>
          <t>Refrigeradores</t>
        </is>
      </c>
      <c r="H1701" s="10" t="n">
        <v>70</v>
      </c>
      <c r="I1701" s="10">
        <f>IFERROR(T1701*H1701,0)</f>
        <v/>
      </c>
      <c r="J1701" s="11" t="n">
        <v>46212</v>
      </c>
      <c r="K1701" s="11" t="n">
        <v>46217</v>
      </c>
      <c r="L1701" t="inlineStr">
        <is>
          <t>Ok. Devolvida</t>
        </is>
      </c>
      <c r="M1701">
        <f>IF(L1701="","",IFERROR(VLOOKUP(L1701,mapGrupoStatus,2,0),"Outros"))</f>
        <v/>
      </c>
      <c r="N1701">
        <f>IF(O1701="","",IF(O1701&lt;=30,"0-30 dias",IF(O1701&lt;=60,"31-60 dias",IF(O1701&lt;=90,"61-90 dias","Mais de 90 dias"))))</f>
        <v/>
      </c>
      <c r="O1701">
        <f>IF(OR(M1701="Pendente",M1701="Em andamento"),IF(J1701="","",TODAY()-J1701),"")</f>
        <v/>
      </c>
      <c r="P1701" t="n">
        <v>12089</v>
      </c>
      <c r="Q1701" t="inlineStr">
        <is>
          <t>Termotec Serviços (12089)</t>
        </is>
      </c>
      <c r="R1701" t="inlineStr">
        <is>
          <t>PC-0009</t>
        </is>
      </c>
      <c r="S1701" t="inlineStr">
        <is>
          <t>Ventilador modelo 03</t>
        </is>
      </c>
      <c r="T1701" t="n">
        <v>2</v>
      </c>
      <c r="U1701" t="n">
        <v>131</v>
      </c>
      <c r="V1701">
        <f>IF(J1701="","",MONTH(J1701))</f>
        <v/>
      </c>
      <c r="W1701">
        <f>IF(J1701="","",YEAR(J1701))</f>
        <v/>
      </c>
      <c r="X1701" t="inlineStr">
        <is>
          <t>EntregaJá</t>
        </is>
      </c>
      <c r="Y1701">
        <f>IFERROR(INDEX(Rastreio!$H$2:$H$200,MATCH(X1701&amp;"|"&amp;U1701,Rastreio!$A$2:$A$200,0)),"")</f>
        <v/>
      </c>
    </row>
    <row r="1702">
      <c r="A1702">
        <f>IFERROR(INDEX(STAs!$G$2:$G$61,MATCH(P1702,STAs!$F$2:$F$61,0))&amp;"","")</f>
        <v/>
      </c>
      <c r="B1702" t="n">
        <v>20021638</v>
      </c>
      <c r="C1702" t="inlineStr">
        <is>
          <t>Não</t>
        </is>
      </c>
      <c r="D1702" t="inlineStr">
        <is>
          <t>ES</t>
        </is>
      </c>
      <c r="E1702" t="inlineStr">
        <is>
          <t>SUDESTE RJ e ES</t>
        </is>
      </c>
      <c r="F1702" t="inlineStr">
        <is>
          <t>Cliente A - Refrigerador</t>
        </is>
      </c>
      <c r="G1702" t="inlineStr">
        <is>
          <t>Misturadores</t>
        </is>
      </c>
      <c r="H1702" s="10" t="n">
        <v>255</v>
      </c>
      <c r="I1702" s="10">
        <f>IFERROR(T1702*H1702,0)</f>
        <v/>
      </c>
      <c r="J1702" s="11" t="n">
        <v>46212</v>
      </c>
      <c r="K1702" s="11" t="n"/>
      <c r="L1702" t="inlineStr">
        <is>
          <t>Em transporte</t>
        </is>
      </c>
      <c r="M1702">
        <f>IF(L1702="","",IFERROR(VLOOKUP(L1702,mapGrupoStatus,2,0),"Outros"))</f>
        <v/>
      </c>
      <c r="N1702">
        <f>IF(O1702="","",IF(O1702&lt;=30,"0-30 dias",IF(O1702&lt;=60,"31-60 dias",IF(O1702&lt;=90,"61-90 dias","Mais de 90 dias"))))</f>
        <v/>
      </c>
      <c r="O1702">
        <f>IF(OR(M1702="Pendente",M1702="Em andamento"),IF(J1702="","",TODAY()-J1702),"")</f>
        <v/>
      </c>
      <c r="P1702" t="n">
        <v>11099</v>
      </c>
      <c r="Q1702" t="inlineStr">
        <is>
          <t>Refrigel Serviços (11099)</t>
        </is>
      </c>
      <c r="R1702" t="inlineStr">
        <is>
          <t>PC-0037</t>
        </is>
      </c>
      <c r="S1702" t="inlineStr">
        <is>
          <t>Bomba de recirculação modelo 01</t>
        </is>
      </c>
      <c r="T1702" t="n">
        <v>2</v>
      </c>
      <c r="U1702" t="n">
        <v>133</v>
      </c>
      <c r="V1702">
        <f>IF(J1702="","",MONTH(J1702))</f>
        <v/>
      </c>
      <c r="W1702">
        <f>IF(J1702="","",YEAR(J1702))</f>
        <v/>
      </c>
      <c r="X1702" t="inlineStr">
        <is>
          <t>RotaSul</t>
        </is>
      </c>
      <c r="Y1702">
        <f>IFERROR(INDEX(Rastreio!$H$2:$H$200,MATCH(X1702&amp;"|"&amp;U1702,Rastreio!$A$2:$A$200,0)),"")</f>
        <v/>
      </c>
    </row>
    <row r="1703">
      <c r="A1703">
        <f>IFERROR(INDEX(STAs!$G$2:$G$61,MATCH(P1703,STAs!$F$2:$F$61,0))&amp;"","")</f>
        <v/>
      </c>
      <c r="B1703" t="n">
        <v>20022295</v>
      </c>
      <c r="C1703" t="inlineStr">
        <is>
          <t>Não</t>
        </is>
      </c>
      <c r="D1703" t="inlineStr">
        <is>
          <t>RO</t>
        </is>
      </c>
      <c r="E1703" t="inlineStr">
        <is>
          <t>NORTE</t>
        </is>
      </c>
      <c r="F1703" t="inlineStr">
        <is>
          <t>Cliente A - Refrigerador</t>
        </is>
      </c>
      <c r="G1703" t="inlineStr">
        <is>
          <t>Refrigeradores</t>
        </is>
      </c>
      <c r="H1703" s="10" t="n">
        <v>35</v>
      </c>
      <c r="I1703" s="10">
        <f>IFERROR(T1703*H1703,0)</f>
        <v/>
      </c>
      <c r="J1703" s="11" t="n">
        <v>46212</v>
      </c>
      <c r="K1703" s="11" t="n"/>
      <c r="L1703" t="inlineStr">
        <is>
          <t>NF Vencida</t>
        </is>
      </c>
      <c r="M1703">
        <f>IF(L1703="","",IFERROR(VLOOKUP(L1703,mapGrupoStatus,2,0),"Outros"))</f>
        <v/>
      </c>
      <c r="N1703">
        <f>IF(O1703="","",IF(O1703&lt;=30,"0-30 dias",IF(O1703&lt;=60,"31-60 dias",IF(O1703&lt;=90,"61-90 dias","Mais de 90 dias"))))</f>
        <v/>
      </c>
      <c r="O1703">
        <f>IF(OR(M1703="Pendente",M1703="Em andamento"),IF(J1703="","",TODAY()-J1703),"")</f>
        <v/>
      </c>
      <c r="P1703" t="n">
        <v>12019</v>
      </c>
      <c r="Q1703" t="inlineStr">
        <is>
          <t>Ártico Serviços (12019)</t>
        </is>
      </c>
      <c r="R1703" t="inlineStr">
        <is>
          <t>PC-0016</t>
        </is>
      </c>
      <c r="S1703" t="inlineStr">
        <is>
          <t>Filtro secador modelo 02</t>
        </is>
      </c>
      <c r="T1703" t="n">
        <v>1</v>
      </c>
      <c r="U1703" t="inlineStr"/>
      <c r="V1703">
        <f>IF(J1703="","",MONTH(J1703))</f>
        <v/>
      </c>
      <c r="W1703">
        <f>IF(J1703="","",YEAR(J1703))</f>
        <v/>
      </c>
      <c r="X1703" t="inlineStr"/>
      <c r="Y1703">
        <f>IFERROR(INDEX(Rastreio!$H$2:$H$200,MATCH(X1703&amp;"|"&amp;U1703,Rastreio!$A$2:$A$200,0)),"")</f>
        <v/>
      </c>
    </row>
    <row r="1704">
      <c r="A1704">
        <f>IFERROR(INDEX(STAs!$G$2:$G$61,MATCH(P1704,STAs!$F$2:$F$61,0))&amp;"","")</f>
        <v/>
      </c>
      <c r="B1704" t="n">
        <v>20029245</v>
      </c>
      <c r="C1704" t="inlineStr">
        <is>
          <t>Não</t>
        </is>
      </c>
      <c r="D1704" t="inlineStr">
        <is>
          <t>MG</t>
        </is>
      </c>
      <c r="E1704" t="inlineStr">
        <is>
          <t>SUDESTE MG</t>
        </is>
      </c>
      <c r="F1704" t="inlineStr">
        <is>
          <t>Cliente C - Misturador</t>
        </is>
      </c>
      <c r="G1704" t="inlineStr">
        <is>
          <t>Refrigeradores</t>
        </is>
      </c>
      <c r="H1704" s="10" t="n">
        <v>155</v>
      </c>
      <c r="I1704" s="10">
        <f>IFERROR(T1704*H1704,0)</f>
        <v/>
      </c>
      <c r="J1704" s="11" t="n">
        <v>46212</v>
      </c>
      <c r="K1704" s="11" t="n"/>
      <c r="L1704" t="inlineStr">
        <is>
          <t>Em transporte</t>
        </is>
      </c>
      <c r="M1704">
        <f>IF(L1704="","",IFERROR(VLOOKUP(L1704,mapGrupoStatus,2,0),"Outros"))</f>
        <v/>
      </c>
      <c r="N1704">
        <f>IF(O1704="","",IF(O1704&lt;=30,"0-30 dias",IF(O1704&lt;=60,"31-60 dias",IF(O1704&lt;=90,"61-90 dias","Mais de 90 dias"))))</f>
        <v/>
      </c>
      <c r="O1704">
        <f>IF(OR(M1704="Pendente",M1704="Em andamento"),IF(J1704="","",TODAY()-J1704),"")</f>
        <v/>
      </c>
      <c r="P1704" t="n">
        <v>12470</v>
      </c>
      <c r="Q1704" t="inlineStr">
        <is>
          <t>Cool Service Técnica (12470)</t>
        </is>
      </c>
      <c r="R1704" t="inlineStr">
        <is>
          <t>PC-0022</t>
        </is>
      </c>
      <c r="S1704" t="inlineStr">
        <is>
          <t>Controlador digital modelo 02</t>
        </is>
      </c>
      <c r="T1704" t="n">
        <v>2</v>
      </c>
      <c r="U1704" t="n">
        <v>141</v>
      </c>
      <c r="V1704">
        <f>IF(J1704="","",MONTH(J1704))</f>
        <v/>
      </c>
      <c r="W1704">
        <f>IF(J1704="","",YEAR(J1704))</f>
        <v/>
      </c>
      <c r="X1704" t="inlineStr">
        <is>
          <t>EntregaJá</t>
        </is>
      </c>
      <c r="Y1704">
        <f>IFERROR(INDEX(Rastreio!$H$2:$H$200,MATCH(X1704&amp;"|"&amp;U1704,Rastreio!$A$2:$A$200,0)),"")</f>
        <v/>
      </c>
    </row>
    <row r="1705">
      <c r="A1705">
        <f>IFERROR(INDEX(STAs!$G$2:$G$61,MATCH(P1705,STAs!$F$2:$F$61,0))&amp;"","")</f>
        <v/>
      </c>
      <c r="B1705" t="n">
        <v>20001416</v>
      </c>
      <c r="C1705" t="inlineStr">
        <is>
          <t>Não</t>
        </is>
      </c>
      <c r="D1705" t="inlineStr">
        <is>
          <t>PR</t>
        </is>
      </c>
      <c r="E1705" t="inlineStr">
        <is>
          <t>SUL</t>
        </is>
      </c>
      <c r="F1705" t="inlineStr">
        <is>
          <t>Cliente C - Misturador</t>
        </is>
      </c>
      <c r="G1705" t="inlineStr">
        <is>
          <t>Chopeiras</t>
        </is>
      </c>
      <c r="H1705" s="10" t="n">
        <v>85</v>
      </c>
      <c r="I1705" s="10">
        <f>IFERROR(T1705*H1705,0)</f>
        <v/>
      </c>
      <c r="J1705" s="11" t="n">
        <v>46213</v>
      </c>
      <c r="K1705" s="11" t="n">
        <v>46222</v>
      </c>
      <c r="L1705" t="inlineStr">
        <is>
          <t>Ok. Devolvida</t>
        </is>
      </c>
      <c r="M1705">
        <f>IF(L1705="","",IFERROR(VLOOKUP(L1705,mapGrupoStatus,2,0),"Outros"))</f>
        <v/>
      </c>
      <c r="N1705">
        <f>IF(O1705="","",IF(O1705&lt;=30,"0-30 dias",IF(O1705&lt;=60,"31-60 dias",IF(O1705&lt;=90,"61-90 dias","Mais de 90 dias"))))</f>
        <v/>
      </c>
      <c r="O1705">
        <f>IF(OR(M1705="Pendente",M1705="Em andamento"),IF(J1705="","",TODAY()-J1705),"")</f>
        <v/>
      </c>
      <c r="P1705" t="n">
        <v>11898</v>
      </c>
      <c r="Q1705" t="inlineStr">
        <is>
          <t>Refrigel Express (11898)</t>
        </is>
      </c>
      <c r="R1705" t="inlineStr">
        <is>
          <t>PC-0036</t>
        </is>
      </c>
      <c r="S1705" t="inlineStr">
        <is>
          <t>Válvula extratora modelo 02</t>
        </is>
      </c>
      <c r="T1705" t="n">
        <v>1</v>
      </c>
      <c r="U1705" t="n">
        <v>105</v>
      </c>
      <c r="V1705">
        <f>IF(J1705="","",MONTH(J1705))</f>
        <v/>
      </c>
      <c r="W1705">
        <f>IF(J1705="","",YEAR(J1705))</f>
        <v/>
      </c>
      <c r="X1705" t="inlineStr">
        <is>
          <t>EntregaJá</t>
        </is>
      </c>
      <c r="Y1705">
        <f>IFERROR(INDEX(Rastreio!$H$2:$H$200,MATCH(X1705&amp;"|"&amp;U1705,Rastreio!$A$2:$A$200,0)),"")</f>
        <v/>
      </c>
    </row>
    <row r="1706">
      <c r="A1706">
        <f>IFERROR(INDEX(STAs!$G$2:$G$61,MATCH(P1706,STAs!$F$2:$F$61,0))&amp;"","")</f>
        <v/>
      </c>
      <c r="B1706" t="n">
        <v>20002321</v>
      </c>
      <c r="C1706" t="inlineStr">
        <is>
          <t>Não</t>
        </is>
      </c>
      <c r="D1706" t="inlineStr">
        <is>
          <t>RS</t>
        </is>
      </c>
      <c r="E1706" t="inlineStr">
        <is>
          <t>SUL</t>
        </is>
      </c>
      <c r="F1706" t="inlineStr">
        <is>
          <t>Cliente B - Chopeira</t>
        </is>
      </c>
      <c r="G1706" t="inlineStr">
        <is>
          <t>Chopeiras</t>
        </is>
      </c>
      <c r="H1706" s="10" t="n">
        <v>115</v>
      </c>
      <c r="I1706" s="10">
        <f>IFERROR(T1706*H1706,0)</f>
        <v/>
      </c>
      <c r="J1706" s="11" t="n">
        <v>46213</v>
      </c>
      <c r="K1706" s="11" t="n">
        <v>46241</v>
      </c>
      <c r="L1706" t="inlineStr">
        <is>
          <t>Ok. Devolvida</t>
        </is>
      </c>
      <c r="M1706">
        <f>IF(L1706="","",IFERROR(VLOOKUP(L1706,mapGrupoStatus,2,0),"Outros"))</f>
        <v/>
      </c>
      <c r="N1706">
        <f>IF(O1706="","",IF(O1706&lt;=30,"0-30 dias",IF(O1706&lt;=60,"31-60 dias",IF(O1706&lt;=90,"61-90 dias","Mais de 90 dias"))))</f>
        <v/>
      </c>
      <c r="O1706">
        <f>IF(OR(M1706="Pendente",M1706="Em andamento"),IF(J1706="","",TODAY()-J1706),"")</f>
        <v/>
      </c>
      <c r="P1706" t="n">
        <v>11459</v>
      </c>
      <c r="Q1706" t="inlineStr">
        <is>
          <t>Frio ME (11459)</t>
        </is>
      </c>
      <c r="R1706" t="inlineStr">
        <is>
          <t>PC-0034</t>
        </is>
      </c>
      <c r="S1706" t="inlineStr">
        <is>
          <t>Regulador de pressão modelo 03</t>
        </is>
      </c>
      <c r="T1706" t="n">
        <v>1</v>
      </c>
      <c r="U1706" t="n">
        <v>105</v>
      </c>
      <c r="V1706">
        <f>IF(J1706="","",MONTH(J1706))</f>
        <v/>
      </c>
      <c r="W1706">
        <f>IF(J1706="","",YEAR(J1706))</f>
        <v/>
      </c>
      <c r="X1706" t="inlineStr">
        <is>
          <t>ViaCargo</t>
        </is>
      </c>
      <c r="Y1706">
        <f>IFERROR(INDEX(Rastreio!$H$2:$H$200,MATCH(X1706&amp;"|"&amp;U1706,Rastreio!$A$2:$A$200,0)),"")</f>
        <v/>
      </c>
    </row>
    <row r="1707">
      <c r="A1707">
        <f>IFERROR(INDEX(STAs!$G$2:$G$61,MATCH(P1707,STAs!$F$2:$F$61,0))&amp;"","")</f>
        <v/>
      </c>
      <c r="B1707" t="n">
        <v>20003873</v>
      </c>
      <c r="C1707" t="inlineStr">
        <is>
          <t>Não</t>
        </is>
      </c>
      <c r="D1707" t="inlineStr">
        <is>
          <t>RR</t>
        </is>
      </c>
      <c r="E1707" t="inlineStr">
        <is>
          <t>NORTE</t>
        </is>
      </c>
      <c r="F1707" t="inlineStr">
        <is>
          <t>Cliente B - Chopeira</t>
        </is>
      </c>
      <c r="G1707" t="inlineStr">
        <is>
          <t>Misturadores</t>
        </is>
      </c>
      <c r="H1707" s="10" t="n">
        <v>50</v>
      </c>
      <c r="I1707" s="10">
        <f>IFERROR(T1707*H1707,0)</f>
        <v/>
      </c>
      <c r="J1707" s="11" t="n">
        <v>46213</v>
      </c>
      <c r="K1707" s="11" t="n">
        <v>46235</v>
      </c>
      <c r="L1707" t="inlineStr">
        <is>
          <t>Ok. Devolvida</t>
        </is>
      </c>
      <c r="M1707">
        <f>IF(L1707="","",IFERROR(VLOOKUP(L1707,mapGrupoStatus,2,0),"Outros"))</f>
        <v/>
      </c>
      <c r="N1707">
        <f>IF(O1707="","",IF(O1707&lt;=30,"0-30 dias",IF(O1707&lt;=60,"31-60 dias",IF(O1707&lt;=90,"61-90 dias","Mais de 90 dias"))))</f>
        <v/>
      </c>
      <c r="O1707">
        <f>IF(OR(M1707="Pendente",M1707="Em andamento"),IF(J1707="","",TODAY()-J1707),"")</f>
        <v/>
      </c>
      <c r="P1707" t="n">
        <v>12422</v>
      </c>
      <c r="Q1707" t="inlineStr">
        <is>
          <t>Assistência Técnica Refrigeração (12422)</t>
        </is>
      </c>
      <c r="R1707" t="inlineStr">
        <is>
          <t>PC-0045</t>
        </is>
      </c>
      <c r="S1707" t="inlineStr">
        <is>
          <t>Sensor de nível modelo 01</t>
        </is>
      </c>
      <c r="T1707" t="n">
        <v>1</v>
      </c>
      <c r="U1707" t="n">
        <v>106</v>
      </c>
      <c r="V1707">
        <f>IF(J1707="","",MONTH(J1707))</f>
        <v/>
      </c>
      <c r="W1707">
        <f>IF(J1707="","",YEAR(J1707))</f>
        <v/>
      </c>
      <c r="X1707" t="inlineStr">
        <is>
          <t>CargoMax</t>
        </is>
      </c>
      <c r="Y1707">
        <f>IFERROR(INDEX(Rastreio!$H$2:$H$200,MATCH(X1707&amp;"|"&amp;U1707,Rastreio!$A$2:$A$200,0)),"")</f>
        <v/>
      </c>
    </row>
    <row r="1708">
      <c r="A1708">
        <f>IFERROR(INDEX(STAs!$G$2:$G$61,MATCH(P1708,STAs!$F$2:$F$61,0))&amp;"","")</f>
        <v/>
      </c>
      <c r="B1708" t="n">
        <v>20013561</v>
      </c>
      <c r="C1708" t="inlineStr">
        <is>
          <t>Não</t>
        </is>
      </c>
      <c r="D1708" t="inlineStr">
        <is>
          <t>SP</t>
        </is>
      </c>
      <c r="E1708" t="inlineStr">
        <is>
          <t>SUDESTE SP</t>
        </is>
      </c>
      <c r="F1708" t="inlineStr">
        <is>
          <t>Cliente C - Misturador</t>
        </is>
      </c>
      <c r="G1708" t="inlineStr">
        <is>
          <t>Refrigeradores</t>
        </is>
      </c>
      <c r="H1708" s="10" t="n">
        <v>190</v>
      </c>
      <c r="I1708" s="10">
        <f>IFERROR(T1708*H1708,0)</f>
        <v/>
      </c>
      <c r="J1708" s="11" t="n">
        <v>46213</v>
      </c>
      <c r="K1708" s="11" t="n"/>
      <c r="L1708" t="inlineStr">
        <is>
          <t>Em andamento</t>
        </is>
      </c>
      <c r="M1708">
        <f>IF(L1708="","",IFERROR(VLOOKUP(L1708,mapGrupoStatus,2,0),"Outros"))</f>
        <v/>
      </c>
      <c r="N1708">
        <f>IF(O1708="","",IF(O1708&lt;=30,"0-30 dias",IF(O1708&lt;=60,"31-60 dias",IF(O1708&lt;=90,"61-90 dias","Mais de 90 dias"))))</f>
        <v/>
      </c>
      <c r="O1708">
        <f>IF(OR(M1708="Pendente",M1708="Em andamento"),IF(J1708="","",TODAY()-J1708),"")</f>
        <v/>
      </c>
      <c r="P1708" t="n">
        <v>10538</v>
      </c>
      <c r="Q1708" t="inlineStr">
        <is>
          <t>Frio Refrigeração (10538)</t>
        </is>
      </c>
      <c r="R1708" t="inlineStr">
        <is>
          <t>PC-0011</t>
        </is>
      </c>
      <c r="S1708" t="inlineStr">
        <is>
          <t>Placa eletrônica modelo 01</t>
        </is>
      </c>
      <c r="T1708" t="n">
        <v>1</v>
      </c>
      <c r="U1708" t="n">
        <v>124</v>
      </c>
      <c r="V1708">
        <f>IF(J1708="","",MONTH(J1708))</f>
        <v/>
      </c>
      <c r="W1708">
        <f>IF(J1708="","",YEAR(J1708))</f>
        <v/>
      </c>
      <c r="X1708" t="inlineStr">
        <is>
          <t>EntregaJá</t>
        </is>
      </c>
      <c r="Y1708">
        <f>IFERROR(INDEX(Rastreio!$H$2:$H$200,MATCH(X1708&amp;"|"&amp;U1708,Rastreio!$A$2:$A$200,0)),"")</f>
        <v/>
      </c>
    </row>
    <row r="1709">
      <c r="A1709">
        <f>IFERROR(INDEX(STAs!$G$2:$G$61,MATCH(P1709,STAs!$F$2:$F$61,0))&amp;"","")</f>
        <v/>
      </c>
      <c r="B1709" t="n">
        <v>20015343</v>
      </c>
      <c r="C1709" t="inlineStr">
        <is>
          <t>Não</t>
        </is>
      </c>
      <c r="D1709" t="inlineStr">
        <is>
          <t>AC</t>
        </is>
      </c>
      <c r="E1709" t="inlineStr">
        <is>
          <t>NORTE</t>
        </is>
      </c>
      <c r="F1709" t="inlineStr">
        <is>
          <t>Cliente C - Misturador</t>
        </is>
      </c>
      <c r="G1709" t="inlineStr">
        <is>
          <t>Refrigeradores</t>
        </is>
      </c>
      <c r="H1709" s="10" t="n">
        <v>55</v>
      </c>
      <c r="I1709" s="10">
        <f>IFERROR(T1709*H1709,0)</f>
        <v/>
      </c>
      <c r="J1709" s="11" t="n">
        <v>46213</v>
      </c>
      <c r="K1709" s="11" t="n">
        <v>46270</v>
      </c>
      <c r="L1709" t="inlineStr">
        <is>
          <t>Ok. Devolvida</t>
        </is>
      </c>
      <c r="M1709">
        <f>IF(L1709="","",IFERROR(VLOOKUP(L1709,mapGrupoStatus,2,0),"Outros"))</f>
        <v/>
      </c>
      <c r="N1709">
        <f>IF(O1709="","",IF(O1709&lt;=30,"0-30 dias",IF(O1709&lt;=60,"31-60 dias",IF(O1709&lt;=90,"61-90 dias","Mais de 90 dias"))))</f>
        <v/>
      </c>
      <c r="O1709">
        <f>IF(OR(M1709="Pendente",M1709="Em andamento"),IF(J1709="","",TODAY()-J1709),"")</f>
        <v/>
      </c>
      <c r="P1709" t="n">
        <v>11022</v>
      </c>
      <c r="Q1709" t="inlineStr">
        <is>
          <t>Brisa Ltda (11022)</t>
        </is>
      </c>
      <c r="R1709" t="inlineStr">
        <is>
          <t>PC-0007</t>
        </is>
      </c>
      <c r="S1709" t="inlineStr">
        <is>
          <t>Ventilador modelo 01</t>
        </is>
      </c>
      <c r="T1709" t="n">
        <v>1</v>
      </c>
      <c r="U1709" t="n">
        <v>127</v>
      </c>
      <c r="V1709">
        <f>IF(J1709="","",MONTH(J1709))</f>
        <v/>
      </c>
      <c r="W1709">
        <f>IF(J1709="","",YEAR(J1709))</f>
        <v/>
      </c>
      <c r="X1709" t="inlineStr">
        <is>
          <t>LogExpress</t>
        </is>
      </c>
      <c r="Y1709">
        <f>IFERROR(INDEX(Rastreio!$H$2:$H$200,MATCH(X1709&amp;"|"&amp;U1709,Rastreio!$A$2:$A$200,0)),"")</f>
        <v/>
      </c>
    </row>
    <row r="1710">
      <c r="A1710">
        <f>IFERROR(INDEX(STAs!$G$2:$G$61,MATCH(P1710,STAs!$F$2:$F$61,0))&amp;"","")</f>
        <v/>
      </c>
      <c r="B1710" t="n">
        <v>20020790</v>
      </c>
      <c r="C1710" t="inlineStr">
        <is>
          <t>Não</t>
        </is>
      </c>
      <c r="D1710" t="inlineStr">
        <is>
          <t>RS</t>
        </is>
      </c>
      <c r="E1710" t="inlineStr">
        <is>
          <t>SUL</t>
        </is>
      </c>
      <c r="F1710" t="inlineStr">
        <is>
          <t>Cliente A - Refrigerador</t>
        </is>
      </c>
      <c r="G1710" t="inlineStr">
        <is>
          <t>Refrigeradores</t>
        </is>
      </c>
      <c r="H1710" s="10" t="n">
        <v>40</v>
      </c>
      <c r="I1710" s="10">
        <f>IFERROR(T1710*H1710,0)</f>
        <v/>
      </c>
      <c r="J1710" s="11" t="n">
        <v>46213</v>
      </c>
      <c r="K1710" s="11" t="n"/>
      <c r="L1710" t="inlineStr">
        <is>
          <t>Em transporte</t>
        </is>
      </c>
      <c r="M1710">
        <f>IF(L1710="","",IFERROR(VLOOKUP(L1710,mapGrupoStatus,2,0),"Outros"))</f>
        <v/>
      </c>
      <c r="N1710">
        <f>IF(O1710="","",IF(O1710&lt;=30,"0-30 dias",IF(O1710&lt;=60,"31-60 dias",IF(O1710&lt;=90,"61-90 dias","Mais de 90 dias"))))</f>
        <v/>
      </c>
      <c r="O1710">
        <f>IF(OR(M1710="Pendente",M1710="Em andamento"),IF(J1710="","",TODAY()-J1710),"")</f>
        <v/>
      </c>
      <c r="P1710" t="n">
        <v>11459</v>
      </c>
      <c r="Q1710" t="inlineStr">
        <is>
          <t>Frio ME (11459)</t>
        </is>
      </c>
      <c r="R1710" t="inlineStr">
        <is>
          <t>PC-0004</t>
        </is>
      </c>
      <c r="S1710" t="inlineStr">
        <is>
          <t>Termostato modelo 01</t>
        </is>
      </c>
      <c r="T1710" t="n">
        <v>1</v>
      </c>
      <c r="U1710" t="n">
        <v>136</v>
      </c>
      <c r="V1710">
        <f>IF(J1710="","",MONTH(J1710))</f>
        <v/>
      </c>
      <c r="W1710">
        <f>IF(J1710="","",YEAR(J1710))</f>
        <v/>
      </c>
      <c r="X1710" t="inlineStr">
        <is>
          <t>LogExpress</t>
        </is>
      </c>
      <c r="Y1710">
        <f>IFERROR(INDEX(Rastreio!$H$2:$H$200,MATCH(X1710&amp;"|"&amp;U1710,Rastreio!$A$2:$A$200,0)),"")</f>
        <v/>
      </c>
    </row>
    <row r="1711">
      <c r="A1711">
        <f>IFERROR(INDEX(STAs!$G$2:$G$61,MATCH(P1711,STAs!$F$2:$F$61,0))&amp;"","")</f>
        <v/>
      </c>
      <c r="B1711" t="n">
        <v>20028237</v>
      </c>
      <c r="C1711" t="inlineStr">
        <is>
          <t>Não</t>
        </is>
      </c>
      <c r="D1711" t="inlineStr">
        <is>
          <t>PB</t>
        </is>
      </c>
      <c r="E1711" t="inlineStr">
        <is>
          <t>NORDESTE</t>
        </is>
      </c>
      <c r="F1711" t="inlineStr">
        <is>
          <t>Cliente C - Misturador</t>
        </is>
      </c>
      <c r="G1711" t="inlineStr">
        <is>
          <t>Refrigeradores</t>
        </is>
      </c>
      <c r="H1711" s="10" t="n">
        <v>35</v>
      </c>
      <c r="I1711" s="10">
        <f>IFERROR(T1711*H1711,0)</f>
        <v/>
      </c>
      <c r="J1711" s="11" t="n">
        <v>46213</v>
      </c>
      <c r="K1711" s="11" t="n">
        <v>46243</v>
      </c>
      <c r="L1711" t="inlineStr">
        <is>
          <t>Ok. Devolvida</t>
        </is>
      </c>
      <c r="M1711">
        <f>IF(L1711="","",IFERROR(VLOOKUP(L1711,mapGrupoStatus,2,0),"Outros"))</f>
        <v/>
      </c>
      <c r="N1711">
        <f>IF(O1711="","",IF(O1711&lt;=30,"0-30 dias",IF(O1711&lt;=60,"31-60 dias",IF(O1711&lt;=90,"61-90 dias","Mais de 90 dias"))))</f>
        <v/>
      </c>
      <c r="O1711">
        <f>IF(OR(M1711="Pendente",M1711="Em andamento"),IF(J1711="","",TODAY()-J1711),"")</f>
        <v/>
      </c>
      <c r="P1711" t="n">
        <v>11741</v>
      </c>
      <c r="Q1711" t="inlineStr">
        <is>
          <t>Clima Refrigeração (11741)</t>
        </is>
      </c>
      <c r="R1711" t="inlineStr">
        <is>
          <t>PC-0016</t>
        </is>
      </c>
      <c r="S1711" t="inlineStr">
        <is>
          <t>Filtro secador modelo 02</t>
        </is>
      </c>
      <c r="T1711" t="n">
        <v>2</v>
      </c>
      <c r="U1711" t="n">
        <v>149</v>
      </c>
      <c r="V1711">
        <f>IF(J1711="","",MONTH(J1711))</f>
        <v/>
      </c>
      <c r="W1711">
        <f>IF(J1711="","",YEAR(J1711))</f>
        <v/>
      </c>
      <c r="X1711" t="inlineStr">
        <is>
          <t>CargoMax</t>
        </is>
      </c>
      <c r="Y1711">
        <f>IFERROR(INDEX(Rastreio!$H$2:$H$200,MATCH(X1711&amp;"|"&amp;U1711,Rastreio!$A$2:$A$200,0)),"")</f>
        <v/>
      </c>
    </row>
    <row r="1712">
      <c r="A1712">
        <f>IFERROR(INDEX(STAs!$G$2:$G$61,MATCH(P1712,STAs!$F$2:$F$61,0))&amp;"","")</f>
        <v/>
      </c>
      <c r="B1712" t="n">
        <v>20028610</v>
      </c>
      <c r="C1712" t="inlineStr">
        <is>
          <t>Não</t>
        </is>
      </c>
      <c r="D1712" t="inlineStr">
        <is>
          <t>MS</t>
        </is>
      </c>
      <c r="E1712" t="inlineStr">
        <is>
          <t>CENTRO OESTE</t>
        </is>
      </c>
      <c r="F1712" t="inlineStr">
        <is>
          <t>Cliente A - Refrigerador</t>
        </is>
      </c>
      <c r="G1712" t="inlineStr">
        <is>
          <t>Refrigeradores</t>
        </is>
      </c>
      <c r="H1712" s="10" t="n">
        <v>40</v>
      </c>
      <c r="I1712" s="10">
        <f>IFERROR(T1712*H1712,0)</f>
        <v/>
      </c>
      <c r="J1712" s="11" t="n">
        <v>46213</v>
      </c>
      <c r="K1712" s="11" t="n">
        <v>46219</v>
      </c>
      <c r="L1712" t="inlineStr">
        <is>
          <t>Ok. Devolvida</t>
        </is>
      </c>
      <c r="M1712">
        <f>IF(L1712="","",IFERROR(VLOOKUP(L1712,mapGrupoStatus,2,0),"Outros"))</f>
        <v/>
      </c>
      <c r="N1712">
        <f>IF(O1712="","",IF(O1712&lt;=30,"0-30 dias",IF(O1712&lt;=60,"31-60 dias",IF(O1712&lt;=90,"61-90 dias","Mais de 90 dias"))))</f>
        <v/>
      </c>
      <c r="O1712">
        <f>IF(OR(M1712="Pendente",M1712="Em andamento"),IF(J1712="","",TODAY()-J1712),"")</f>
        <v/>
      </c>
      <c r="P1712" t="n">
        <v>10302</v>
      </c>
      <c r="Q1712" t="inlineStr">
        <is>
          <t>Ice Tech Express (10302)</t>
        </is>
      </c>
      <c r="R1712" t="inlineStr">
        <is>
          <t>PC-0004</t>
        </is>
      </c>
      <c r="S1712" t="inlineStr">
        <is>
          <t>Termostato modelo 01</t>
        </is>
      </c>
      <c r="T1712" t="n">
        <v>1</v>
      </c>
      <c r="U1712" t="n">
        <v>149</v>
      </c>
      <c r="V1712">
        <f>IF(J1712="","",MONTH(J1712))</f>
        <v/>
      </c>
      <c r="W1712">
        <f>IF(J1712="","",YEAR(J1712))</f>
        <v/>
      </c>
      <c r="X1712" t="inlineStr">
        <is>
          <t>RotaSul</t>
        </is>
      </c>
      <c r="Y1712">
        <f>IFERROR(INDEX(Rastreio!$H$2:$H$200,MATCH(X1712&amp;"|"&amp;U1712,Rastreio!$A$2:$A$200,0)),"")</f>
        <v/>
      </c>
    </row>
    <row r="1713">
      <c r="A1713">
        <f>IFERROR(INDEX(STAs!$G$2:$G$61,MATCH(P1713,STAs!$F$2:$F$61,0))&amp;"","")</f>
        <v/>
      </c>
      <c r="B1713" t="n">
        <v>20032610</v>
      </c>
      <c r="C1713" t="inlineStr">
        <is>
          <t>Não</t>
        </is>
      </c>
      <c r="D1713" t="inlineStr">
        <is>
          <t>RJ</t>
        </is>
      </c>
      <c r="E1713" t="inlineStr">
        <is>
          <t>SUDESTE RJ e ES</t>
        </is>
      </c>
      <c r="F1713" t="inlineStr">
        <is>
          <t>Cliente B - Chopeira</t>
        </is>
      </c>
      <c r="G1713" t="inlineStr">
        <is>
          <t>Refrigeradores</t>
        </is>
      </c>
      <c r="H1713" s="10" t="n">
        <v>190</v>
      </c>
      <c r="I1713" s="10">
        <f>IFERROR(T1713*H1713,0)</f>
        <v/>
      </c>
      <c r="J1713" s="11" t="n">
        <v>46213</v>
      </c>
      <c r="K1713" s="11" t="n"/>
      <c r="L1713" t="inlineStr">
        <is>
          <t>Em andamento</t>
        </is>
      </c>
      <c r="M1713">
        <f>IF(L1713="","",IFERROR(VLOOKUP(L1713,mapGrupoStatus,2,0),"Outros"))</f>
        <v/>
      </c>
      <c r="N1713">
        <f>IF(O1713="","",IF(O1713&lt;=30,"0-30 dias",IF(O1713&lt;=60,"31-60 dias",IF(O1713&lt;=90,"61-90 dias","Mais de 90 dias"))))</f>
        <v/>
      </c>
      <c r="O1713">
        <f>IF(OR(M1713="Pendente",M1713="Em andamento"),IF(J1713="","",TODAY()-J1713),"")</f>
        <v/>
      </c>
      <c r="P1713" t="n">
        <v>12336</v>
      </c>
      <c r="Q1713" t="inlineStr">
        <is>
          <t>Termotec ME (12336)</t>
        </is>
      </c>
      <c r="R1713" t="inlineStr">
        <is>
          <t>PC-0011</t>
        </is>
      </c>
      <c r="S1713" t="inlineStr">
        <is>
          <t>Placa eletrônica modelo 01</t>
        </is>
      </c>
      <c r="T1713" t="n">
        <v>1</v>
      </c>
      <c r="U1713" t="n">
        <v>151</v>
      </c>
      <c r="V1713">
        <f>IF(J1713="","",MONTH(J1713))</f>
        <v/>
      </c>
      <c r="W1713">
        <f>IF(J1713="","",YEAR(J1713))</f>
        <v/>
      </c>
      <c r="X1713" t="inlineStr">
        <is>
          <t>ViaCargo</t>
        </is>
      </c>
      <c r="Y1713">
        <f>IFERROR(INDEX(Rastreio!$H$2:$H$200,MATCH(X1713&amp;"|"&amp;U1713,Rastreio!$A$2:$A$200,0)),"")</f>
        <v/>
      </c>
    </row>
    <row r="1714">
      <c r="A1714">
        <f>IFERROR(INDEX(STAs!$G$2:$G$61,MATCH(P1714,STAs!$F$2:$F$61,0))&amp;"","")</f>
        <v/>
      </c>
      <c r="B1714" t="n">
        <v>20035097</v>
      </c>
      <c r="C1714" t="inlineStr">
        <is>
          <t>Não</t>
        </is>
      </c>
      <c r="D1714" t="inlineStr">
        <is>
          <t>RJ</t>
        </is>
      </c>
      <c r="E1714" t="inlineStr">
        <is>
          <t>SUDESTE RJ e ES</t>
        </is>
      </c>
      <c r="F1714" t="inlineStr">
        <is>
          <t>Cliente C - Misturador</t>
        </is>
      </c>
      <c r="G1714" t="inlineStr">
        <is>
          <t>Chopeiras</t>
        </is>
      </c>
      <c r="H1714" s="10" t="n">
        <v>85</v>
      </c>
      <c r="I1714" s="10">
        <f>IFERROR(T1714*H1714,0)</f>
        <v/>
      </c>
      <c r="J1714" s="11" t="n">
        <v>46213</v>
      </c>
      <c r="K1714" s="11" t="n">
        <v>46249</v>
      </c>
      <c r="L1714" t="inlineStr">
        <is>
          <t>Ok. Devolvida</t>
        </is>
      </c>
      <c r="M1714">
        <f>IF(L1714="","",IFERROR(VLOOKUP(L1714,mapGrupoStatus,2,0),"Outros"))</f>
        <v/>
      </c>
      <c r="N1714">
        <f>IF(O1714="","",IF(O1714&lt;=30,"0-30 dias",IF(O1714&lt;=60,"31-60 dias",IF(O1714&lt;=90,"61-90 dias","Mais de 90 dias"))))</f>
        <v/>
      </c>
      <c r="O1714">
        <f>IF(OR(M1714="Pendente",M1714="Em andamento"),IF(J1714="","",TODAY()-J1714),"")</f>
        <v/>
      </c>
      <c r="P1714" t="n">
        <v>11059</v>
      </c>
      <c r="Q1714" t="inlineStr">
        <is>
          <t>Frio Ltda (11059)</t>
        </is>
      </c>
      <c r="R1714" t="inlineStr">
        <is>
          <t>PC-0036</t>
        </is>
      </c>
      <c r="S1714" t="inlineStr">
        <is>
          <t>Válvula extratora modelo 02</t>
        </is>
      </c>
      <c r="T1714" t="n">
        <v>1</v>
      </c>
      <c r="U1714" t="n">
        <v>155</v>
      </c>
      <c r="V1714">
        <f>IF(J1714="","",MONTH(J1714))</f>
        <v/>
      </c>
      <c r="W1714">
        <f>IF(J1714="","",YEAR(J1714))</f>
        <v/>
      </c>
      <c r="X1714" t="inlineStr">
        <is>
          <t>ViaCargo</t>
        </is>
      </c>
      <c r="Y1714">
        <f>IFERROR(INDEX(Rastreio!$H$2:$H$200,MATCH(X1714&amp;"|"&amp;U1714,Rastreio!$A$2:$A$200,0)),"")</f>
        <v/>
      </c>
    </row>
    <row r="1715">
      <c r="A1715">
        <f>IFERROR(INDEX(STAs!$G$2:$G$61,MATCH(P1715,STAs!$F$2:$F$61,0))&amp;"","")</f>
        <v/>
      </c>
      <c r="B1715" t="n">
        <v>20009034</v>
      </c>
      <c r="C1715" t="inlineStr">
        <is>
          <t>Não</t>
        </is>
      </c>
      <c r="D1715" t="inlineStr">
        <is>
          <t>GO</t>
        </is>
      </c>
      <c r="E1715" t="inlineStr">
        <is>
          <t>CENTRO OESTE</t>
        </is>
      </c>
      <c r="F1715" t="inlineStr">
        <is>
          <t>Cliente B - Chopeira</t>
        </is>
      </c>
      <c r="G1715" t="inlineStr">
        <is>
          <t>Refrigeradores</t>
        </is>
      </c>
      <c r="H1715" s="10" t="n">
        <v>65</v>
      </c>
      <c r="I1715" s="10">
        <f>IFERROR(T1715*H1715,0)</f>
        <v/>
      </c>
      <c r="J1715" s="11" t="n">
        <v>46214</v>
      </c>
      <c r="K1715" s="11" t="n">
        <v>46260</v>
      </c>
      <c r="L1715" t="inlineStr">
        <is>
          <t>Ok. Devolvida</t>
        </is>
      </c>
      <c r="M1715">
        <f>IF(L1715="","",IFERROR(VLOOKUP(L1715,mapGrupoStatus,2,0),"Outros"))</f>
        <v/>
      </c>
      <c r="N1715">
        <f>IF(O1715="","",IF(O1715&lt;=30,"0-30 dias",IF(O1715&lt;=60,"31-60 dias",IF(O1715&lt;=90,"61-90 dias","Mais de 90 dias"))))</f>
        <v/>
      </c>
      <c r="O1715">
        <f>IF(OR(M1715="Pendente",M1715="Em andamento"),IF(J1715="","",TODAY()-J1715),"")</f>
        <v/>
      </c>
      <c r="P1715" t="n">
        <v>11293</v>
      </c>
      <c r="Q1715" t="inlineStr">
        <is>
          <t>Assistência Técnica Ltda (11293)</t>
        </is>
      </c>
      <c r="R1715" t="inlineStr">
        <is>
          <t>PC-0010</t>
        </is>
      </c>
      <c r="S1715" t="inlineStr">
        <is>
          <t>Ventilador modelo 04</t>
        </is>
      </c>
      <c r="T1715" t="n">
        <v>2</v>
      </c>
      <c r="U1715" t="n">
        <v>114</v>
      </c>
      <c r="V1715">
        <f>IF(J1715="","",MONTH(J1715))</f>
        <v/>
      </c>
      <c r="W1715">
        <f>IF(J1715="","",YEAR(J1715))</f>
        <v/>
      </c>
      <c r="X1715" t="inlineStr">
        <is>
          <t>TransNorte</t>
        </is>
      </c>
      <c r="Y1715">
        <f>IFERROR(INDEX(Rastreio!$H$2:$H$200,MATCH(X1715&amp;"|"&amp;U1715,Rastreio!$A$2:$A$200,0)),"")</f>
        <v/>
      </c>
    </row>
    <row r="1716">
      <c r="A1716">
        <f>IFERROR(INDEX(STAs!$G$2:$G$61,MATCH(P1716,STAs!$F$2:$F$61,0))&amp;"","")</f>
        <v/>
      </c>
      <c r="B1716" t="n">
        <v>20013646</v>
      </c>
      <c r="C1716" t="inlineStr">
        <is>
          <t>Sim</t>
        </is>
      </c>
      <c r="D1716" t="inlineStr">
        <is>
          <t>GO</t>
        </is>
      </c>
      <c r="E1716" t="inlineStr">
        <is>
          <t>CENTRO OESTE</t>
        </is>
      </c>
      <c r="F1716" t="inlineStr">
        <is>
          <t>Cliente C - Misturador</t>
        </is>
      </c>
      <c r="G1716" t="inlineStr">
        <is>
          <t>Refrigeradores</t>
        </is>
      </c>
      <c r="H1716" s="10" t="n">
        <v>190</v>
      </c>
      <c r="I1716" s="10">
        <f>IFERROR(T1716*H1716,0)</f>
        <v/>
      </c>
      <c r="J1716" s="11" t="n">
        <v>46214</v>
      </c>
      <c r="K1716" s="11" t="n">
        <v>46255</v>
      </c>
      <c r="L1716" t="inlineStr">
        <is>
          <t>Ok. Devolvida</t>
        </is>
      </c>
      <c r="M1716">
        <f>IF(L1716="","",IFERROR(VLOOKUP(L1716,mapGrupoStatus,2,0),"Outros"))</f>
        <v/>
      </c>
      <c r="N1716">
        <f>IF(O1716="","",IF(O1716&lt;=30,"0-30 dias",IF(O1716&lt;=60,"31-60 dias",IF(O1716&lt;=90,"61-90 dias","Mais de 90 dias"))))</f>
        <v/>
      </c>
      <c r="O1716">
        <f>IF(OR(M1716="Pendente",M1716="Em andamento"),IF(J1716="","",TODAY()-J1716),"")</f>
        <v/>
      </c>
      <c r="P1716" t="n">
        <v>11677</v>
      </c>
      <c r="Q1716" t="inlineStr">
        <is>
          <t>Cool Service Manutenção (11677)</t>
        </is>
      </c>
      <c r="R1716" t="inlineStr">
        <is>
          <t>PC-0014</t>
        </is>
      </c>
      <c r="S1716" t="inlineStr">
        <is>
          <t>Placa eletrônica modelo 04</t>
        </is>
      </c>
      <c r="T1716" t="n">
        <v>3</v>
      </c>
      <c r="U1716" t="n">
        <v>124</v>
      </c>
      <c r="V1716">
        <f>IF(J1716="","",MONTH(J1716))</f>
        <v/>
      </c>
      <c r="W1716">
        <f>IF(J1716="","",YEAR(J1716))</f>
        <v/>
      </c>
      <c r="X1716" t="inlineStr">
        <is>
          <t>EntregaJá</t>
        </is>
      </c>
      <c r="Y1716">
        <f>IFERROR(INDEX(Rastreio!$H$2:$H$200,MATCH(X1716&amp;"|"&amp;U1716,Rastreio!$A$2:$A$200,0)),"")</f>
        <v/>
      </c>
    </row>
    <row r="1717">
      <c r="A1717">
        <f>IFERROR(INDEX(STAs!$G$2:$G$61,MATCH(P1717,STAs!$F$2:$F$61,0))&amp;"","")</f>
        <v/>
      </c>
      <c r="B1717" t="n">
        <v>20003040</v>
      </c>
      <c r="C1717" t="inlineStr">
        <is>
          <t>Não</t>
        </is>
      </c>
      <c r="D1717" t="inlineStr">
        <is>
          <t>SP</t>
        </is>
      </c>
      <c r="E1717" t="inlineStr">
        <is>
          <t>SUDESTE SP</t>
        </is>
      </c>
      <c r="F1717" t="inlineStr">
        <is>
          <t>Cliente B - Chopeira</t>
        </is>
      </c>
      <c r="G1717" t="inlineStr">
        <is>
          <t>Misturadores</t>
        </is>
      </c>
      <c r="H1717" s="10" t="n">
        <v>50</v>
      </c>
      <c r="I1717" s="10">
        <f>IFERROR(T1717*H1717,0)</f>
        <v/>
      </c>
      <c r="J1717" s="11" t="n">
        <v>46215</v>
      </c>
      <c r="K1717" s="11" t="n"/>
      <c r="L1717" t="inlineStr">
        <is>
          <t>NPD</t>
        </is>
      </c>
      <c r="M1717">
        <f>IF(L1717="","",IFERROR(VLOOKUP(L1717,mapGrupoStatus,2,0),"Outros"))</f>
        <v/>
      </c>
      <c r="N1717">
        <f>IF(O1717="","",IF(O1717&lt;=30,"0-30 dias",IF(O1717&lt;=60,"31-60 dias",IF(O1717&lt;=90,"61-90 dias","Mais de 90 dias"))))</f>
        <v/>
      </c>
      <c r="O1717">
        <f>IF(OR(M1717="Pendente",M1717="Em andamento"),IF(J1717="","",TODAY()-J1717),"")</f>
        <v/>
      </c>
      <c r="P1717" t="n">
        <v>10111</v>
      </c>
      <c r="Q1717" t="inlineStr">
        <is>
          <t>Refrigel Manutenção (10111)</t>
        </is>
      </c>
      <c r="R1717" t="inlineStr">
        <is>
          <t>PC-0047</t>
        </is>
      </c>
      <c r="S1717" t="inlineStr">
        <is>
          <t>Sensor de nível modelo 03</t>
        </is>
      </c>
      <c r="T1717" t="n">
        <v>1</v>
      </c>
      <c r="U1717" t="inlineStr"/>
      <c r="V1717">
        <f>IF(J1717="","",MONTH(J1717))</f>
        <v/>
      </c>
      <c r="W1717">
        <f>IF(J1717="","",YEAR(J1717))</f>
        <v/>
      </c>
      <c r="X1717" t="inlineStr"/>
      <c r="Y1717">
        <f>IFERROR(INDEX(Rastreio!$H$2:$H$200,MATCH(X1717&amp;"|"&amp;U1717,Rastreio!$A$2:$A$200,0)),"")</f>
        <v/>
      </c>
    </row>
    <row r="1718">
      <c r="A1718">
        <f>IFERROR(INDEX(STAs!$G$2:$G$61,MATCH(P1718,STAs!$F$2:$F$61,0))&amp;"","")</f>
        <v/>
      </c>
      <c r="B1718" t="n">
        <v>20004246</v>
      </c>
      <c r="C1718" t="inlineStr">
        <is>
          <t>Não</t>
        </is>
      </c>
      <c r="D1718" t="inlineStr">
        <is>
          <t>SP</t>
        </is>
      </c>
      <c r="E1718" t="inlineStr">
        <is>
          <t>SUDESTE SP</t>
        </is>
      </c>
      <c r="F1718" t="inlineStr">
        <is>
          <t>Cliente C - Misturador</t>
        </is>
      </c>
      <c r="G1718" t="inlineStr">
        <is>
          <t>Refrigeradores</t>
        </is>
      </c>
      <c r="H1718" s="10" t="n">
        <v>45</v>
      </c>
      <c r="I1718" s="10">
        <f>IFERROR(T1718*H1718,0)</f>
        <v/>
      </c>
      <c r="J1718" s="11" t="n">
        <v>46215</v>
      </c>
      <c r="K1718" s="11" t="n">
        <v>46228</v>
      </c>
      <c r="L1718" t="inlineStr">
        <is>
          <t>Ok. Devolvida</t>
        </is>
      </c>
      <c r="M1718">
        <f>IF(L1718="","",IFERROR(VLOOKUP(L1718,mapGrupoStatus,2,0),"Outros"))</f>
        <v/>
      </c>
      <c r="N1718">
        <f>IF(O1718="","",IF(O1718&lt;=30,"0-30 dias",IF(O1718&lt;=60,"31-60 dias",IF(O1718&lt;=90,"61-90 dias","Mais de 90 dias"))))</f>
        <v/>
      </c>
      <c r="O1718">
        <f>IF(OR(M1718="Pendente",M1718="Em andamento"),IF(J1718="","",TODAY()-J1718),"")</f>
        <v/>
      </c>
      <c r="P1718" t="n">
        <v>12901</v>
      </c>
      <c r="Q1718" t="inlineStr">
        <is>
          <t>Frio Serviços (12901)</t>
        </is>
      </c>
      <c r="R1718" t="inlineStr">
        <is>
          <t>PC-0019</t>
        </is>
      </c>
      <c r="S1718" t="inlineStr">
        <is>
          <t>Gaxeta da porta modelo 02</t>
        </is>
      </c>
      <c r="T1718" t="n">
        <v>3</v>
      </c>
      <c r="U1718" t="n">
        <v>110</v>
      </c>
      <c r="V1718">
        <f>IF(J1718="","",MONTH(J1718))</f>
        <v/>
      </c>
      <c r="W1718">
        <f>IF(J1718="","",YEAR(J1718))</f>
        <v/>
      </c>
      <c r="X1718" t="inlineStr">
        <is>
          <t>RotaSul</t>
        </is>
      </c>
      <c r="Y1718">
        <f>IFERROR(INDEX(Rastreio!$H$2:$H$200,MATCH(X1718&amp;"|"&amp;U1718,Rastreio!$A$2:$A$200,0)),"")</f>
        <v/>
      </c>
    </row>
    <row r="1719">
      <c r="A1719">
        <f>IFERROR(INDEX(STAs!$G$2:$G$61,MATCH(P1719,STAs!$F$2:$F$61,0))&amp;"","")</f>
        <v/>
      </c>
      <c r="B1719" t="n">
        <v>20005246</v>
      </c>
      <c r="C1719" t="inlineStr">
        <is>
          <t>Não</t>
        </is>
      </c>
      <c r="D1719" t="inlineStr">
        <is>
          <t>MT</t>
        </is>
      </c>
      <c r="E1719" t="inlineStr">
        <is>
          <t>CENTRO OESTE</t>
        </is>
      </c>
      <c r="F1719" t="inlineStr">
        <is>
          <t>Cliente B - Chopeira</t>
        </is>
      </c>
      <c r="G1719" t="inlineStr">
        <is>
          <t>Refrigeradores</t>
        </is>
      </c>
      <c r="H1719" s="10" t="n">
        <v>155</v>
      </c>
      <c r="I1719" s="10">
        <f>IFERROR(T1719*H1719,0)</f>
        <v/>
      </c>
      <c r="J1719" s="11" t="n">
        <v>46215</v>
      </c>
      <c r="K1719" s="11" t="n"/>
      <c r="L1719" t="inlineStr">
        <is>
          <t>Debitar do STA</t>
        </is>
      </c>
      <c r="M1719">
        <f>IF(L1719="","",IFERROR(VLOOKUP(L1719,mapGrupoStatus,2,0),"Outros"))</f>
        <v/>
      </c>
      <c r="N1719">
        <f>IF(O1719="","",IF(O1719&lt;=30,"0-30 dias",IF(O1719&lt;=60,"31-60 dias",IF(O1719&lt;=90,"61-90 dias","Mais de 90 dias"))))</f>
        <v/>
      </c>
      <c r="O1719">
        <f>IF(OR(M1719="Pendente",M1719="Em andamento"),IF(J1719="","",TODAY()-J1719),"")</f>
        <v/>
      </c>
      <c r="P1719" t="n">
        <v>10227</v>
      </c>
      <c r="Q1719" t="inlineStr">
        <is>
          <t>Assistência Técnica ME (10227)</t>
        </is>
      </c>
      <c r="R1719" t="inlineStr">
        <is>
          <t>PC-0022</t>
        </is>
      </c>
      <c r="S1719" t="inlineStr">
        <is>
          <t>Controlador digital modelo 02</t>
        </is>
      </c>
      <c r="T1719" t="n">
        <v>3</v>
      </c>
      <c r="U1719" t="inlineStr"/>
      <c r="V1719">
        <f>IF(J1719="","",MONTH(J1719))</f>
        <v/>
      </c>
      <c r="W1719">
        <f>IF(J1719="","",YEAR(J1719))</f>
        <v/>
      </c>
      <c r="X1719" t="inlineStr"/>
      <c r="Y1719">
        <f>IFERROR(INDEX(Rastreio!$H$2:$H$200,MATCH(X1719&amp;"|"&amp;U1719,Rastreio!$A$2:$A$200,0)),"")</f>
        <v/>
      </c>
    </row>
    <row r="1720">
      <c r="A1720">
        <f>IFERROR(INDEX(STAs!$G$2:$G$61,MATCH(P1720,STAs!$F$2:$F$61,0))&amp;"","")</f>
        <v/>
      </c>
      <c r="B1720" t="n">
        <v>20005946</v>
      </c>
      <c r="C1720" t="inlineStr">
        <is>
          <t>Não</t>
        </is>
      </c>
      <c r="D1720" t="inlineStr">
        <is>
          <t>PR</t>
        </is>
      </c>
      <c r="E1720" t="inlineStr">
        <is>
          <t>SUL</t>
        </is>
      </c>
      <c r="F1720" t="inlineStr">
        <is>
          <t>Cliente A - Refrigerador</t>
        </is>
      </c>
      <c r="G1720" t="inlineStr">
        <is>
          <t>Refrigeradores</t>
        </is>
      </c>
      <c r="H1720" s="10" t="n">
        <v>175</v>
      </c>
      <c r="I1720" s="10">
        <f>IFERROR(T1720*H1720,0)</f>
        <v/>
      </c>
      <c r="J1720" s="11" t="n">
        <v>46215</v>
      </c>
      <c r="K1720" s="11" t="n"/>
      <c r="L1720" t="inlineStr">
        <is>
          <t>Em transporte</t>
        </is>
      </c>
      <c r="M1720">
        <f>IF(L1720="","",IFERROR(VLOOKUP(L1720,mapGrupoStatus,2,0),"Outros"))</f>
        <v/>
      </c>
      <c r="N1720">
        <f>IF(O1720="","",IF(O1720&lt;=30,"0-30 dias",IF(O1720&lt;=60,"31-60 dias",IF(O1720&lt;=90,"61-90 dias","Mais de 90 dias"))))</f>
        <v/>
      </c>
      <c r="O1720">
        <f>IF(OR(M1720="Pendente",M1720="Em andamento"),IF(J1720="","",TODAY()-J1720),"")</f>
        <v/>
      </c>
      <c r="P1720" t="n">
        <v>11898</v>
      </c>
      <c r="Q1720" t="inlineStr">
        <is>
          <t>Refrigel Express (11898)</t>
        </is>
      </c>
      <c r="R1720" t="inlineStr">
        <is>
          <t>PC-0012</t>
        </is>
      </c>
      <c r="S1720" t="inlineStr">
        <is>
          <t>Placa eletrônica modelo 02</t>
        </is>
      </c>
      <c r="T1720" t="n">
        <v>1</v>
      </c>
      <c r="U1720" t="n">
        <v>112</v>
      </c>
      <c r="V1720">
        <f>IF(J1720="","",MONTH(J1720))</f>
        <v/>
      </c>
      <c r="W1720">
        <f>IF(J1720="","",YEAR(J1720))</f>
        <v/>
      </c>
      <c r="X1720" t="inlineStr">
        <is>
          <t>EntregaJá</t>
        </is>
      </c>
      <c r="Y1720">
        <f>IFERROR(INDEX(Rastreio!$H$2:$H$200,MATCH(X1720&amp;"|"&amp;U1720,Rastreio!$A$2:$A$200,0)),"")</f>
        <v/>
      </c>
    </row>
    <row r="1721">
      <c r="A1721">
        <f>IFERROR(INDEX(STAs!$G$2:$G$61,MATCH(P1721,STAs!$F$2:$F$61,0))&amp;"","")</f>
        <v/>
      </c>
      <c r="B1721" t="n">
        <v>20008589</v>
      </c>
      <c r="C1721" t="inlineStr">
        <is>
          <t>Não</t>
        </is>
      </c>
      <c r="D1721" t="inlineStr">
        <is>
          <t>MS</t>
        </is>
      </c>
      <c r="E1721" t="inlineStr">
        <is>
          <t>CENTRO OESTE</t>
        </is>
      </c>
      <c r="F1721" t="inlineStr">
        <is>
          <t>Cliente B - Chopeira</t>
        </is>
      </c>
      <c r="G1721" t="inlineStr">
        <is>
          <t>Refrigeradores</t>
        </is>
      </c>
      <c r="H1721" s="10" t="n">
        <v>50</v>
      </c>
      <c r="I1721" s="10">
        <f>IFERROR(T1721*H1721,0)</f>
        <v/>
      </c>
      <c r="J1721" s="11" t="n">
        <v>46215</v>
      </c>
      <c r="K1721" s="11" t="n">
        <v>46247</v>
      </c>
      <c r="L1721" t="inlineStr">
        <is>
          <t>Ok. Devolvida</t>
        </is>
      </c>
      <c r="M1721">
        <f>IF(L1721="","",IFERROR(VLOOKUP(L1721,mapGrupoStatus,2,0),"Outros"))</f>
        <v/>
      </c>
      <c r="N1721">
        <f>IF(O1721="","",IF(O1721&lt;=30,"0-30 dias",IF(O1721&lt;=60,"31-60 dias",IF(O1721&lt;=90,"61-90 dias","Mais de 90 dias"))))</f>
        <v/>
      </c>
      <c r="O1721">
        <f>IF(OR(M1721="Pendente",M1721="Em andamento"),IF(J1721="","",TODAY()-J1721),"")</f>
        <v/>
      </c>
      <c r="P1721" t="n">
        <v>12280</v>
      </c>
      <c r="Q1721" t="inlineStr">
        <is>
          <t>Termotec &amp; Cia (12280)</t>
        </is>
      </c>
      <c r="R1721" t="inlineStr">
        <is>
          <t>PC-0006</t>
        </is>
      </c>
      <c r="S1721" t="inlineStr">
        <is>
          <t>Termostato modelo 03</t>
        </is>
      </c>
      <c r="T1721" t="n">
        <v>1</v>
      </c>
      <c r="U1721" t="n">
        <v>115</v>
      </c>
      <c r="V1721">
        <f>IF(J1721="","",MONTH(J1721))</f>
        <v/>
      </c>
      <c r="W1721">
        <f>IF(J1721="","",YEAR(J1721))</f>
        <v/>
      </c>
      <c r="X1721" t="inlineStr">
        <is>
          <t>RotaSul</t>
        </is>
      </c>
      <c r="Y1721">
        <f>IFERROR(INDEX(Rastreio!$H$2:$H$200,MATCH(X1721&amp;"|"&amp;U1721,Rastreio!$A$2:$A$200,0)),"")</f>
        <v/>
      </c>
    </row>
    <row r="1722">
      <c r="A1722">
        <f>IFERROR(INDEX(STAs!$G$2:$G$61,MATCH(P1722,STAs!$F$2:$F$61,0))&amp;"","")</f>
        <v/>
      </c>
      <c r="B1722" t="n">
        <v>20010891</v>
      </c>
      <c r="C1722" t="inlineStr">
        <is>
          <t>Não</t>
        </is>
      </c>
      <c r="D1722" t="inlineStr">
        <is>
          <t>MG</t>
        </is>
      </c>
      <c r="E1722" t="inlineStr">
        <is>
          <t>SUDESTE MG</t>
        </is>
      </c>
      <c r="F1722" t="inlineStr">
        <is>
          <t>Cliente C - Misturador</t>
        </is>
      </c>
      <c r="G1722" t="inlineStr">
        <is>
          <t>Refrigeradores</t>
        </is>
      </c>
      <c r="H1722" s="10" t="n">
        <v>30</v>
      </c>
      <c r="I1722" s="10">
        <f>IFERROR(T1722*H1722,0)</f>
        <v/>
      </c>
      <c r="J1722" s="11" t="n">
        <v>46215</v>
      </c>
      <c r="K1722" s="11" t="n"/>
      <c r="L1722" t="inlineStr">
        <is>
          <t>Em andamento</t>
        </is>
      </c>
      <c r="M1722">
        <f>IF(L1722="","",IFERROR(VLOOKUP(L1722,mapGrupoStatus,2,0),"Outros"))</f>
        <v/>
      </c>
      <c r="N1722">
        <f>IF(O1722="","",IF(O1722&lt;=30,"0-30 dias",IF(O1722&lt;=60,"31-60 dias",IF(O1722&lt;=90,"61-90 dias","Mais de 90 dias"))))</f>
        <v/>
      </c>
      <c r="O1722">
        <f>IF(OR(M1722="Pendente",M1722="Em andamento"),IF(J1722="","",TODAY()-J1722),"")</f>
        <v/>
      </c>
      <c r="P1722" t="n">
        <v>12158</v>
      </c>
      <c r="Q1722" t="inlineStr">
        <is>
          <t>Gelo Serviços (12158)</t>
        </is>
      </c>
      <c r="R1722" t="inlineStr">
        <is>
          <t>PC-0025</t>
        </is>
      </c>
      <c r="S1722" t="inlineStr">
        <is>
          <t>Relé de partida modelo 03</t>
        </is>
      </c>
      <c r="T1722" t="n">
        <v>1</v>
      </c>
      <c r="U1722" t="n">
        <v>124</v>
      </c>
      <c r="V1722">
        <f>IF(J1722="","",MONTH(J1722))</f>
        <v/>
      </c>
      <c r="W1722">
        <f>IF(J1722="","",YEAR(J1722))</f>
        <v/>
      </c>
      <c r="X1722" t="inlineStr">
        <is>
          <t>ViaCargo</t>
        </is>
      </c>
      <c r="Y1722">
        <f>IFERROR(INDEX(Rastreio!$H$2:$H$200,MATCH(X1722&amp;"|"&amp;U1722,Rastreio!$A$2:$A$200,0)),"")</f>
        <v/>
      </c>
    </row>
    <row r="1723">
      <c r="A1723">
        <f>IFERROR(INDEX(STAs!$G$2:$G$61,MATCH(P1723,STAs!$F$2:$F$61,0))&amp;"","")</f>
        <v/>
      </c>
      <c r="B1723" t="n">
        <v>20017646</v>
      </c>
      <c r="C1723" t="inlineStr">
        <is>
          <t>Sim</t>
        </is>
      </c>
      <c r="D1723" t="inlineStr">
        <is>
          <t>PR</t>
        </is>
      </c>
      <c r="E1723" t="inlineStr">
        <is>
          <t>SUL</t>
        </is>
      </c>
      <c r="F1723" t="inlineStr">
        <is>
          <t>Cliente B - Chopeira</t>
        </is>
      </c>
      <c r="G1723" t="inlineStr">
        <is>
          <t>Misturadores</t>
        </is>
      </c>
      <c r="H1723" s="10" t="n">
        <v>185</v>
      </c>
      <c r="I1723" s="10">
        <f>IFERROR(T1723*H1723,0)</f>
        <v/>
      </c>
      <c r="J1723" s="11" t="n">
        <v>46215</v>
      </c>
      <c r="K1723" s="11" t="n"/>
      <c r="L1723" t="inlineStr">
        <is>
          <t>Aguardando devolução</t>
        </is>
      </c>
      <c r="M1723">
        <f>IF(L1723="","",IFERROR(VLOOKUP(L1723,mapGrupoStatus,2,0),"Outros"))</f>
        <v/>
      </c>
      <c r="N1723">
        <f>IF(O1723="","",IF(O1723&lt;=30,"0-30 dias",IF(O1723&lt;=60,"31-60 dias",IF(O1723&lt;=90,"61-90 dias","Mais de 90 dias"))))</f>
        <v/>
      </c>
      <c r="O1723">
        <f>IF(OR(M1723="Pendente",M1723="Em andamento"),IF(J1723="","",TODAY()-J1723),"")</f>
        <v/>
      </c>
      <c r="P1723" t="n">
        <v>10913</v>
      </c>
      <c r="Q1723" t="inlineStr">
        <is>
          <t>Ice Tech &amp; Cia (10913)</t>
        </is>
      </c>
      <c r="R1723" t="inlineStr">
        <is>
          <t>PC-0041</t>
        </is>
      </c>
      <c r="S1723" t="inlineStr">
        <is>
          <t>Motor agitador modelo 02</t>
        </is>
      </c>
      <c r="T1723" t="n">
        <v>2</v>
      </c>
      <c r="U1723" t="inlineStr"/>
      <c r="V1723">
        <f>IF(J1723="","",MONTH(J1723))</f>
        <v/>
      </c>
      <c r="W1723">
        <f>IF(J1723="","",YEAR(J1723))</f>
        <v/>
      </c>
      <c r="X1723" t="inlineStr"/>
      <c r="Y1723">
        <f>IFERROR(INDEX(Rastreio!$H$2:$H$200,MATCH(X1723&amp;"|"&amp;U1723,Rastreio!$A$2:$A$200,0)),"")</f>
        <v/>
      </c>
    </row>
    <row r="1724">
      <c r="A1724">
        <f>IFERROR(INDEX(STAs!$G$2:$G$61,MATCH(P1724,STAs!$F$2:$F$61,0))&amp;"","")</f>
        <v/>
      </c>
      <c r="B1724" t="n">
        <v>20020583</v>
      </c>
      <c r="C1724" t="inlineStr">
        <is>
          <t>Não</t>
        </is>
      </c>
      <c r="D1724" t="inlineStr">
        <is>
          <t>SP</t>
        </is>
      </c>
      <c r="E1724" t="inlineStr">
        <is>
          <t>SUDESTE SP</t>
        </is>
      </c>
      <c r="F1724" t="inlineStr">
        <is>
          <t>Cliente B - Chopeira</t>
        </is>
      </c>
      <c r="G1724" t="inlineStr">
        <is>
          <t>Refrigeradores</t>
        </is>
      </c>
      <c r="H1724" s="10" t="n">
        <v>315</v>
      </c>
      <c r="I1724" s="10">
        <f>IFERROR(T1724*H1724,0)</f>
        <v/>
      </c>
      <c r="J1724" s="11" t="n">
        <v>46215</v>
      </c>
      <c r="K1724" s="11" t="n">
        <v>46255</v>
      </c>
      <c r="L1724" t="inlineStr">
        <is>
          <t>Ok. Devolvida</t>
        </is>
      </c>
      <c r="M1724">
        <f>IF(L1724="","",IFERROR(VLOOKUP(L1724,mapGrupoStatus,2,0),"Outros"))</f>
        <v/>
      </c>
      <c r="N1724">
        <f>IF(O1724="","",IF(O1724&lt;=30,"0-30 dias",IF(O1724&lt;=60,"31-60 dias",IF(O1724&lt;=90,"61-90 dias","Mais de 90 dias"))))</f>
        <v/>
      </c>
      <c r="O1724">
        <f>IF(OR(M1724="Pendente",M1724="Em andamento"),IF(J1724="","",TODAY()-J1724),"")</f>
        <v/>
      </c>
      <c r="P1724" t="n">
        <v>12052</v>
      </c>
      <c r="Q1724" t="inlineStr">
        <is>
          <t>Brisa Refrigeração (12052)</t>
        </is>
      </c>
      <c r="R1724" t="inlineStr">
        <is>
          <t>PC-0002</t>
        </is>
      </c>
      <c r="S1724" t="inlineStr">
        <is>
          <t>Compressor modelo 02</t>
        </is>
      </c>
      <c r="T1724" t="n">
        <v>1</v>
      </c>
      <c r="U1724" t="n">
        <v>132</v>
      </c>
      <c r="V1724">
        <f>IF(J1724="","",MONTH(J1724))</f>
        <v/>
      </c>
      <c r="W1724">
        <f>IF(J1724="","",YEAR(J1724))</f>
        <v/>
      </c>
      <c r="X1724" t="inlineStr">
        <is>
          <t>RotaSul</t>
        </is>
      </c>
      <c r="Y1724">
        <f>IFERROR(INDEX(Rastreio!$H$2:$H$200,MATCH(X1724&amp;"|"&amp;U1724,Rastreio!$A$2:$A$200,0)),"")</f>
        <v/>
      </c>
    </row>
    <row r="1725">
      <c r="A1725">
        <f>IFERROR(INDEX(STAs!$G$2:$G$61,MATCH(P1725,STAs!$F$2:$F$61,0))&amp;"","")</f>
        <v/>
      </c>
      <c r="B1725" t="n">
        <v>20034346</v>
      </c>
      <c r="C1725" t="inlineStr">
        <is>
          <t>Não</t>
        </is>
      </c>
      <c r="D1725" t="inlineStr">
        <is>
          <t>GO</t>
        </is>
      </c>
      <c r="E1725" t="inlineStr">
        <is>
          <t>CENTRO OESTE</t>
        </is>
      </c>
      <c r="F1725" t="inlineStr">
        <is>
          <t>Cliente A - Refrigerador</t>
        </is>
      </c>
      <c r="G1725" t="inlineStr">
        <is>
          <t>Misturadores</t>
        </is>
      </c>
      <c r="H1725" s="10" t="n">
        <v>60</v>
      </c>
      <c r="I1725" s="10">
        <f>IFERROR(T1725*H1725,0)</f>
        <v/>
      </c>
      <c r="J1725" s="11" t="n">
        <v>46215</v>
      </c>
      <c r="K1725" s="11" t="n"/>
      <c r="L1725" t="inlineStr">
        <is>
          <t>Em transporte</t>
        </is>
      </c>
      <c r="M1725">
        <f>IF(L1725="","",IFERROR(VLOOKUP(L1725,mapGrupoStatus,2,0),"Outros"))</f>
        <v/>
      </c>
      <c r="N1725">
        <f>IF(O1725="","",IF(O1725&lt;=30,"0-30 dias",IF(O1725&lt;=60,"31-60 dias",IF(O1725&lt;=90,"61-90 dias","Mais de 90 dias"))))</f>
        <v/>
      </c>
      <c r="O1725">
        <f>IF(OR(M1725="Pendente",M1725="Em andamento"),IF(J1725="","",TODAY()-J1725),"")</f>
        <v/>
      </c>
      <c r="P1725" t="n">
        <v>10317</v>
      </c>
      <c r="Q1725" t="inlineStr">
        <is>
          <t>Termotec Manutenção (10317)</t>
        </is>
      </c>
      <c r="R1725" t="inlineStr">
        <is>
          <t>PC-0048</t>
        </is>
      </c>
      <c r="S1725" t="inlineStr">
        <is>
          <t>Sensor de nível modelo 04</t>
        </is>
      </c>
      <c r="T1725" t="n">
        <v>1</v>
      </c>
      <c r="U1725" t="n">
        <v>161</v>
      </c>
      <c r="V1725">
        <f>IF(J1725="","",MONTH(J1725))</f>
        <v/>
      </c>
      <c r="W1725">
        <f>IF(J1725="","",YEAR(J1725))</f>
        <v/>
      </c>
      <c r="X1725" t="inlineStr">
        <is>
          <t>LogExpress</t>
        </is>
      </c>
      <c r="Y1725">
        <f>IFERROR(INDEX(Rastreio!$H$2:$H$200,MATCH(X1725&amp;"|"&amp;U1725,Rastreio!$A$2:$A$200,0)),"")</f>
        <v/>
      </c>
    </row>
    <row r="1726">
      <c r="A1726">
        <f>IFERROR(INDEX(STAs!$G$2:$G$61,MATCH(P1726,STAs!$F$2:$F$61,0))&amp;"","")</f>
        <v/>
      </c>
      <c r="B1726" t="n">
        <v>20038737</v>
      </c>
      <c r="C1726" t="inlineStr">
        <is>
          <t>Não</t>
        </is>
      </c>
      <c r="D1726" t="inlineStr">
        <is>
          <t>RS</t>
        </is>
      </c>
      <c r="E1726" t="inlineStr">
        <is>
          <t>SUL</t>
        </is>
      </c>
      <c r="F1726" t="inlineStr">
        <is>
          <t>Cliente A - Refrigerador</t>
        </is>
      </c>
      <c r="G1726" t="inlineStr">
        <is>
          <t>Refrigeradores</t>
        </is>
      </c>
      <c r="H1726" s="10" t="n">
        <v>65</v>
      </c>
      <c r="I1726" s="10">
        <f>IFERROR(T1726*H1726,0)</f>
        <v/>
      </c>
      <c r="J1726" s="11" t="n">
        <v>46215</v>
      </c>
      <c r="K1726" s="11" t="n"/>
      <c r="L1726" t="inlineStr">
        <is>
          <t>Aguardando devolução</t>
        </is>
      </c>
      <c r="M1726">
        <f>IF(L1726="","",IFERROR(VLOOKUP(L1726,mapGrupoStatus,2,0),"Outros"))</f>
        <v/>
      </c>
      <c r="N1726">
        <f>IF(O1726="","",IF(O1726&lt;=30,"0-30 dias",IF(O1726&lt;=60,"31-60 dias",IF(O1726&lt;=90,"61-90 dias","Mais de 90 dias"))))</f>
        <v/>
      </c>
      <c r="O1726">
        <f>IF(OR(M1726="Pendente",M1726="Em andamento"),IF(J1726="","",TODAY()-J1726),"")</f>
        <v/>
      </c>
      <c r="P1726" t="n">
        <v>11459</v>
      </c>
      <c r="Q1726" t="inlineStr">
        <is>
          <t>Frio ME (11459)</t>
        </is>
      </c>
      <c r="R1726" t="inlineStr">
        <is>
          <t>PC-0010</t>
        </is>
      </c>
      <c r="S1726" t="inlineStr">
        <is>
          <t>Ventilador modelo 04</t>
        </is>
      </c>
      <c r="T1726" t="n">
        <v>1</v>
      </c>
      <c r="U1726" t="inlineStr"/>
      <c r="V1726">
        <f>IF(J1726="","",MONTH(J1726))</f>
        <v/>
      </c>
      <c r="W1726">
        <f>IF(J1726="","",YEAR(J1726))</f>
        <v/>
      </c>
      <c r="X1726" t="inlineStr"/>
      <c r="Y1726">
        <f>IFERROR(INDEX(Rastreio!$H$2:$H$200,MATCH(X1726&amp;"|"&amp;U1726,Rastreio!$A$2:$A$200,0)),"")</f>
        <v/>
      </c>
    </row>
    <row r="1727">
      <c r="A1727">
        <f>IFERROR(INDEX(STAs!$G$2:$G$61,MATCH(P1727,STAs!$F$2:$F$61,0))&amp;"","")</f>
        <v/>
      </c>
      <c r="B1727" t="n">
        <v>20009466</v>
      </c>
      <c r="C1727" t="inlineStr">
        <is>
          <t>Não</t>
        </is>
      </c>
      <c r="D1727" t="inlineStr">
        <is>
          <t>MG</t>
        </is>
      </c>
      <c r="E1727" t="inlineStr">
        <is>
          <t>SUDESTE MG</t>
        </is>
      </c>
      <c r="F1727" t="inlineStr">
        <is>
          <t>Cliente C - Misturador</t>
        </is>
      </c>
      <c r="G1727" t="inlineStr">
        <is>
          <t>Chopeiras</t>
        </is>
      </c>
      <c r="H1727" s="10" t="n">
        <v>210</v>
      </c>
      <c r="I1727" s="10">
        <f>IFERROR(T1727*H1727,0)</f>
        <v/>
      </c>
      <c r="J1727" s="11" t="n">
        <v>46216</v>
      </c>
      <c r="K1727" s="11" t="n"/>
      <c r="L1727" t="inlineStr">
        <is>
          <t>Aguardando devolução</t>
        </is>
      </c>
      <c r="M1727">
        <f>IF(L1727="","",IFERROR(VLOOKUP(L1727,mapGrupoStatus,2,0),"Outros"))</f>
        <v/>
      </c>
      <c r="N1727">
        <f>IF(O1727="","",IF(O1727&lt;=30,"0-30 dias",IF(O1727&lt;=60,"31-60 dias",IF(O1727&lt;=90,"61-90 dias","Mais de 90 dias"))))</f>
        <v/>
      </c>
      <c r="O1727">
        <f>IF(OR(M1727="Pendente",M1727="Em andamento"),IF(J1727="","",TODAY()-J1727),"")</f>
        <v/>
      </c>
      <c r="P1727" t="n">
        <v>12470</v>
      </c>
      <c r="Q1727" t="inlineStr">
        <is>
          <t>Cool Service Técnica (12470)</t>
        </is>
      </c>
      <c r="R1727" t="inlineStr">
        <is>
          <t>PC-0029</t>
        </is>
      </c>
      <c r="S1727" t="inlineStr">
        <is>
          <t>Serpentina modelo 01</t>
        </is>
      </c>
      <c r="T1727" t="n">
        <v>1</v>
      </c>
      <c r="U1727" t="inlineStr"/>
      <c r="V1727">
        <f>IF(J1727="","",MONTH(J1727))</f>
        <v/>
      </c>
      <c r="W1727">
        <f>IF(J1727="","",YEAR(J1727))</f>
        <v/>
      </c>
      <c r="X1727" t="inlineStr"/>
      <c r="Y1727">
        <f>IFERROR(INDEX(Rastreio!$H$2:$H$200,MATCH(X1727&amp;"|"&amp;U1727,Rastreio!$A$2:$A$200,0)),"")</f>
        <v/>
      </c>
    </row>
    <row r="1728">
      <c r="A1728">
        <f>IFERROR(INDEX(STAs!$G$2:$G$61,MATCH(P1728,STAs!$F$2:$F$61,0))&amp;"","")</f>
        <v/>
      </c>
      <c r="B1728" t="n">
        <v>20012273</v>
      </c>
      <c r="C1728" t="inlineStr">
        <is>
          <t>Não</t>
        </is>
      </c>
      <c r="D1728" t="inlineStr">
        <is>
          <t>SP</t>
        </is>
      </c>
      <c r="E1728" t="inlineStr">
        <is>
          <t>SUDESTE SP</t>
        </is>
      </c>
      <c r="F1728" t="inlineStr">
        <is>
          <t>Cliente B - Chopeira</t>
        </is>
      </c>
      <c r="G1728" t="inlineStr">
        <is>
          <t>Refrigeradores</t>
        </is>
      </c>
      <c r="H1728" s="10" t="n">
        <v>35</v>
      </c>
      <c r="I1728" s="10">
        <f>IFERROR(T1728*H1728,0)</f>
        <v/>
      </c>
      <c r="J1728" s="11" t="n">
        <v>46216</v>
      </c>
      <c r="K1728" s="11" t="n">
        <v>46223</v>
      </c>
      <c r="L1728" t="inlineStr">
        <is>
          <t>Ok. Devolvida</t>
        </is>
      </c>
      <c r="M1728">
        <f>IF(L1728="","",IFERROR(VLOOKUP(L1728,mapGrupoStatus,2,0),"Outros"))</f>
        <v/>
      </c>
      <c r="N1728">
        <f>IF(O1728="","",IF(O1728&lt;=30,"0-30 dias",IF(O1728&lt;=60,"31-60 dias",IF(O1728&lt;=90,"61-90 dias","Mais de 90 dias"))))</f>
        <v/>
      </c>
      <c r="O1728">
        <f>IF(OR(M1728="Pendente",M1728="Em andamento"),IF(J1728="","",TODAY()-J1728),"")</f>
        <v/>
      </c>
      <c r="P1728" t="n">
        <v>11365</v>
      </c>
      <c r="Q1728" t="inlineStr">
        <is>
          <t>Ártico Express (11365)</t>
        </is>
      </c>
      <c r="R1728" t="inlineStr">
        <is>
          <t>PC-0024</t>
        </is>
      </c>
      <c r="S1728" t="inlineStr">
        <is>
          <t>Relé de partida modelo 02</t>
        </is>
      </c>
      <c r="T1728" t="n">
        <v>1</v>
      </c>
      <c r="U1728" t="n">
        <v>124</v>
      </c>
      <c r="V1728">
        <f>IF(J1728="","",MONTH(J1728))</f>
        <v/>
      </c>
      <c r="W1728">
        <f>IF(J1728="","",YEAR(J1728))</f>
        <v/>
      </c>
      <c r="X1728" t="inlineStr">
        <is>
          <t>EntregaJá</t>
        </is>
      </c>
      <c r="Y1728">
        <f>IFERROR(INDEX(Rastreio!$H$2:$H$200,MATCH(X1728&amp;"|"&amp;U1728,Rastreio!$A$2:$A$200,0)),"")</f>
        <v/>
      </c>
    </row>
    <row r="1729">
      <c r="A1729">
        <f>IFERROR(INDEX(STAs!$G$2:$G$61,MATCH(P1729,STAs!$F$2:$F$61,0))&amp;"","")</f>
        <v/>
      </c>
      <c r="B1729" t="n">
        <v>20022224</v>
      </c>
      <c r="C1729" t="inlineStr">
        <is>
          <t>Sim</t>
        </is>
      </c>
      <c r="D1729" t="inlineStr">
        <is>
          <t>SP</t>
        </is>
      </c>
      <c r="E1729" t="inlineStr">
        <is>
          <t>SUDESTE SP</t>
        </is>
      </c>
      <c r="F1729" t="inlineStr">
        <is>
          <t>Cliente A - Refrigerador</t>
        </is>
      </c>
      <c r="G1729" t="inlineStr">
        <is>
          <t>Refrigeradores</t>
        </is>
      </c>
      <c r="H1729" s="10" t="n">
        <v>25</v>
      </c>
      <c r="I1729" s="10">
        <f>IFERROR(T1729*H1729,0)</f>
        <v/>
      </c>
      <c r="J1729" s="11" t="n">
        <v>46216</v>
      </c>
      <c r="K1729" s="11" t="n"/>
      <c r="L1729" t="inlineStr">
        <is>
          <t>Aguardando devolução</t>
        </is>
      </c>
      <c r="M1729">
        <f>IF(L1729="","",IFERROR(VLOOKUP(L1729,mapGrupoStatus,2,0),"Outros"))</f>
        <v/>
      </c>
      <c r="N1729">
        <f>IF(O1729="","",IF(O1729&lt;=30,"0-30 dias",IF(O1729&lt;=60,"31-60 dias",IF(O1729&lt;=90,"61-90 dias","Mais de 90 dias"))))</f>
        <v/>
      </c>
      <c r="O1729">
        <f>IF(OR(M1729="Pendente",M1729="Em andamento"),IF(J1729="","",TODAY()-J1729),"")</f>
        <v/>
      </c>
      <c r="P1729" t="n">
        <v>10010</v>
      </c>
      <c r="Q1729" t="inlineStr">
        <is>
          <t>Cool Service ME (10010)</t>
        </is>
      </c>
      <c r="R1729" t="inlineStr">
        <is>
          <t>PC-0015</t>
        </is>
      </c>
      <c r="S1729" t="inlineStr">
        <is>
          <t>Filtro secador modelo 01</t>
        </is>
      </c>
      <c r="T1729" t="n">
        <v>1</v>
      </c>
      <c r="U1729" t="inlineStr"/>
      <c r="V1729">
        <f>IF(J1729="","",MONTH(J1729))</f>
        <v/>
      </c>
      <c r="W1729">
        <f>IF(J1729="","",YEAR(J1729))</f>
        <v/>
      </c>
      <c r="X1729" t="inlineStr"/>
      <c r="Y1729">
        <f>IFERROR(INDEX(Rastreio!$H$2:$H$200,MATCH(X1729&amp;"|"&amp;U1729,Rastreio!$A$2:$A$200,0)),"")</f>
        <v/>
      </c>
    </row>
    <row r="1730">
      <c r="A1730">
        <f>IFERROR(INDEX(STAs!$G$2:$G$61,MATCH(P1730,STAs!$F$2:$F$61,0))&amp;"","")</f>
        <v/>
      </c>
      <c r="B1730" t="n">
        <v>20025750</v>
      </c>
      <c r="C1730" t="inlineStr">
        <is>
          <t>Não</t>
        </is>
      </c>
      <c r="D1730" t="inlineStr">
        <is>
          <t>MG</t>
        </is>
      </c>
      <c r="E1730" t="inlineStr">
        <is>
          <t>SUDESTE MG</t>
        </is>
      </c>
      <c r="F1730" t="inlineStr">
        <is>
          <t>Cliente C - Misturador</t>
        </is>
      </c>
      <c r="G1730" t="inlineStr">
        <is>
          <t>Misturadores</t>
        </is>
      </c>
      <c r="H1730" s="10" t="n">
        <v>35</v>
      </c>
      <c r="I1730" s="10">
        <f>IFERROR(T1730*H1730,0)</f>
        <v/>
      </c>
      <c r="J1730" s="11" t="n">
        <v>46216</v>
      </c>
      <c r="K1730" s="11" t="n">
        <v>46263</v>
      </c>
      <c r="L1730" t="inlineStr">
        <is>
          <t>Ok. Devolvida</t>
        </is>
      </c>
      <c r="M1730">
        <f>IF(L1730="","",IFERROR(VLOOKUP(L1730,mapGrupoStatus,2,0),"Outros"))</f>
        <v/>
      </c>
      <c r="N1730">
        <f>IF(O1730="","",IF(O1730&lt;=30,"0-30 dias",IF(O1730&lt;=60,"31-60 dias",IF(O1730&lt;=90,"61-90 dias","Mais de 90 dias"))))</f>
        <v/>
      </c>
      <c r="O1730">
        <f>IF(OR(M1730="Pendente",M1730="Em andamento"),IF(J1730="","",TODAY()-J1730),"")</f>
        <v/>
      </c>
      <c r="P1730" t="n">
        <v>12158</v>
      </c>
      <c r="Q1730" t="inlineStr">
        <is>
          <t>Gelo Serviços (12158)</t>
        </is>
      </c>
      <c r="R1730" t="inlineStr">
        <is>
          <t>PC-0043</t>
        </is>
      </c>
      <c r="S1730" t="inlineStr">
        <is>
          <t>Bico dosador modelo 02</t>
        </is>
      </c>
      <c r="T1730" t="n">
        <v>1</v>
      </c>
      <c r="U1730" t="n">
        <v>138</v>
      </c>
      <c r="V1730">
        <f>IF(J1730="","",MONTH(J1730))</f>
        <v/>
      </c>
      <c r="W1730">
        <f>IF(J1730="","",YEAR(J1730))</f>
        <v/>
      </c>
      <c r="X1730" t="inlineStr">
        <is>
          <t>EntregaJá</t>
        </is>
      </c>
      <c r="Y1730">
        <f>IFERROR(INDEX(Rastreio!$H$2:$H$200,MATCH(X1730&amp;"|"&amp;U1730,Rastreio!$A$2:$A$200,0)),"")</f>
        <v/>
      </c>
    </row>
    <row r="1731">
      <c r="A1731">
        <f>IFERROR(INDEX(STAs!$G$2:$G$61,MATCH(P1731,STAs!$F$2:$F$61,0))&amp;"","")</f>
        <v/>
      </c>
      <c r="B1731" t="n">
        <v>20028765</v>
      </c>
      <c r="C1731" t="inlineStr">
        <is>
          <t>Não</t>
        </is>
      </c>
      <c r="D1731" t="inlineStr">
        <is>
          <t>PB</t>
        </is>
      </c>
      <c r="E1731" t="inlineStr">
        <is>
          <t>NORDESTE</t>
        </is>
      </c>
      <c r="F1731" t="inlineStr">
        <is>
          <t>Cliente C - Misturador</t>
        </is>
      </c>
      <c r="G1731" t="inlineStr">
        <is>
          <t>Chopeiras</t>
        </is>
      </c>
      <c r="H1731" s="10" t="n">
        <v>85</v>
      </c>
      <c r="I1731" s="10">
        <f>IFERROR(T1731*H1731,0)</f>
        <v/>
      </c>
      <c r="J1731" s="11" t="n">
        <v>46216</v>
      </c>
      <c r="K1731" s="11" t="n">
        <v>46238</v>
      </c>
      <c r="L1731" t="inlineStr">
        <is>
          <t>Ok. Devolvida</t>
        </is>
      </c>
      <c r="M1731">
        <f>IF(L1731="","",IFERROR(VLOOKUP(L1731,mapGrupoStatus,2,0),"Outros"))</f>
        <v/>
      </c>
      <c r="N1731">
        <f>IF(O1731="","",IF(O1731&lt;=30,"0-30 dias",IF(O1731&lt;=60,"31-60 dias",IF(O1731&lt;=90,"61-90 dias","Mais de 90 dias"))))</f>
        <v/>
      </c>
      <c r="O1731">
        <f>IF(OR(M1731="Pendente",M1731="Em andamento"),IF(J1731="","",TODAY()-J1731),"")</f>
        <v/>
      </c>
      <c r="P1731" t="n">
        <v>11741</v>
      </c>
      <c r="Q1731" t="inlineStr">
        <is>
          <t>Clima Refrigeração (11741)</t>
        </is>
      </c>
      <c r="R1731" t="inlineStr">
        <is>
          <t>PC-0026</t>
        </is>
      </c>
      <c r="S1731" t="inlineStr">
        <is>
          <t>Torneira de chopp modelo 01</t>
        </is>
      </c>
      <c r="T1731" t="n">
        <v>2</v>
      </c>
      <c r="U1731" t="n">
        <v>139</v>
      </c>
      <c r="V1731">
        <f>IF(J1731="","",MONTH(J1731))</f>
        <v/>
      </c>
      <c r="W1731">
        <f>IF(J1731="","",YEAR(J1731))</f>
        <v/>
      </c>
      <c r="X1731" t="inlineStr">
        <is>
          <t>EntregaJá</t>
        </is>
      </c>
      <c r="Y1731">
        <f>IFERROR(INDEX(Rastreio!$H$2:$H$200,MATCH(X1731&amp;"|"&amp;U1731,Rastreio!$A$2:$A$200,0)),"")</f>
        <v/>
      </c>
    </row>
    <row r="1732">
      <c r="A1732">
        <f>IFERROR(INDEX(STAs!$G$2:$G$61,MATCH(P1732,STAs!$F$2:$F$61,0))&amp;"","")</f>
        <v/>
      </c>
      <c r="B1732" t="n">
        <v>20038802</v>
      </c>
      <c r="C1732" t="inlineStr">
        <is>
          <t>Não</t>
        </is>
      </c>
      <c r="D1732" t="inlineStr">
        <is>
          <t>DF</t>
        </is>
      </c>
      <c r="E1732" t="inlineStr">
        <is>
          <t>CENTRO OESTE</t>
        </is>
      </c>
      <c r="F1732" t="inlineStr">
        <is>
          <t>Cliente A - Refrigerador</t>
        </is>
      </c>
      <c r="G1732" t="inlineStr">
        <is>
          <t>Chopeiras</t>
        </is>
      </c>
      <c r="H1732" s="10" t="n">
        <v>120</v>
      </c>
      <c r="I1732" s="10">
        <f>IFERROR(T1732*H1732,0)</f>
        <v/>
      </c>
      <c r="J1732" s="11" t="n">
        <v>46216</v>
      </c>
      <c r="K1732" s="11" t="n">
        <v>46249</v>
      </c>
      <c r="L1732" t="inlineStr">
        <is>
          <t>Ok. Devolvida</t>
        </is>
      </c>
      <c r="M1732">
        <f>IF(L1732="","",IFERROR(VLOOKUP(L1732,mapGrupoStatus,2,0),"Outros"))</f>
        <v/>
      </c>
      <c r="N1732">
        <f>IF(O1732="","",IF(O1732&lt;=30,"0-30 dias",IF(O1732&lt;=60,"31-60 dias",IF(O1732&lt;=90,"61-90 dias","Mais de 90 dias"))))</f>
        <v/>
      </c>
      <c r="O1732">
        <f>IF(OR(M1732="Pendente",M1732="Em andamento"),IF(J1732="","",TODAY()-J1732),"")</f>
        <v/>
      </c>
      <c r="P1732" t="n">
        <v>10021</v>
      </c>
      <c r="Q1732" t="inlineStr">
        <is>
          <t>Termotec Técnica (10021)</t>
        </is>
      </c>
      <c r="R1732" t="inlineStr">
        <is>
          <t>PC-0032</t>
        </is>
      </c>
      <c r="S1732" t="inlineStr">
        <is>
          <t>Regulador de pressão modelo 01</t>
        </is>
      </c>
      <c r="T1732" t="n">
        <v>1</v>
      </c>
      <c r="U1732" t="n">
        <v>168</v>
      </c>
      <c r="V1732">
        <f>IF(J1732="","",MONTH(J1732))</f>
        <v/>
      </c>
      <c r="W1732">
        <f>IF(J1732="","",YEAR(J1732))</f>
        <v/>
      </c>
      <c r="X1732" t="inlineStr">
        <is>
          <t>CargoMax</t>
        </is>
      </c>
      <c r="Y1732">
        <f>IFERROR(INDEX(Rastreio!$H$2:$H$200,MATCH(X1732&amp;"|"&amp;U1732,Rastreio!$A$2:$A$200,0)),"")</f>
        <v/>
      </c>
    </row>
    <row r="1733">
      <c r="A1733">
        <f>IFERROR(INDEX(STAs!$G$2:$G$61,MATCH(P1733,STAs!$F$2:$F$61,0))&amp;"","")</f>
        <v/>
      </c>
      <c r="B1733" t="n">
        <v>20002077</v>
      </c>
      <c r="C1733" t="inlineStr">
        <is>
          <t>Não</t>
        </is>
      </c>
      <c r="D1733" t="inlineStr">
        <is>
          <t>DF</t>
        </is>
      </c>
      <c r="E1733" t="inlineStr">
        <is>
          <t>CENTRO OESTE</t>
        </is>
      </c>
      <c r="F1733" t="inlineStr">
        <is>
          <t>Cliente A - Refrigerador</t>
        </is>
      </c>
      <c r="G1733" t="inlineStr">
        <is>
          <t>Refrigeradores</t>
        </is>
      </c>
      <c r="H1733" s="10" t="n">
        <v>155</v>
      </c>
      <c r="I1733" s="10">
        <f>IFERROR(T1733*H1733,0)</f>
        <v/>
      </c>
      <c r="J1733" s="11" t="n">
        <v>46217</v>
      </c>
      <c r="K1733" s="11" t="n">
        <v>46266</v>
      </c>
      <c r="L1733" t="inlineStr">
        <is>
          <t>Ok. Devolvida</t>
        </is>
      </c>
      <c r="M1733">
        <f>IF(L1733="","",IFERROR(VLOOKUP(L1733,mapGrupoStatus,2,0),"Outros"))</f>
        <v/>
      </c>
      <c r="N1733">
        <f>IF(O1733="","",IF(O1733&lt;=30,"0-30 dias",IF(O1733&lt;=60,"31-60 dias",IF(O1733&lt;=90,"61-90 dias","Mais de 90 dias"))))</f>
        <v/>
      </c>
      <c r="O1733">
        <f>IF(OR(M1733="Pendente",M1733="Em andamento"),IF(J1733="","",TODAY()-J1733),"")</f>
        <v/>
      </c>
      <c r="P1733" t="n">
        <v>10021</v>
      </c>
      <c r="Q1733" t="inlineStr">
        <is>
          <t>Termotec Técnica (10021)</t>
        </is>
      </c>
      <c r="R1733" t="inlineStr">
        <is>
          <t>PC-0021</t>
        </is>
      </c>
      <c r="S1733" t="inlineStr">
        <is>
          <t>Controlador digital modelo 01</t>
        </is>
      </c>
      <c r="T1733" t="n">
        <v>1</v>
      </c>
      <c r="U1733" t="n">
        <v>105</v>
      </c>
      <c r="V1733">
        <f>IF(J1733="","",MONTH(J1733))</f>
        <v/>
      </c>
      <c r="W1733">
        <f>IF(J1733="","",YEAR(J1733))</f>
        <v/>
      </c>
      <c r="X1733" t="inlineStr">
        <is>
          <t>ViaCargo</t>
        </is>
      </c>
      <c r="Y1733">
        <f>IFERROR(INDEX(Rastreio!$H$2:$H$200,MATCH(X1733&amp;"|"&amp;U1733,Rastreio!$A$2:$A$200,0)),"")</f>
        <v/>
      </c>
    </row>
    <row r="1734">
      <c r="A1734">
        <f>IFERROR(INDEX(STAs!$G$2:$G$61,MATCH(P1734,STAs!$F$2:$F$61,0))&amp;"","")</f>
        <v/>
      </c>
      <c r="B1734" t="n">
        <v>20003373</v>
      </c>
      <c r="C1734" t="inlineStr">
        <is>
          <t>Sim</t>
        </is>
      </c>
      <c r="D1734" t="inlineStr">
        <is>
          <t>CE</t>
        </is>
      </c>
      <c r="E1734" t="inlineStr">
        <is>
          <t>NORDESTE</t>
        </is>
      </c>
      <c r="F1734" t="inlineStr">
        <is>
          <t>Cliente C - Misturador</t>
        </is>
      </c>
      <c r="G1734" t="inlineStr">
        <is>
          <t>Misturadores</t>
        </is>
      </c>
      <c r="H1734" s="10" t="n">
        <v>255</v>
      </c>
      <c r="I1734" s="10">
        <f>IFERROR(T1734*H1734,0)</f>
        <v/>
      </c>
      <c r="J1734" s="11" t="n">
        <v>46217</v>
      </c>
      <c r="K1734" s="11" t="n"/>
      <c r="L1734" t="inlineStr">
        <is>
          <t>Em andamento</t>
        </is>
      </c>
      <c r="M1734">
        <f>IF(L1734="","",IFERROR(VLOOKUP(L1734,mapGrupoStatus,2,0),"Outros"))</f>
        <v/>
      </c>
      <c r="N1734">
        <f>IF(O1734="","",IF(O1734&lt;=30,"0-30 dias",IF(O1734&lt;=60,"31-60 dias",IF(O1734&lt;=90,"61-90 dias","Mais de 90 dias"))))</f>
        <v/>
      </c>
      <c r="O1734">
        <f>IF(OR(M1734="Pendente",M1734="Em andamento"),IF(J1734="","",TODAY()-J1734),"")</f>
        <v/>
      </c>
      <c r="P1734" t="n">
        <v>10615</v>
      </c>
      <c r="Q1734" t="inlineStr">
        <is>
          <t>Brisa Técnica (10615)</t>
        </is>
      </c>
      <c r="R1734" t="inlineStr">
        <is>
          <t>PC-0037</t>
        </is>
      </c>
      <c r="S1734" t="inlineStr">
        <is>
          <t>Bomba de recirculação modelo 01</t>
        </is>
      </c>
      <c r="T1734" t="n">
        <v>1</v>
      </c>
      <c r="U1734" t="n">
        <v>107</v>
      </c>
      <c r="V1734">
        <f>IF(J1734="","",MONTH(J1734))</f>
        <v/>
      </c>
      <c r="W1734">
        <f>IF(J1734="","",YEAR(J1734))</f>
        <v/>
      </c>
      <c r="X1734" t="inlineStr">
        <is>
          <t>RotaSul</t>
        </is>
      </c>
      <c r="Y1734">
        <f>IFERROR(INDEX(Rastreio!$H$2:$H$200,MATCH(X1734&amp;"|"&amp;U1734,Rastreio!$A$2:$A$200,0)),"")</f>
        <v/>
      </c>
    </row>
    <row r="1735">
      <c r="A1735">
        <f>IFERROR(INDEX(STAs!$G$2:$G$61,MATCH(P1735,STAs!$F$2:$F$61,0))&amp;"","")</f>
        <v/>
      </c>
      <c r="B1735" t="n">
        <v>20011814</v>
      </c>
      <c r="C1735" t="inlineStr">
        <is>
          <t>Não</t>
        </is>
      </c>
      <c r="D1735" t="inlineStr">
        <is>
          <t>TO</t>
        </is>
      </c>
      <c r="E1735" t="inlineStr">
        <is>
          <t>NORTE</t>
        </is>
      </c>
      <c r="F1735" t="inlineStr">
        <is>
          <t>Cliente A - Refrigerador</t>
        </is>
      </c>
      <c r="G1735" t="inlineStr">
        <is>
          <t>Refrigeradores</t>
        </is>
      </c>
      <c r="H1735" s="10" t="n">
        <v>55</v>
      </c>
      <c r="I1735" s="10">
        <f>IFERROR(T1735*H1735,0)</f>
        <v/>
      </c>
      <c r="J1735" s="11" t="n">
        <v>46217</v>
      </c>
      <c r="K1735" s="11" t="n">
        <v>46253</v>
      </c>
      <c r="L1735" t="inlineStr">
        <is>
          <t>Ok. Devolvida</t>
        </is>
      </c>
      <c r="M1735">
        <f>IF(L1735="","",IFERROR(VLOOKUP(L1735,mapGrupoStatus,2,0),"Outros"))</f>
        <v/>
      </c>
      <c r="N1735">
        <f>IF(O1735="","",IF(O1735&lt;=30,"0-30 dias",IF(O1735&lt;=60,"31-60 dias",IF(O1735&lt;=90,"61-90 dias","Mais de 90 dias"))))</f>
        <v/>
      </c>
      <c r="O1735">
        <f>IF(OR(M1735="Pendente",M1735="Em andamento"),IF(J1735="","",TODAY()-J1735),"")</f>
        <v/>
      </c>
      <c r="P1735" t="n">
        <v>10939</v>
      </c>
      <c r="Q1735" t="inlineStr">
        <is>
          <t>Zero Grau Manutenção (10939)</t>
        </is>
      </c>
      <c r="R1735" t="inlineStr">
        <is>
          <t>PC-0008</t>
        </is>
      </c>
      <c r="S1735" t="inlineStr">
        <is>
          <t>Ventilador modelo 02</t>
        </is>
      </c>
      <c r="T1735" t="n">
        <v>1</v>
      </c>
      <c r="U1735" t="n">
        <v>120</v>
      </c>
      <c r="V1735">
        <f>IF(J1735="","",MONTH(J1735))</f>
        <v/>
      </c>
      <c r="W1735">
        <f>IF(J1735="","",YEAR(J1735))</f>
        <v/>
      </c>
      <c r="X1735" t="inlineStr">
        <is>
          <t>TransNorte</t>
        </is>
      </c>
      <c r="Y1735">
        <f>IFERROR(INDEX(Rastreio!$H$2:$H$200,MATCH(X1735&amp;"|"&amp;U1735,Rastreio!$A$2:$A$200,0)),"")</f>
        <v/>
      </c>
    </row>
    <row r="1736">
      <c r="A1736">
        <f>IFERROR(INDEX(STAs!$G$2:$G$61,MATCH(P1736,STAs!$F$2:$F$61,0))&amp;"","")</f>
        <v/>
      </c>
      <c r="B1736" t="n">
        <v>20020115</v>
      </c>
      <c r="C1736" t="inlineStr">
        <is>
          <t>Não</t>
        </is>
      </c>
      <c r="D1736" t="inlineStr">
        <is>
          <t>MS</t>
        </is>
      </c>
      <c r="E1736" t="inlineStr">
        <is>
          <t>CENTRO OESTE</t>
        </is>
      </c>
      <c r="F1736" t="inlineStr">
        <is>
          <t>Cliente C - Misturador</t>
        </is>
      </c>
      <c r="G1736" t="inlineStr">
        <is>
          <t>Refrigeradores</t>
        </is>
      </c>
      <c r="H1736" s="10" t="n">
        <v>50</v>
      </c>
      <c r="I1736" s="10">
        <f>IFERROR(T1736*H1736,0)</f>
        <v/>
      </c>
      <c r="J1736" s="11" t="n">
        <v>46217</v>
      </c>
      <c r="K1736" s="11" t="n">
        <v>46270</v>
      </c>
      <c r="L1736" t="inlineStr">
        <is>
          <t>Ok. Devolvida</t>
        </is>
      </c>
      <c r="M1736">
        <f>IF(L1736="","",IFERROR(VLOOKUP(L1736,mapGrupoStatus,2,0),"Outros"))</f>
        <v/>
      </c>
      <c r="N1736">
        <f>IF(O1736="","",IF(O1736&lt;=30,"0-30 dias",IF(O1736&lt;=60,"31-60 dias",IF(O1736&lt;=90,"61-90 dias","Mais de 90 dias"))))</f>
        <v/>
      </c>
      <c r="O1736">
        <f>IF(OR(M1736="Pendente",M1736="Em andamento"),IF(J1736="","",TODAY()-J1736),"")</f>
        <v/>
      </c>
      <c r="P1736" t="n">
        <v>11726</v>
      </c>
      <c r="Q1736" t="inlineStr">
        <is>
          <t>Norte Frio Refrigeração (11726)</t>
        </is>
      </c>
      <c r="R1736" t="inlineStr">
        <is>
          <t>PC-0006</t>
        </is>
      </c>
      <c r="S1736" t="inlineStr">
        <is>
          <t>Termostato modelo 03</t>
        </is>
      </c>
      <c r="T1736" t="n">
        <v>1</v>
      </c>
      <c r="U1736" t="n">
        <v>133</v>
      </c>
      <c r="V1736">
        <f>IF(J1736="","",MONTH(J1736))</f>
        <v/>
      </c>
      <c r="W1736">
        <f>IF(J1736="","",YEAR(J1736))</f>
        <v/>
      </c>
      <c r="X1736" t="inlineStr">
        <is>
          <t>LogExpress</t>
        </is>
      </c>
      <c r="Y1736">
        <f>IFERROR(INDEX(Rastreio!$H$2:$H$200,MATCH(X1736&amp;"|"&amp;U1736,Rastreio!$A$2:$A$200,0)),"")</f>
        <v/>
      </c>
    </row>
    <row r="1737">
      <c r="A1737">
        <f>IFERROR(INDEX(STAs!$G$2:$G$61,MATCH(P1737,STAs!$F$2:$F$61,0))&amp;"","")</f>
        <v/>
      </c>
      <c r="B1737" t="n">
        <v>20022881</v>
      </c>
      <c r="C1737" t="inlineStr">
        <is>
          <t>Sim</t>
        </is>
      </c>
      <c r="D1737" t="inlineStr">
        <is>
          <t>PR</t>
        </is>
      </c>
      <c r="E1737" t="inlineStr">
        <is>
          <t>SUL</t>
        </is>
      </c>
      <c r="F1737" t="inlineStr">
        <is>
          <t>Cliente C - Misturador</t>
        </is>
      </c>
      <c r="G1737" t="inlineStr">
        <is>
          <t>Refrigeradores</t>
        </is>
      </c>
      <c r="H1737" s="10" t="n">
        <v>35</v>
      </c>
      <c r="I1737" s="10">
        <f>IFERROR(T1737*H1737,0)</f>
        <v/>
      </c>
      <c r="J1737" s="11" t="n">
        <v>46217</v>
      </c>
      <c r="K1737" s="11" t="n"/>
      <c r="L1737" t="inlineStr">
        <is>
          <t>Em andamento</t>
        </is>
      </c>
      <c r="M1737">
        <f>IF(L1737="","",IFERROR(VLOOKUP(L1737,mapGrupoStatus,2,0),"Outros"))</f>
        <v/>
      </c>
      <c r="N1737">
        <f>IF(O1737="","",IF(O1737&lt;=30,"0-30 dias",IF(O1737&lt;=60,"31-60 dias",IF(O1737&lt;=90,"61-90 dias","Mais de 90 dias"))))</f>
        <v/>
      </c>
      <c r="O1737">
        <f>IF(OR(M1737="Pendente",M1737="Em andamento"),IF(J1737="","",TODAY()-J1737),"")</f>
        <v/>
      </c>
      <c r="P1737" t="n">
        <v>10753</v>
      </c>
      <c r="Q1737" t="inlineStr">
        <is>
          <t>Refrigel &amp; Cia (10753)</t>
        </is>
      </c>
      <c r="R1737" t="inlineStr">
        <is>
          <t>PC-0024</t>
        </is>
      </c>
      <c r="S1737" t="inlineStr">
        <is>
          <t>Relé de partida modelo 02</t>
        </is>
      </c>
      <c r="T1737" t="n">
        <v>1</v>
      </c>
      <c r="U1737" t="n">
        <v>138</v>
      </c>
      <c r="V1737">
        <f>IF(J1737="","",MONTH(J1737))</f>
        <v/>
      </c>
      <c r="W1737">
        <f>IF(J1737="","",YEAR(J1737))</f>
        <v/>
      </c>
      <c r="X1737" t="inlineStr">
        <is>
          <t>RotaSul</t>
        </is>
      </c>
      <c r="Y1737">
        <f>IFERROR(INDEX(Rastreio!$H$2:$H$200,MATCH(X1737&amp;"|"&amp;U1737,Rastreio!$A$2:$A$200,0)),"")</f>
        <v/>
      </c>
    </row>
    <row r="1738">
      <c r="A1738">
        <f>IFERROR(INDEX(STAs!$G$2:$G$61,MATCH(P1738,STAs!$F$2:$F$61,0))&amp;"","")</f>
        <v/>
      </c>
      <c r="B1738" t="n">
        <v>20016150</v>
      </c>
      <c r="C1738" t="inlineStr">
        <is>
          <t>Não</t>
        </is>
      </c>
      <c r="D1738" t="inlineStr">
        <is>
          <t>SP</t>
        </is>
      </c>
      <c r="E1738" t="inlineStr">
        <is>
          <t>SUDESTE SP</t>
        </is>
      </c>
      <c r="F1738" t="inlineStr">
        <is>
          <t>Cliente A - Refrigerador</t>
        </is>
      </c>
      <c r="G1738" t="inlineStr">
        <is>
          <t>Refrigeradores</t>
        </is>
      </c>
      <c r="H1738" s="10" t="n">
        <v>45</v>
      </c>
      <c r="I1738" s="10">
        <f>IFERROR(T1738*H1738,0)</f>
        <v/>
      </c>
      <c r="J1738" s="11" t="n">
        <v>46218</v>
      </c>
      <c r="K1738" s="11" t="n">
        <v>46266</v>
      </c>
      <c r="L1738" t="inlineStr">
        <is>
          <t>Ok. Devolvida</t>
        </is>
      </c>
      <c r="M1738">
        <f>IF(L1738="","",IFERROR(VLOOKUP(L1738,mapGrupoStatus,2,0),"Outros"))</f>
        <v/>
      </c>
      <c r="N1738">
        <f>IF(O1738="","",IF(O1738&lt;=30,"0-30 dias",IF(O1738&lt;=60,"31-60 dias",IF(O1738&lt;=90,"61-90 dias","Mais de 90 dias"))))</f>
        <v/>
      </c>
      <c r="O1738">
        <f>IF(OR(M1738="Pendente",M1738="Em andamento"),IF(J1738="","",TODAY()-J1738),"")</f>
        <v/>
      </c>
      <c r="P1738" t="n">
        <v>11710</v>
      </c>
      <c r="Q1738" t="inlineStr">
        <is>
          <t>Brisa &amp; Cia (11710)</t>
        </is>
      </c>
      <c r="R1738" t="inlineStr">
        <is>
          <t>PC-0019</t>
        </is>
      </c>
      <c r="S1738" t="inlineStr">
        <is>
          <t>Gaxeta da porta modelo 02</t>
        </is>
      </c>
      <c r="T1738" t="n">
        <v>1</v>
      </c>
      <c r="U1738" t="n">
        <v>127</v>
      </c>
      <c r="V1738">
        <f>IF(J1738="","",MONTH(J1738))</f>
        <v/>
      </c>
      <c r="W1738">
        <f>IF(J1738="","",YEAR(J1738))</f>
        <v/>
      </c>
      <c r="X1738" t="inlineStr">
        <is>
          <t>EntregaJá</t>
        </is>
      </c>
      <c r="Y1738">
        <f>IFERROR(INDEX(Rastreio!$H$2:$H$200,MATCH(X1738&amp;"|"&amp;U1738,Rastreio!$A$2:$A$200,0)),"")</f>
        <v/>
      </c>
    </row>
    <row r="1739">
      <c r="A1739">
        <f>IFERROR(INDEX(STAs!$G$2:$G$61,MATCH(P1739,STAs!$F$2:$F$61,0))&amp;"","")</f>
        <v/>
      </c>
      <c r="B1739" t="n">
        <v>20022240</v>
      </c>
      <c r="C1739" t="inlineStr">
        <is>
          <t>Não</t>
        </is>
      </c>
      <c r="D1739" t="inlineStr">
        <is>
          <t>BA</t>
        </is>
      </c>
      <c r="E1739" t="inlineStr">
        <is>
          <t>NORDESTE</t>
        </is>
      </c>
      <c r="F1739" t="inlineStr">
        <is>
          <t>Cliente A - Refrigerador</t>
        </is>
      </c>
      <c r="G1739" t="inlineStr">
        <is>
          <t>Chopeiras</t>
        </is>
      </c>
      <c r="H1739" s="10" t="n">
        <v>85</v>
      </c>
      <c r="I1739" s="10">
        <f>IFERROR(T1739*H1739,0)</f>
        <v/>
      </c>
      <c r="J1739" s="11" t="n">
        <v>46218</v>
      </c>
      <c r="K1739" s="11" t="n">
        <v>46231</v>
      </c>
      <c r="L1739" t="inlineStr">
        <is>
          <t>Ok. Devolvida</t>
        </is>
      </c>
      <c r="M1739">
        <f>IF(L1739="","",IFERROR(VLOOKUP(L1739,mapGrupoStatus,2,0),"Outros"))</f>
        <v/>
      </c>
      <c r="N1739">
        <f>IF(O1739="","",IF(O1739&lt;=30,"0-30 dias",IF(O1739&lt;=60,"31-60 dias",IF(O1739&lt;=90,"61-90 dias","Mais de 90 dias"))))</f>
        <v/>
      </c>
      <c r="O1739">
        <f>IF(OR(M1739="Pendente",M1739="Em andamento"),IF(J1739="","",TODAY()-J1739),"")</f>
        <v/>
      </c>
      <c r="P1739" t="n">
        <v>12194</v>
      </c>
      <c r="Q1739" t="inlineStr">
        <is>
          <t>Polar &amp; Cia (12194)</t>
        </is>
      </c>
      <c r="R1739" t="inlineStr">
        <is>
          <t>PC-0028</t>
        </is>
      </c>
      <c r="S1739" t="inlineStr">
        <is>
          <t>Torneira de chopp modelo 03</t>
        </is>
      </c>
      <c r="T1739" t="n">
        <v>1</v>
      </c>
      <c r="U1739" t="n">
        <v>137</v>
      </c>
      <c r="V1739">
        <f>IF(J1739="","",MONTH(J1739))</f>
        <v/>
      </c>
      <c r="W1739">
        <f>IF(J1739="","",YEAR(J1739))</f>
        <v/>
      </c>
      <c r="X1739" t="inlineStr">
        <is>
          <t>ViaCargo</t>
        </is>
      </c>
      <c r="Y1739">
        <f>IFERROR(INDEX(Rastreio!$H$2:$H$200,MATCH(X1739&amp;"|"&amp;U1739,Rastreio!$A$2:$A$200,0)),"")</f>
        <v/>
      </c>
    </row>
    <row r="1740">
      <c r="A1740">
        <f>IFERROR(INDEX(STAs!$G$2:$G$61,MATCH(P1740,STAs!$F$2:$F$61,0))&amp;"","")</f>
        <v/>
      </c>
      <c r="B1740" t="n">
        <v>20031865</v>
      </c>
      <c r="C1740" t="inlineStr">
        <is>
          <t>Não</t>
        </is>
      </c>
      <c r="D1740" t="inlineStr">
        <is>
          <t>RJ</t>
        </is>
      </c>
      <c r="E1740" t="inlineStr">
        <is>
          <t>SUDESTE RJ e ES</t>
        </is>
      </c>
      <c r="F1740" t="inlineStr">
        <is>
          <t>Cliente B - Chopeira</t>
        </is>
      </c>
      <c r="G1740" t="inlineStr">
        <is>
          <t>Refrigeradores</t>
        </is>
      </c>
      <c r="H1740" s="10" t="n">
        <v>70</v>
      </c>
      <c r="I1740" s="10">
        <f>IFERROR(T1740*H1740,0)</f>
        <v/>
      </c>
      <c r="J1740" s="11" t="n">
        <v>46218</v>
      </c>
      <c r="K1740" s="11" t="n">
        <v>46228</v>
      </c>
      <c r="L1740" t="inlineStr">
        <is>
          <t>Ok. Devolvida</t>
        </is>
      </c>
      <c r="M1740">
        <f>IF(L1740="","",IFERROR(VLOOKUP(L1740,mapGrupoStatus,2,0),"Outros"))</f>
        <v/>
      </c>
      <c r="N1740">
        <f>IF(O1740="","",IF(O1740&lt;=30,"0-30 dias",IF(O1740&lt;=60,"31-60 dias",IF(O1740&lt;=90,"61-90 dias","Mais de 90 dias"))))</f>
        <v/>
      </c>
      <c r="O1740">
        <f>IF(OR(M1740="Pendente",M1740="Em andamento"),IF(J1740="","",TODAY()-J1740),"")</f>
        <v/>
      </c>
      <c r="P1740" t="n">
        <v>10676</v>
      </c>
      <c r="Q1740" t="inlineStr">
        <is>
          <t>Clima Serviços (10676)</t>
        </is>
      </c>
      <c r="R1740" t="inlineStr">
        <is>
          <t>PC-0009</t>
        </is>
      </c>
      <c r="S1740" t="inlineStr">
        <is>
          <t>Ventilador modelo 03</t>
        </is>
      </c>
      <c r="T1740" t="n">
        <v>2</v>
      </c>
      <c r="U1740" t="n">
        <v>156</v>
      </c>
      <c r="V1740">
        <f>IF(J1740="","",MONTH(J1740))</f>
        <v/>
      </c>
      <c r="W1740">
        <f>IF(J1740="","",YEAR(J1740))</f>
        <v/>
      </c>
      <c r="X1740" t="inlineStr">
        <is>
          <t>CargoMax</t>
        </is>
      </c>
      <c r="Y1740">
        <f>IFERROR(INDEX(Rastreio!$H$2:$H$200,MATCH(X1740&amp;"|"&amp;U1740,Rastreio!$A$2:$A$200,0)),"")</f>
        <v/>
      </c>
    </row>
    <row r="1741">
      <c r="A1741">
        <f>IFERROR(INDEX(STAs!$G$2:$G$61,MATCH(P1741,STAs!$F$2:$F$61,0))&amp;"","")</f>
        <v/>
      </c>
      <c r="B1741" t="n">
        <v>20036360</v>
      </c>
      <c r="C1741" t="inlineStr">
        <is>
          <t>Não</t>
        </is>
      </c>
      <c r="D1741" t="inlineStr">
        <is>
          <t>BA</t>
        </is>
      </c>
      <c r="E1741" t="inlineStr">
        <is>
          <t>NORDESTE</t>
        </is>
      </c>
      <c r="F1741" t="inlineStr">
        <is>
          <t>Cliente B - Chopeira</t>
        </is>
      </c>
      <c r="G1741" t="inlineStr">
        <is>
          <t>Refrigeradores</t>
        </is>
      </c>
      <c r="H1741" s="10" t="n">
        <v>35</v>
      </c>
      <c r="I1741" s="10">
        <f>IFERROR(T1741*H1741,0)</f>
        <v/>
      </c>
      <c r="J1741" s="11" t="n">
        <v>46218</v>
      </c>
      <c r="K1741" s="11" t="n"/>
      <c r="L1741" t="inlineStr">
        <is>
          <t>Aguardando devolução</t>
        </is>
      </c>
      <c r="M1741">
        <f>IF(L1741="","",IFERROR(VLOOKUP(L1741,mapGrupoStatus,2,0),"Outros"))</f>
        <v/>
      </c>
      <c r="N1741">
        <f>IF(O1741="","",IF(O1741&lt;=30,"0-30 dias",IF(O1741&lt;=60,"31-60 dias",IF(O1741&lt;=90,"61-90 dias","Mais de 90 dias"))))</f>
        <v/>
      </c>
      <c r="O1741">
        <f>IF(OR(M1741="Pendente",M1741="Em andamento"),IF(J1741="","",TODAY()-J1741),"")</f>
        <v/>
      </c>
      <c r="P1741" t="n">
        <v>11538</v>
      </c>
      <c r="Q1741" t="inlineStr">
        <is>
          <t>Clima Manutenção (11538)</t>
        </is>
      </c>
      <c r="R1741" t="inlineStr">
        <is>
          <t>PC-0023</t>
        </is>
      </c>
      <c r="S1741" t="inlineStr">
        <is>
          <t>Relé de partida modelo 01</t>
        </is>
      </c>
      <c r="T1741" t="n">
        <v>1</v>
      </c>
      <c r="U1741" t="inlineStr"/>
      <c r="V1741">
        <f>IF(J1741="","",MONTH(J1741))</f>
        <v/>
      </c>
      <c r="W1741">
        <f>IF(J1741="","",YEAR(J1741))</f>
        <v/>
      </c>
      <c r="X1741" t="inlineStr"/>
      <c r="Y1741">
        <f>IFERROR(INDEX(Rastreio!$H$2:$H$200,MATCH(X1741&amp;"|"&amp;U1741,Rastreio!$A$2:$A$200,0)),"")</f>
        <v/>
      </c>
    </row>
    <row r="1742">
      <c r="A1742">
        <f>IFERROR(INDEX(STAs!$G$2:$G$61,MATCH(P1742,STAs!$F$2:$F$61,0))&amp;"","")</f>
        <v/>
      </c>
      <c r="B1742" t="n">
        <v>20037316</v>
      </c>
      <c r="C1742" t="inlineStr">
        <is>
          <t>Não</t>
        </is>
      </c>
      <c r="D1742" t="inlineStr">
        <is>
          <t>GO</t>
        </is>
      </c>
      <c r="E1742" t="inlineStr">
        <is>
          <t>CENTRO OESTE</t>
        </is>
      </c>
      <c r="F1742" t="inlineStr">
        <is>
          <t>Cliente B - Chopeira</t>
        </is>
      </c>
      <c r="G1742" t="inlineStr">
        <is>
          <t>Refrigeradores</t>
        </is>
      </c>
      <c r="H1742" s="10" t="n">
        <v>325</v>
      </c>
      <c r="I1742" s="10">
        <f>IFERROR(T1742*H1742,0)</f>
        <v/>
      </c>
      <c r="J1742" s="11" t="n">
        <v>46218</v>
      </c>
      <c r="K1742" s="11" t="n">
        <v>46223</v>
      </c>
      <c r="L1742" t="inlineStr">
        <is>
          <t>Ok. Devolvida</t>
        </is>
      </c>
      <c r="M1742">
        <f>IF(L1742="","",IFERROR(VLOOKUP(L1742,mapGrupoStatus,2,0),"Outros"))</f>
        <v/>
      </c>
      <c r="N1742">
        <f>IF(O1742="","",IF(O1742&lt;=30,"0-30 dias",IF(O1742&lt;=60,"31-60 dias",IF(O1742&lt;=90,"61-90 dias","Mais de 90 dias"))))</f>
        <v/>
      </c>
      <c r="O1742">
        <f>IF(OR(M1742="Pendente",M1742="Em andamento"),IF(J1742="","",TODAY()-J1742),"")</f>
        <v/>
      </c>
      <c r="P1742" t="n">
        <v>10317</v>
      </c>
      <c r="Q1742" t="inlineStr">
        <is>
          <t>Termotec Manutenção (10317)</t>
        </is>
      </c>
      <c r="R1742" t="inlineStr">
        <is>
          <t>PC-0001</t>
        </is>
      </c>
      <c r="S1742" t="inlineStr">
        <is>
          <t>Compressor modelo 01</t>
        </is>
      </c>
      <c r="T1742" t="n">
        <v>1</v>
      </c>
      <c r="U1742" t="n">
        <v>158</v>
      </c>
      <c r="V1742">
        <f>IF(J1742="","",MONTH(J1742))</f>
        <v/>
      </c>
      <c r="W1742">
        <f>IF(J1742="","",YEAR(J1742))</f>
        <v/>
      </c>
      <c r="X1742" t="inlineStr">
        <is>
          <t>ViaCargo</t>
        </is>
      </c>
      <c r="Y1742">
        <f>IFERROR(INDEX(Rastreio!$H$2:$H$200,MATCH(X1742&amp;"|"&amp;U1742,Rastreio!$A$2:$A$200,0)),"")</f>
        <v/>
      </c>
    </row>
    <row r="1743">
      <c r="A1743">
        <f>IFERROR(INDEX(STAs!$G$2:$G$61,MATCH(P1743,STAs!$F$2:$F$61,0))&amp;"","")</f>
        <v/>
      </c>
      <c r="B1743" t="n">
        <v>20014005</v>
      </c>
      <c r="C1743" t="inlineStr">
        <is>
          <t>Sim</t>
        </is>
      </c>
      <c r="D1743" t="inlineStr">
        <is>
          <t>PR</t>
        </is>
      </c>
      <c r="E1743" t="inlineStr">
        <is>
          <t>SUL</t>
        </is>
      </c>
      <c r="F1743" t="inlineStr">
        <is>
          <t>Cliente B - Chopeira</t>
        </is>
      </c>
      <c r="G1743" t="inlineStr">
        <is>
          <t>Refrigeradores</t>
        </is>
      </c>
      <c r="H1743" s="10" t="n">
        <v>55</v>
      </c>
      <c r="I1743" s="10">
        <f>IFERROR(T1743*H1743,0)</f>
        <v/>
      </c>
      <c r="J1743" s="11" t="n">
        <v>46219</v>
      </c>
      <c r="K1743" s="11" t="n"/>
      <c r="L1743" t="inlineStr">
        <is>
          <t>Em transporte</t>
        </is>
      </c>
      <c r="M1743">
        <f>IF(L1743="","",IFERROR(VLOOKUP(L1743,mapGrupoStatus,2,0),"Outros"))</f>
        <v/>
      </c>
      <c r="N1743">
        <f>IF(O1743="","",IF(O1743&lt;=30,"0-30 dias",IF(O1743&lt;=60,"31-60 dias",IF(O1743&lt;=90,"61-90 dias","Mais de 90 dias"))))</f>
        <v/>
      </c>
      <c r="O1743">
        <f>IF(OR(M1743="Pendente",M1743="Em andamento"),IF(J1743="","",TODAY()-J1743),"")</f>
        <v/>
      </c>
      <c r="P1743" t="n">
        <v>10913</v>
      </c>
      <c r="Q1743" t="inlineStr">
        <is>
          <t>Ice Tech &amp; Cia (10913)</t>
        </is>
      </c>
      <c r="R1743" t="inlineStr">
        <is>
          <t>PC-0008</t>
        </is>
      </c>
      <c r="S1743" t="inlineStr">
        <is>
          <t>Ventilador modelo 02</t>
        </is>
      </c>
      <c r="T1743" t="n">
        <v>1</v>
      </c>
      <c r="U1743" t="n">
        <v>126</v>
      </c>
      <c r="V1743">
        <f>IF(J1743="","",MONTH(J1743))</f>
        <v/>
      </c>
      <c r="W1743">
        <f>IF(J1743="","",YEAR(J1743))</f>
        <v/>
      </c>
      <c r="X1743" t="inlineStr">
        <is>
          <t>LogExpress</t>
        </is>
      </c>
      <c r="Y1743">
        <f>IFERROR(INDEX(Rastreio!$H$2:$H$200,MATCH(X1743&amp;"|"&amp;U1743,Rastreio!$A$2:$A$200,0)),"")</f>
        <v/>
      </c>
    </row>
    <row r="1744">
      <c r="A1744">
        <f>IFERROR(INDEX(STAs!$G$2:$G$61,MATCH(P1744,STAs!$F$2:$F$61,0))&amp;"","")</f>
        <v/>
      </c>
      <c r="B1744" t="n">
        <v>20034906</v>
      </c>
      <c r="C1744" t="inlineStr">
        <is>
          <t>Não</t>
        </is>
      </c>
      <c r="D1744" t="inlineStr">
        <is>
          <t>MG</t>
        </is>
      </c>
      <c r="E1744" t="inlineStr">
        <is>
          <t>SUDESTE MG</t>
        </is>
      </c>
      <c r="F1744" t="inlineStr">
        <is>
          <t>Cliente B - Chopeira</t>
        </is>
      </c>
      <c r="G1744" t="inlineStr">
        <is>
          <t>Chopeiras</t>
        </is>
      </c>
      <c r="H1744" s="10" t="n">
        <v>210</v>
      </c>
      <c r="I1744" s="10">
        <f>IFERROR(T1744*H1744,0)</f>
        <v/>
      </c>
      <c r="J1744" s="11" t="n">
        <v>46219</v>
      </c>
      <c r="K1744" s="11" t="n">
        <v>46258</v>
      </c>
      <c r="L1744" t="inlineStr">
        <is>
          <t>Ok. Devolvida</t>
        </is>
      </c>
      <c r="M1744">
        <f>IF(L1744="","",IFERROR(VLOOKUP(L1744,mapGrupoStatus,2,0),"Outros"))</f>
        <v/>
      </c>
      <c r="N1744">
        <f>IF(O1744="","",IF(O1744&lt;=30,"0-30 dias",IF(O1744&lt;=60,"31-60 dias",IF(O1744&lt;=90,"61-90 dias","Mais de 90 dias"))))</f>
        <v/>
      </c>
      <c r="O1744">
        <f>IF(OR(M1744="Pendente",M1744="Em andamento"),IF(J1744="","",TODAY()-J1744),"")</f>
        <v/>
      </c>
      <c r="P1744" t="n">
        <v>12470</v>
      </c>
      <c r="Q1744" t="inlineStr">
        <is>
          <t>Cool Service Técnica (12470)</t>
        </is>
      </c>
      <c r="R1744" t="inlineStr">
        <is>
          <t>PC-0029</t>
        </is>
      </c>
      <c r="S1744" t="inlineStr">
        <is>
          <t>Serpentina modelo 01</t>
        </is>
      </c>
      <c r="T1744" t="n">
        <v>2</v>
      </c>
      <c r="U1744" t="n">
        <v>162</v>
      </c>
      <c r="V1744">
        <f>IF(J1744="","",MONTH(J1744))</f>
        <v/>
      </c>
      <c r="W1744">
        <f>IF(J1744="","",YEAR(J1744))</f>
        <v/>
      </c>
      <c r="X1744" t="inlineStr">
        <is>
          <t>LogExpress</t>
        </is>
      </c>
      <c r="Y1744">
        <f>IFERROR(INDEX(Rastreio!$H$2:$H$200,MATCH(X1744&amp;"|"&amp;U1744,Rastreio!$A$2:$A$200,0)),"")</f>
        <v/>
      </c>
    </row>
    <row r="1745">
      <c r="A1745">
        <f>IFERROR(INDEX(STAs!$G$2:$G$61,MATCH(P1745,STAs!$F$2:$F$61,0))&amp;"","")</f>
        <v/>
      </c>
      <c r="B1745" t="n">
        <v>20001695</v>
      </c>
      <c r="C1745" t="inlineStr">
        <is>
          <t>Não</t>
        </is>
      </c>
      <c r="D1745" t="inlineStr">
        <is>
          <t>MT</t>
        </is>
      </c>
      <c r="E1745" t="inlineStr">
        <is>
          <t>CENTRO OESTE</t>
        </is>
      </c>
      <c r="F1745" t="inlineStr">
        <is>
          <t>Cliente B - Chopeira</t>
        </is>
      </c>
      <c r="G1745" t="inlineStr">
        <is>
          <t>Refrigeradores</t>
        </is>
      </c>
      <c r="H1745" s="10" t="n">
        <v>70</v>
      </c>
      <c r="I1745" s="10">
        <f>IFERROR(T1745*H1745,0)</f>
        <v/>
      </c>
      <c r="J1745" s="11" t="n">
        <v>46220</v>
      </c>
      <c r="K1745" s="11" t="n"/>
      <c r="L1745" t="inlineStr">
        <is>
          <t>Em andamento</t>
        </is>
      </c>
      <c r="M1745">
        <f>IF(L1745="","",IFERROR(VLOOKUP(L1745,mapGrupoStatus,2,0),"Outros"))</f>
        <v/>
      </c>
      <c r="N1745">
        <f>IF(O1745="","",IF(O1745&lt;=30,"0-30 dias",IF(O1745&lt;=60,"31-60 dias",IF(O1745&lt;=90,"61-90 dias","Mais de 90 dias"))))</f>
        <v/>
      </c>
      <c r="O1745">
        <f>IF(OR(M1745="Pendente",M1745="Em andamento"),IF(J1745="","",TODAY()-J1745),"")</f>
        <v/>
      </c>
      <c r="P1745" t="n">
        <v>10227</v>
      </c>
      <c r="Q1745" t="inlineStr">
        <is>
          <t>Assistência Técnica ME (10227)</t>
        </is>
      </c>
      <c r="R1745" t="inlineStr">
        <is>
          <t>PC-0009</t>
        </is>
      </c>
      <c r="S1745" t="inlineStr">
        <is>
          <t>Ventilador modelo 03</t>
        </is>
      </c>
      <c r="T1745" t="n">
        <v>3</v>
      </c>
      <c r="U1745" t="n">
        <v>100</v>
      </c>
      <c r="V1745">
        <f>IF(J1745="","",MONTH(J1745))</f>
        <v/>
      </c>
      <c r="W1745">
        <f>IF(J1745="","",YEAR(J1745))</f>
        <v/>
      </c>
      <c r="X1745" t="inlineStr">
        <is>
          <t>CargoMax</t>
        </is>
      </c>
      <c r="Y1745">
        <f>IFERROR(INDEX(Rastreio!$H$2:$H$200,MATCH(X1745&amp;"|"&amp;U1745,Rastreio!$A$2:$A$200,0)),"")</f>
        <v/>
      </c>
    </row>
    <row r="1746">
      <c r="A1746">
        <f>IFERROR(INDEX(STAs!$G$2:$G$61,MATCH(P1746,STAs!$F$2:$F$61,0))&amp;"","")</f>
        <v/>
      </c>
      <c r="B1746" t="n">
        <v>20008264</v>
      </c>
      <c r="C1746" t="inlineStr">
        <is>
          <t>Não</t>
        </is>
      </c>
      <c r="D1746" t="inlineStr">
        <is>
          <t>MG</t>
        </is>
      </c>
      <c r="E1746" t="inlineStr">
        <is>
          <t>SUDESTE MG</t>
        </is>
      </c>
      <c r="F1746" t="inlineStr">
        <is>
          <t>Cliente C - Misturador</t>
        </is>
      </c>
      <c r="G1746" t="inlineStr">
        <is>
          <t>Refrigeradores</t>
        </is>
      </c>
      <c r="H1746" s="10" t="n">
        <v>35</v>
      </c>
      <c r="I1746" s="10">
        <f>IFERROR(T1746*H1746,0)</f>
        <v/>
      </c>
      <c r="J1746" s="11" t="n">
        <v>46220</v>
      </c>
      <c r="K1746" s="11" t="n">
        <v>46231</v>
      </c>
      <c r="L1746" t="inlineStr">
        <is>
          <t>Ok. Devolvida</t>
        </is>
      </c>
      <c r="M1746">
        <f>IF(L1746="","",IFERROR(VLOOKUP(L1746,mapGrupoStatus,2,0),"Outros"))</f>
        <v/>
      </c>
      <c r="N1746">
        <f>IF(O1746="","",IF(O1746&lt;=30,"0-30 dias",IF(O1746&lt;=60,"31-60 dias",IF(O1746&lt;=90,"61-90 dias","Mais de 90 dias"))))</f>
        <v/>
      </c>
      <c r="O1746">
        <f>IF(OR(M1746="Pendente",M1746="Em andamento"),IF(J1746="","",TODAY()-J1746),"")</f>
        <v/>
      </c>
      <c r="P1746" t="n">
        <v>11487</v>
      </c>
      <c r="Q1746" t="inlineStr">
        <is>
          <t>Assistência Técnica Manutenção (11487)</t>
        </is>
      </c>
      <c r="R1746" t="inlineStr">
        <is>
          <t>PC-0020</t>
        </is>
      </c>
      <c r="S1746" t="inlineStr">
        <is>
          <t>Gaxeta da porta modelo 03</t>
        </is>
      </c>
      <c r="T1746" t="n">
        <v>3</v>
      </c>
      <c r="U1746" t="n">
        <v>114</v>
      </c>
      <c r="V1746">
        <f>IF(J1746="","",MONTH(J1746))</f>
        <v/>
      </c>
      <c r="W1746">
        <f>IF(J1746="","",YEAR(J1746))</f>
        <v/>
      </c>
      <c r="X1746" t="inlineStr">
        <is>
          <t>LogExpress</t>
        </is>
      </c>
      <c r="Y1746">
        <f>IFERROR(INDEX(Rastreio!$H$2:$H$200,MATCH(X1746&amp;"|"&amp;U1746,Rastreio!$A$2:$A$200,0)),"")</f>
        <v/>
      </c>
    </row>
    <row r="1747">
      <c r="A1747">
        <f>IFERROR(INDEX(STAs!$G$2:$G$61,MATCH(P1747,STAs!$F$2:$F$61,0))&amp;"","")</f>
        <v/>
      </c>
      <c r="B1747" t="n">
        <v>20014439</v>
      </c>
      <c r="C1747" t="inlineStr">
        <is>
          <t>Não</t>
        </is>
      </c>
      <c r="D1747" t="inlineStr">
        <is>
          <t>PR</t>
        </is>
      </c>
      <c r="E1747" t="inlineStr">
        <is>
          <t>SUL</t>
        </is>
      </c>
      <c r="F1747" t="inlineStr">
        <is>
          <t>Cliente B - Chopeira</t>
        </is>
      </c>
      <c r="G1747" t="inlineStr">
        <is>
          <t>Misturadores</t>
        </is>
      </c>
      <c r="H1747" s="10" t="n">
        <v>255</v>
      </c>
      <c r="I1747" s="10">
        <f>IFERROR(T1747*H1747,0)</f>
        <v/>
      </c>
      <c r="J1747" s="11" t="n">
        <v>46220</v>
      </c>
      <c r="K1747" s="11" t="n">
        <v>46257</v>
      </c>
      <c r="L1747" t="inlineStr">
        <is>
          <t>Ok. Devolvida</t>
        </is>
      </c>
      <c r="M1747">
        <f>IF(L1747="","",IFERROR(VLOOKUP(L1747,mapGrupoStatus,2,0),"Outros"))</f>
        <v/>
      </c>
      <c r="N1747">
        <f>IF(O1747="","",IF(O1747&lt;=30,"0-30 dias",IF(O1747&lt;=60,"31-60 dias",IF(O1747&lt;=90,"61-90 dias","Mais de 90 dias"))))</f>
        <v/>
      </c>
      <c r="O1747">
        <f>IF(OR(M1747="Pendente",M1747="Em andamento"),IF(J1747="","",TODAY()-J1747),"")</f>
        <v/>
      </c>
      <c r="P1747" t="n">
        <v>12089</v>
      </c>
      <c r="Q1747" t="inlineStr">
        <is>
          <t>Termotec Serviços (12089)</t>
        </is>
      </c>
      <c r="R1747" t="inlineStr">
        <is>
          <t>PC-0039</t>
        </is>
      </c>
      <c r="S1747" t="inlineStr">
        <is>
          <t>Bomba de recirculação modelo 03</t>
        </is>
      </c>
      <c r="T1747" t="n">
        <v>1</v>
      </c>
      <c r="U1747" t="n">
        <v>121</v>
      </c>
      <c r="V1747">
        <f>IF(J1747="","",MONTH(J1747))</f>
        <v/>
      </c>
      <c r="W1747">
        <f>IF(J1747="","",YEAR(J1747))</f>
        <v/>
      </c>
      <c r="X1747" t="inlineStr">
        <is>
          <t>RotaSul</t>
        </is>
      </c>
      <c r="Y1747">
        <f>IFERROR(INDEX(Rastreio!$H$2:$H$200,MATCH(X1747&amp;"|"&amp;U1747,Rastreio!$A$2:$A$200,0)),"")</f>
        <v/>
      </c>
    </row>
    <row r="1748">
      <c r="A1748">
        <f>IFERROR(INDEX(STAs!$G$2:$G$61,MATCH(P1748,STAs!$F$2:$F$61,0))&amp;"","")</f>
        <v/>
      </c>
      <c r="B1748" t="n">
        <v>20031685</v>
      </c>
      <c r="C1748" t="inlineStr">
        <is>
          <t>Não</t>
        </is>
      </c>
      <c r="D1748" t="inlineStr">
        <is>
          <t>MG</t>
        </is>
      </c>
      <c r="E1748" t="inlineStr">
        <is>
          <t>SUDESTE MG</t>
        </is>
      </c>
      <c r="F1748" t="inlineStr">
        <is>
          <t>Cliente B - Chopeira</t>
        </is>
      </c>
      <c r="G1748" t="inlineStr">
        <is>
          <t>Refrigeradores</t>
        </is>
      </c>
      <c r="H1748" s="10" t="n">
        <v>315</v>
      </c>
      <c r="I1748" s="10">
        <f>IFERROR(T1748*H1748,0)</f>
        <v/>
      </c>
      <c r="J1748" s="11" t="n">
        <v>46220</v>
      </c>
      <c r="K1748" s="11" t="n"/>
      <c r="L1748" t="inlineStr">
        <is>
          <t>Em transporte</t>
        </is>
      </c>
      <c r="M1748">
        <f>IF(L1748="","",IFERROR(VLOOKUP(L1748,mapGrupoStatus,2,0),"Outros"))</f>
        <v/>
      </c>
      <c r="N1748">
        <f>IF(O1748="","",IF(O1748&lt;=30,"0-30 dias",IF(O1748&lt;=60,"31-60 dias",IF(O1748&lt;=90,"61-90 dias","Mais de 90 dias"))))</f>
        <v/>
      </c>
      <c r="O1748">
        <f>IF(OR(M1748="Pendente",M1748="Em andamento"),IF(J1748="","",TODAY()-J1748),"")</f>
        <v/>
      </c>
      <c r="P1748" t="n">
        <v>11487</v>
      </c>
      <c r="Q1748" t="inlineStr">
        <is>
          <t>Assistência Técnica Manutenção (11487)</t>
        </is>
      </c>
      <c r="R1748" t="inlineStr">
        <is>
          <t>PC-0002</t>
        </is>
      </c>
      <c r="S1748" t="inlineStr">
        <is>
          <t>Compressor modelo 02</t>
        </is>
      </c>
      <c r="T1748" t="n">
        <v>1</v>
      </c>
      <c r="U1748" t="n">
        <v>155</v>
      </c>
      <c r="V1748">
        <f>IF(J1748="","",MONTH(J1748))</f>
        <v/>
      </c>
      <c r="W1748">
        <f>IF(J1748="","",YEAR(J1748))</f>
        <v/>
      </c>
      <c r="X1748" t="inlineStr">
        <is>
          <t>CargoMax</t>
        </is>
      </c>
      <c r="Y1748">
        <f>IFERROR(INDEX(Rastreio!$H$2:$H$200,MATCH(X1748&amp;"|"&amp;U1748,Rastreio!$A$2:$A$200,0)),"")</f>
        <v/>
      </c>
    </row>
    <row r="1749">
      <c r="A1749">
        <f>IFERROR(INDEX(STAs!$G$2:$G$61,MATCH(P1749,STAs!$F$2:$F$61,0))&amp;"","")</f>
        <v/>
      </c>
      <c r="B1749" t="n">
        <v>20000528</v>
      </c>
      <c r="C1749" t="inlineStr">
        <is>
          <t>Não</t>
        </is>
      </c>
      <c r="D1749" t="inlineStr">
        <is>
          <t>BA</t>
        </is>
      </c>
      <c r="E1749" t="inlineStr">
        <is>
          <t>NORDESTE</t>
        </is>
      </c>
      <c r="F1749" t="inlineStr">
        <is>
          <t>Cliente A - Refrigerador</t>
        </is>
      </c>
      <c r="G1749" t="inlineStr">
        <is>
          <t>Refrigeradores</t>
        </is>
      </c>
      <c r="H1749" s="10" t="n">
        <v>55</v>
      </c>
      <c r="I1749" s="10">
        <f>IFERROR(T1749*H1749,0)</f>
        <v/>
      </c>
      <c r="J1749" s="11" t="n">
        <v>46221</v>
      </c>
      <c r="K1749" s="11" t="n">
        <v>46268</v>
      </c>
      <c r="L1749" t="inlineStr">
        <is>
          <t>Ok. Devolvida</t>
        </is>
      </c>
      <c r="M1749">
        <f>IF(L1749="","",IFERROR(VLOOKUP(L1749,mapGrupoStatus,2,0),"Outros"))</f>
        <v/>
      </c>
      <c r="N1749">
        <f>IF(O1749="","",IF(O1749&lt;=30,"0-30 dias",IF(O1749&lt;=60,"31-60 dias",IF(O1749&lt;=90,"61-90 dias","Mais de 90 dias"))))</f>
        <v/>
      </c>
      <c r="O1749">
        <f>IF(OR(M1749="Pendente",M1749="Em andamento"),IF(J1749="","",TODAY()-J1749),"")</f>
        <v/>
      </c>
      <c r="P1749" t="n">
        <v>12194</v>
      </c>
      <c r="Q1749" t="inlineStr">
        <is>
          <t>Polar &amp; Cia (12194)</t>
        </is>
      </c>
      <c r="R1749" t="inlineStr">
        <is>
          <t>PC-0007</t>
        </is>
      </c>
      <c r="S1749" t="inlineStr">
        <is>
          <t>Ventilador modelo 01</t>
        </is>
      </c>
      <c r="T1749" t="n">
        <v>1</v>
      </c>
      <c r="U1749" t="n">
        <v>102</v>
      </c>
      <c r="V1749">
        <f>IF(J1749="","",MONTH(J1749))</f>
        <v/>
      </c>
      <c r="W1749">
        <f>IF(J1749="","",YEAR(J1749))</f>
        <v/>
      </c>
      <c r="X1749" t="inlineStr">
        <is>
          <t>LogExpress</t>
        </is>
      </c>
      <c r="Y1749">
        <f>IFERROR(INDEX(Rastreio!$H$2:$H$200,MATCH(X1749&amp;"|"&amp;U1749,Rastreio!$A$2:$A$200,0)),"")</f>
        <v/>
      </c>
    </row>
    <row r="1750">
      <c r="A1750">
        <f>IFERROR(INDEX(STAs!$G$2:$G$61,MATCH(P1750,STAs!$F$2:$F$61,0))&amp;"","")</f>
        <v/>
      </c>
      <c r="B1750" t="n">
        <v>20003329</v>
      </c>
      <c r="C1750" t="inlineStr">
        <is>
          <t>Não</t>
        </is>
      </c>
      <c r="D1750" t="inlineStr">
        <is>
          <t>MS</t>
        </is>
      </c>
      <c r="E1750" t="inlineStr">
        <is>
          <t>CENTRO OESTE</t>
        </is>
      </c>
      <c r="F1750" t="inlineStr">
        <is>
          <t>Cliente A - Refrigerador</t>
        </is>
      </c>
      <c r="G1750" t="inlineStr">
        <is>
          <t>Refrigeradores</t>
        </is>
      </c>
      <c r="H1750" s="10" t="n">
        <v>45</v>
      </c>
      <c r="I1750" s="10">
        <f>IFERROR(T1750*H1750,0)</f>
        <v/>
      </c>
      <c r="J1750" s="11" t="n">
        <v>46221</v>
      </c>
      <c r="K1750" s="11" t="n">
        <v>46260</v>
      </c>
      <c r="L1750" t="inlineStr">
        <is>
          <t>Ok. Devolvida</t>
        </is>
      </c>
      <c r="M1750">
        <f>IF(L1750="","",IFERROR(VLOOKUP(L1750,mapGrupoStatus,2,0),"Outros"))</f>
        <v/>
      </c>
      <c r="N1750">
        <f>IF(O1750="","",IF(O1750&lt;=30,"0-30 dias",IF(O1750&lt;=60,"31-60 dias",IF(O1750&lt;=90,"61-90 dias","Mais de 90 dias"))))</f>
        <v/>
      </c>
      <c r="O1750">
        <f>IF(OR(M1750="Pendente",M1750="Em andamento"),IF(J1750="","",TODAY()-J1750),"")</f>
        <v/>
      </c>
      <c r="P1750" t="n">
        <v>11726</v>
      </c>
      <c r="Q1750" t="inlineStr">
        <is>
          <t>Norte Frio Refrigeração (11726)</t>
        </is>
      </c>
      <c r="R1750" t="inlineStr">
        <is>
          <t>PC-0018</t>
        </is>
      </c>
      <c r="S1750" t="inlineStr">
        <is>
          <t>Gaxeta da porta modelo 01</t>
        </is>
      </c>
      <c r="T1750" t="n">
        <v>1</v>
      </c>
      <c r="U1750" t="n">
        <v>104</v>
      </c>
      <c r="V1750">
        <f>IF(J1750="","",MONTH(J1750))</f>
        <v/>
      </c>
      <c r="W1750">
        <f>IF(J1750="","",YEAR(J1750))</f>
        <v/>
      </c>
      <c r="X1750" t="inlineStr">
        <is>
          <t>LogExpress</t>
        </is>
      </c>
      <c r="Y1750">
        <f>IFERROR(INDEX(Rastreio!$H$2:$H$200,MATCH(X1750&amp;"|"&amp;U1750,Rastreio!$A$2:$A$200,0)),"")</f>
        <v/>
      </c>
    </row>
    <row r="1751">
      <c r="A1751">
        <f>IFERROR(INDEX(STAs!$G$2:$G$61,MATCH(P1751,STAs!$F$2:$F$61,0))&amp;"","")</f>
        <v/>
      </c>
      <c r="B1751" t="n">
        <v>20004663</v>
      </c>
      <c r="C1751" t="inlineStr">
        <is>
          <t>Sim</t>
        </is>
      </c>
      <c r="D1751" t="inlineStr">
        <is>
          <t>PR</t>
        </is>
      </c>
      <c r="E1751" t="inlineStr">
        <is>
          <t>SUL</t>
        </is>
      </c>
      <c r="F1751" t="inlineStr">
        <is>
          <t>Cliente B - Chopeira</t>
        </is>
      </c>
      <c r="G1751" t="inlineStr">
        <is>
          <t>Misturadores</t>
        </is>
      </c>
      <c r="H1751" s="10" t="n">
        <v>60</v>
      </c>
      <c r="I1751" s="10">
        <f>IFERROR(T1751*H1751,0)</f>
        <v/>
      </c>
      <c r="J1751" s="11" t="n">
        <v>46221</v>
      </c>
      <c r="K1751" s="11" t="n"/>
      <c r="L1751" t="inlineStr">
        <is>
          <t>Em andamento</t>
        </is>
      </c>
      <c r="M1751">
        <f>IF(L1751="","",IFERROR(VLOOKUP(L1751,mapGrupoStatus,2,0),"Outros"))</f>
        <v/>
      </c>
      <c r="N1751">
        <f>IF(O1751="","",IF(O1751&lt;=30,"0-30 dias",IF(O1751&lt;=60,"31-60 dias",IF(O1751&lt;=90,"61-90 dias","Mais de 90 dias"))))</f>
        <v/>
      </c>
      <c r="O1751">
        <f>IF(OR(M1751="Pendente",M1751="Em andamento"),IF(J1751="","",TODAY()-J1751),"")</f>
        <v/>
      </c>
      <c r="P1751" t="n">
        <v>12724</v>
      </c>
      <c r="Q1751" t="inlineStr">
        <is>
          <t>Cool Service &amp; Cia (12724)</t>
        </is>
      </c>
      <c r="R1751" t="inlineStr">
        <is>
          <t>PC-0048</t>
        </is>
      </c>
      <c r="S1751" t="inlineStr">
        <is>
          <t>Sensor de nível modelo 04</t>
        </is>
      </c>
      <c r="T1751" t="n">
        <v>2</v>
      </c>
      <c r="U1751" t="n">
        <v>106</v>
      </c>
      <c r="V1751">
        <f>IF(J1751="","",MONTH(J1751))</f>
        <v/>
      </c>
      <c r="W1751">
        <f>IF(J1751="","",YEAR(J1751))</f>
        <v/>
      </c>
      <c r="X1751" t="inlineStr">
        <is>
          <t>CargoMax</t>
        </is>
      </c>
      <c r="Y1751">
        <f>IFERROR(INDEX(Rastreio!$H$2:$H$200,MATCH(X1751&amp;"|"&amp;U1751,Rastreio!$A$2:$A$200,0)),"")</f>
        <v/>
      </c>
    </row>
    <row r="1752">
      <c r="A1752">
        <f>IFERROR(INDEX(STAs!$G$2:$G$61,MATCH(P1752,STAs!$F$2:$F$61,0))&amp;"","")</f>
        <v/>
      </c>
      <c r="B1752" t="n">
        <v>20013087</v>
      </c>
      <c r="C1752" t="inlineStr">
        <is>
          <t>Sim</t>
        </is>
      </c>
      <c r="D1752" t="inlineStr">
        <is>
          <t>GO</t>
        </is>
      </c>
      <c r="E1752" t="inlineStr">
        <is>
          <t>CENTRO OESTE</t>
        </is>
      </c>
      <c r="F1752" t="inlineStr">
        <is>
          <t>Cliente A - Refrigerador</t>
        </is>
      </c>
      <c r="G1752" t="inlineStr">
        <is>
          <t>Misturadores</t>
        </is>
      </c>
      <c r="H1752" s="10" t="n">
        <v>50</v>
      </c>
      <c r="I1752" s="10">
        <f>IFERROR(T1752*H1752,0)</f>
        <v/>
      </c>
      <c r="J1752" s="11" t="n">
        <v>46221</v>
      </c>
      <c r="K1752" s="11" t="n"/>
      <c r="L1752" t="inlineStr">
        <is>
          <t>Em andamento</t>
        </is>
      </c>
      <c r="M1752">
        <f>IF(L1752="","",IFERROR(VLOOKUP(L1752,mapGrupoStatus,2,0),"Outros"))</f>
        <v/>
      </c>
      <c r="N1752">
        <f>IF(O1752="","",IF(O1752&lt;=30,"0-30 dias",IF(O1752&lt;=60,"31-60 dias",IF(O1752&lt;=90,"61-90 dias","Mais de 90 dias"))))</f>
        <v/>
      </c>
      <c r="O1752">
        <f>IF(OR(M1752="Pendente",M1752="Em andamento"),IF(J1752="","",TODAY()-J1752),"")</f>
        <v/>
      </c>
      <c r="P1752" t="n">
        <v>11677</v>
      </c>
      <c r="Q1752" t="inlineStr">
        <is>
          <t>Cool Service Manutenção (11677)</t>
        </is>
      </c>
      <c r="R1752" t="inlineStr">
        <is>
          <t>PC-0044</t>
        </is>
      </c>
      <c r="S1752" t="inlineStr">
        <is>
          <t>Bico dosador modelo 03</t>
        </is>
      </c>
      <c r="T1752" t="n">
        <v>1</v>
      </c>
      <c r="U1752" t="n">
        <v>121</v>
      </c>
      <c r="V1752">
        <f>IF(J1752="","",MONTH(J1752))</f>
        <v/>
      </c>
      <c r="W1752">
        <f>IF(J1752="","",YEAR(J1752))</f>
        <v/>
      </c>
      <c r="X1752" t="inlineStr">
        <is>
          <t>RotaSul</t>
        </is>
      </c>
      <c r="Y1752">
        <f>IFERROR(INDEX(Rastreio!$H$2:$H$200,MATCH(X1752&amp;"|"&amp;U1752,Rastreio!$A$2:$A$200,0)),"")</f>
        <v/>
      </c>
    </row>
    <row r="1753">
      <c r="A1753">
        <f>IFERROR(INDEX(STAs!$G$2:$G$61,MATCH(P1753,STAs!$F$2:$F$61,0))&amp;"","")</f>
        <v/>
      </c>
      <c r="B1753" t="n">
        <v>20017359</v>
      </c>
      <c r="C1753" t="inlineStr">
        <is>
          <t>Não</t>
        </is>
      </c>
      <c r="D1753" t="inlineStr">
        <is>
          <t>BA</t>
        </is>
      </c>
      <c r="E1753" t="inlineStr">
        <is>
          <t>NORDESTE</t>
        </is>
      </c>
      <c r="F1753" t="inlineStr">
        <is>
          <t>Cliente B - Chopeira</t>
        </is>
      </c>
      <c r="G1753" t="inlineStr">
        <is>
          <t>Misturadores</t>
        </is>
      </c>
      <c r="H1753" s="10" t="n">
        <v>265</v>
      </c>
      <c r="I1753" s="10">
        <f>IFERROR(T1753*H1753,0)</f>
        <v/>
      </c>
      <c r="J1753" s="11" t="n">
        <v>46221</v>
      </c>
      <c r="K1753" s="11" t="n">
        <v>46232</v>
      </c>
      <c r="L1753" t="inlineStr">
        <is>
          <t>Ok. Devolvida</t>
        </is>
      </c>
      <c r="M1753">
        <f>IF(L1753="","",IFERROR(VLOOKUP(L1753,mapGrupoStatus,2,0),"Outros"))</f>
        <v/>
      </c>
      <c r="N1753">
        <f>IF(O1753="","",IF(O1753&lt;=30,"0-30 dias",IF(O1753&lt;=60,"31-60 dias",IF(O1753&lt;=90,"61-90 dias","Mais de 90 dias"))))</f>
        <v/>
      </c>
      <c r="O1753">
        <f>IF(OR(M1753="Pendente",M1753="Em andamento"),IF(J1753="","",TODAY()-J1753),"")</f>
        <v/>
      </c>
      <c r="P1753" t="n">
        <v>12194</v>
      </c>
      <c r="Q1753" t="inlineStr">
        <is>
          <t>Polar &amp; Cia (12194)</t>
        </is>
      </c>
      <c r="R1753" t="inlineStr">
        <is>
          <t>PC-0038</t>
        </is>
      </c>
      <c r="S1753" t="inlineStr">
        <is>
          <t>Bomba de recirculação modelo 02</t>
        </is>
      </c>
      <c r="T1753" t="n">
        <v>1</v>
      </c>
      <c r="U1753" t="n">
        <v>123</v>
      </c>
      <c r="V1753">
        <f>IF(J1753="","",MONTH(J1753))</f>
        <v/>
      </c>
      <c r="W1753">
        <f>IF(J1753="","",YEAR(J1753))</f>
        <v/>
      </c>
      <c r="X1753" t="inlineStr">
        <is>
          <t>RotaSul</t>
        </is>
      </c>
      <c r="Y1753">
        <f>IFERROR(INDEX(Rastreio!$H$2:$H$200,MATCH(X1753&amp;"|"&amp;U1753,Rastreio!$A$2:$A$200,0)),"")</f>
        <v/>
      </c>
    </row>
    <row r="1754">
      <c r="A1754">
        <f>IFERROR(INDEX(STAs!$G$2:$G$61,MATCH(P1754,STAs!$F$2:$F$61,0))&amp;"","")</f>
        <v/>
      </c>
      <c r="B1754" t="n">
        <v>20018139</v>
      </c>
      <c r="C1754" t="inlineStr">
        <is>
          <t>Não</t>
        </is>
      </c>
      <c r="D1754" t="inlineStr">
        <is>
          <t>DF</t>
        </is>
      </c>
      <c r="E1754" t="inlineStr">
        <is>
          <t>CENTRO OESTE</t>
        </is>
      </c>
      <c r="F1754" t="inlineStr">
        <is>
          <t>Cliente C - Misturador</t>
        </is>
      </c>
      <c r="G1754" t="inlineStr">
        <is>
          <t>Chopeiras</t>
        </is>
      </c>
      <c r="H1754" s="10" t="n">
        <v>85</v>
      </c>
      <c r="I1754" s="10">
        <f>IFERROR(T1754*H1754,0)</f>
        <v/>
      </c>
      <c r="J1754" s="11" t="n">
        <v>46221</v>
      </c>
      <c r="K1754" s="11" t="n">
        <v>46231</v>
      </c>
      <c r="L1754" t="inlineStr">
        <is>
          <t>Ok. Devolvida</t>
        </is>
      </c>
      <c r="M1754">
        <f>IF(L1754="","",IFERROR(VLOOKUP(L1754,mapGrupoStatus,2,0),"Outros"))</f>
        <v/>
      </c>
      <c r="N1754">
        <f>IF(O1754="","",IF(O1754&lt;=30,"0-30 dias",IF(O1754&lt;=60,"31-60 dias",IF(O1754&lt;=90,"61-90 dias","Mais de 90 dias"))))</f>
        <v/>
      </c>
      <c r="O1754">
        <f>IF(OR(M1754="Pendente",M1754="Em andamento"),IF(J1754="","",TODAY()-J1754),"")</f>
        <v/>
      </c>
      <c r="P1754" t="n">
        <v>10021</v>
      </c>
      <c r="Q1754" t="inlineStr">
        <is>
          <t>Termotec Técnica (10021)</t>
        </is>
      </c>
      <c r="R1754" t="inlineStr">
        <is>
          <t>PC-0036</t>
        </is>
      </c>
      <c r="S1754" t="inlineStr">
        <is>
          <t>Válvula extratora modelo 02</t>
        </is>
      </c>
      <c r="T1754" t="n">
        <v>2</v>
      </c>
      <c r="U1754" t="n">
        <v>124</v>
      </c>
      <c r="V1754">
        <f>IF(J1754="","",MONTH(J1754))</f>
        <v/>
      </c>
      <c r="W1754">
        <f>IF(J1754="","",YEAR(J1754))</f>
        <v/>
      </c>
      <c r="X1754" t="inlineStr">
        <is>
          <t>RotaSul</t>
        </is>
      </c>
      <c r="Y1754">
        <f>IFERROR(INDEX(Rastreio!$H$2:$H$200,MATCH(X1754&amp;"|"&amp;U1754,Rastreio!$A$2:$A$200,0)),"")</f>
        <v/>
      </c>
    </row>
    <row r="1755">
      <c r="A1755">
        <f>IFERROR(INDEX(STAs!$G$2:$G$61,MATCH(P1755,STAs!$F$2:$F$61,0))&amp;"","")</f>
        <v/>
      </c>
      <c r="B1755" t="n">
        <v>20032277</v>
      </c>
      <c r="C1755" t="inlineStr">
        <is>
          <t>Não</t>
        </is>
      </c>
      <c r="D1755" t="inlineStr">
        <is>
          <t>RO</t>
        </is>
      </c>
      <c r="E1755" t="inlineStr">
        <is>
          <t>NORTE</t>
        </is>
      </c>
      <c r="F1755" t="inlineStr">
        <is>
          <t>Cliente A - Refrigerador</t>
        </is>
      </c>
      <c r="G1755" t="inlineStr">
        <is>
          <t>Refrigeradores</t>
        </is>
      </c>
      <c r="H1755" s="10" t="n">
        <v>330</v>
      </c>
      <c r="I1755" s="10">
        <f>IFERROR(T1755*H1755,0)</f>
        <v/>
      </c>
      <c r="J1755" s="11" t="n">
        <v>46221</v>
      </c>
      <c r="K1755" s="11" t="n"/>
      <c r="L1755" t="inlineStr">
        <is>
          <t>Não Devolve-Norte</t>
        </is>
      </c>
      <c r="M1755">
        <f>IF(L1755="","",IFERROR(VLOOKUP(L1755,mapGrupoStatus,2,0),"Outros"))</f>
        <v/>
      </c>
      <c r="N1755">
        <f>IF(O1755="","",IF(O1755&lt;=30,"0-30 dias",IF(O1755&lt;=60,"31-60 dias",IF(O1755&lt;=90,"61-90 dias","Mais de 90 dias"))))</f>
        <v/>
      </c>
      <c r="O1755">
        <f>IF(OR(M1755="Pendente",M1755="Em andamento"),IF(J1755="","",TODAY()-J1755),"")</f>
        <v/>
      </c>
      <c r="P1755" t="n">
        <v>12019</v>
      </c>
      <c r="Q1755" t="inlineStr">
        <is>
          <t>Ártico Serviços (12019)</t>
        </is>
      </c>
      <c r="R1755" t="inlineStr">
        <is>
          <t>PC-0003</t>
        </is>
      </c>
      <c r="S1755" t="inlineStr">
        <is>
          <t>Compressor modelo 03</t>
        </is>
      </c>
      <c r="T1755" t="n">
        <v>1</v>
      </c>
      <c r="U1755" t="inlineStr"/>
      <c r="V1755">
        <f>IF(J1755="","",MONTH(J1755))</f>
        <v/>
      </c>
      <c r="W1755">
        <f>IF(J1755="","",YEAR(J1755))</f>
        <v/>
      </c>
      <c r="X1755" t="inlineStr"/>
      <c r="Y1755">
        <f>IFERROR(INDEX(Rastreio!$H$2:$H$200,MATCH(X1755&amp;"|"&amp;U1755,Rastreio!$A$2:$A$200,0)),"")</f>
        <v/>
      </c>
    </row>
    <row r="1756">
      <c r="A1756">
        <f>IFERROR(INDEX(STAs!$G$2:$G$61,MATCH(P1756,STAs!$F$2:$F$61,0))&amp;"","")</f>
        <v/>
      </c>
      <c r="B1756" t="n">
        <v>20033364</v>
      </c>
      <c r="C1756" t="inlineStr">
        <is>
          <t>Sim</t>
        </is>
      </c>
      <c r="D1756" t="inlineStr">
        <is>
          <t>CE</t>
        </is>
      </c>
      <c r="E1756" t="inlineStr">
        <is>
          <t>NORDESTE</t>
        </is>
      </c>
      <c r="F1756" t="inlineStr">
        <is>
          <t>Cliente A - Refrigerador</t>
        </is>
      </c>
      <c r="G1756" t="inlineStr">
        <is>
          <t>Refrigeradores</t>
        </is>
      </c>
      <c r="H1756" s="10" t="n">
        <v>35</v>
      </c>
      <c r="I1756" s="10">
        <f>IFERROR(T1756*H1756,0)</f>
        <v/>
      </c>
      <c r="J1756" s="11" t="n">
        <v>46221</v>
      </c>
      <c r="K1756" s="11" t="n">
        <v>46279</v>
      </c>
      <c r="L1756" t="inlineStr">
        <is>
          <t>Ok. Devolvida</t>
        </is>
      </c>
      <c r="M1756">
        <f>IF(L1756="","",IFERROR(VLOOKUP(L1756,mapGrupoStatus,2,0),"Outros"))</f>
        <v/>
      </c>
      <c r="N1756">
        <f>IF(O1756="","",IF(O1756&lt;=30,"0-30 dias",IF(O1756&lt;=60,"31-60 dias",IF(O1756&lt;=90,"61-90 dias","Mais de 90 dias"))))</f>
        <v/>
      </c>
      <c r="O1756">
        <f>IF(OR(M1756="Pendente",M1756="Em andamento"),IF(J1756="","",TODAY()-J1756),"")</f>
        <v/>
      </c>
      <c r="P1756" t="n">
        <v>10615</v>
      </c>
      <c r="Q1756" t="inlineStr">
        <is>
          <t>Brisa Técnica (10615)</t>
        </is>
      </c>
      <c r="R1756" t="inlineStr">
        <is>
          <t>PC-0020</t>
        </is>
      </c>
      <c r="S1756" t="inlineStr">
        <is>
          <t>Gaxeta da porta modelo 03</t>
        </is>
      </c>
      <c r="T1756" t="n">
        <v>1</v>
      </c>
      <c r="U1756" t="n">
        <v>152</v>
      </c>
      <c r="V1756">
        <f>IF(J1756="","",MONTH(J1756))</f>
        <v/>
      </c>
      <c r="W1756">
        <f>IF(J1756="","",YEAR(J1756))</f>
        <v/>
      </c>
      <c r="X1756" t="inlineStr">
        <is>
          <t>ViaCargo</t>
        </is>
      </c>
      <c r="Y1756">
        <f>IFERROR(INDEX(Rastreio!$H$2:$H$200,MATCH(X1756&amp;"|"&amp;U1756,Rastreio!$A$2:$A$200,0)),"")</f>
        <v/>
      </c>
    </row>
    <row r="1757">
      <c r="A1757">
        <f>IFERROR(INDEX(STAs!$G$2:$G$61,MATCH(P1757,STAs!$F$2:$F$61,0))&amp;"","")</f>
        <v/>
      </c>
      <c r="B1757" t="n">
        <v>20033965</v>
      </c>
      <c r="C1757" t="inlineStr">
        <is>
          <t>Não</t>
        </is>
      </c>
      <c r="D1757" t="inlineStr">
        <is>
          <t>RJ</t>
        </is>
      </c>
      <c r="E1757" t="inlineStr">
        <is>
          <t>SUDESTE RJ e ES</t>
        </is>
      </c>
      <c r="F1757" t="inlineStr">
        <is>
          <t>Cliente C - Misturador</t>
        </is>
      </c>
      <c r="G1757" t="inlineStr">
        <is>
          <t>Refrigeradores</t>
        </is>
      </c>
      <c r="H1757" s="10" t="n">
        <v>30</v>
      </c>
      <c r="I1757" s="10">
        <f>IFERROR(T1757*H1757,0)</f>
        <v/>
      </c>
      <c r="J1757" s="11" t="n">
        <v>46221</v>
      </c>
      <c r="K1757" s="11" t="n">
        <v>46263</v>
      </c>
      <c r="L1757" t="inlineStr">
        <is>
          <t>Ok. Devolvida</t>
        </is>
      </c>
      <c r="M1757">
        <f>IF(L1757="","",IFERROR(VLOOKUP(L1757,mapGrupoStatus,2,0),"Outros"))</f>
        <v/>
      </c>
      <c r="N1757">
        <f>IF(O1757="","",IF(O1757&lt;=30,"0-30 dias",IF(O1757&lt;=60,"31-60 dias",IF(O1757&lt;=90,"61-90 dias","Mais de 90 dias"))))</f>
        <v/>
      </c>
      <c r="O1757">
        <f>IF(OR(M1757="Pendente",M1757="Em andamento"),IF(J1757="","",TODAY()-J1757),"")</f>
        <v/>
      </c>
      <c r="P1757" t="n">
        <v>12811</v>
      </c>
      <c r="Q1757" t="inlineStr">
        <is>
          <t>Norte Frio Técnica (12811)</t>
        </is>
      </c>
      <c r="R1757" t="inlineStr">
        <is>
          <t>PC-0017</t>
        </is>
      </c>
      <c r="S1757" t="inlineStr">
        <is>
          <t>Filtro secador modelo 03</t>
        </is>
      </c>
      <c r="T1757" t="n">
        <v>2</v>
      </c>
      <c r="U1757" t="n">
        <v>161</v>
      </c>
      <c r="V1757">
        <f>IF(J1757="","",MONTH(J1757))</f>
        <v/>
      </c>
      <c r="W1757">
        <f>IF(J1757="","",YEAR(J1757))</f>
        <v/>
      </c>
      <c r="X1757" t="inlineStr">
        <is>
          <t>TransNorte</t>
        </is>
      </c>
      <c r="Y1757">
        <f>IFERROR(INDEX(Rastreio!$H$2:$H$200,MATCH(X1757&amp;"|"&amp;U1757,Rastreio!$A$2:$A$200,0)),"")</f>
        <v/>
      </c>
    </row>
    <row r="1758">
      <c r="A1758">
        <f>IFERROR(INDEX(STAs!$G$2:$G$61,MATCH(P1758,STAs!$F$2:$F$61,0))&amp;"","")</f>
        <v/>
      </c>
      <c r="B1758" t="n">
        <v>20035066</v>
      </c>
      <c r="C1758" t="inlineStr">
        <is>
          <t>Não</t>
        </is>
      </c>
      <c r="D1758" t="inlineStr">
        <is>
          <t>RS</t>
        </is>
      </c>
      <c r="E1758" t="inlineStr">
        <is>
          <t>SUL</t>
        </is>
      </c>
      <c r="F1758" t="inlineStr">
        <is>
          <t>Cliente A - Refrigerador</t>
        </is>
      </c>
      <c r="G1758" t="inlineStr">
        <is>
          <t>Refrigeradores</t>
        </is>
      </c>
      <c r="H1758" s="10" t="n">
        <v>185</v>
      </c>
      <c r="I1758" s="10">
        <f>IFERROR(T1758*H1758,0)</f>
        <v/>
      </c>
      <c r="J1758" s="11" t="n">
        <v>46221</v>
      </c>
      <c r="K1758" s="11" t="n">
        <v>46253</v>
      </c>
      <c r="L1758" t="inlineStr">
        <is>
          <t>Ok. Devolvida</t>
        </is>
      </c>
      <c r="M1758">
        <f>IF(L1758="","",IFERROR(VLOOKUP(L1758,mapGrupoStatus,2,0),"Outros"))</f>
        <v/>
      </c>
      <c r="N1758">
        <f>IF(O1758="","",IF(O1758&lt;=30,"0-30 dias",IF(O1758&lt;=60,"31-60 dias",IF(O1758&lt;=90,"61-90 dias","Mais de 90 dias"))))</f>
        <v/>
      </c>
      <c r="O1758">
        <f>IF(OR(M1758="Pendente",M1758="Em andamento"),IF(J1758="","",TODAY()-J1758),"")</f>
        <v/>
      </c>
      <c r="P1758" t="n">
        <v>11459</v>
      </c>
      <c r="Q1758" t="inlineStr">
        <is>
          <t>Frio ME (11459)</t>
        </is>
      </c>
      <c r="R1758" t="inlineStr">
        <is>
          <t>PC-0013</t>
        </is>
      </c>
      <c r="S1758" t="inlineStr">
        <is>
          <t>Placa eletrônica modelo 03</t>
        </is>
      </c>
      <c r="T1758" t="n">
        <v>1</v>
      </c>
      <c r="U1758" t="n">
        <v>162</v>
      </c>
      <c r="V1758">
        <f>IF(J1758="","",MONTH(J1758))</f>
        <v/>
      </c>
      <c r="W1758">
        <f>IF(J1758="","",YEAR(J1758))</f>
        <v/>
      </c>
      <c r="X1758" t="inlineStr">
        <is>
          <t>RotaSul</t>
        </is>
      </c>
      <c r="Y1758">
        <f>IFERROR(INDEX(Rastreio!$H$2:$H$200,MATCH(X1758&amp;"|"&amp;U1758,Rastreio!$A$2:$A$200,0)),"")</f>
        <v/>
      </c>
    </row>
    <row r="1759">
      <c r="A1759">
        <f>IFERROR(INDEX(STAs!$G$2:$G$61,MATCH(P1759,STAs!$F$2:$F$61,0))&amp;"","")</f>
        <v/>
      </c>
      <c r="B1759" t="n">
        <v>20001301</v>
      </c>
      <c r="C1759" t="inlineStr">
        <is>
          <t>Não</t>
        </is>
      </c>
      <c r="D1759" t="inlineStr">
        <is>
          <t>SP</t>
        </is>
      </c>
      <c r="E1759" t="inlineStr">
        <is>
          <t>SUDESTE SP</t>
        </is>
      </c>
      <c r="F1759" t="inlineStr">
        <is>
          <t>Cliente B - Chopeira</t>
        </is>
      </c>
      <c r="G1759" t="inlineStr">
        <is>
          <t>Misturadores</t>
        </is>
      </c>
      <c r="H1759" s="10" t="n">
        <v>50</v>
      </c>
      <c r="I1759" s="10">
        <f>IFERROR(T1759*H1759,0)</f>
        <v/>
      </c>
      <c r="J1759" s="11" t="n">
        <v>46222</v>
      </c>
      <c r="K1759" s="11" t="n">
        <v>46267</v>
      </c>
      <c r="L1759" t="inlineStr">
        <is>
          <t>Ok. Devolvida</t>
        </is>
      </c>
      <c r="M1759">
        <f>IF(L1759="","",IFERROR(VLOOKUP(L1759,mapGrupoStatus,2,0),"Outros"))</f>
        <v/>
      </c>
      <c r="N1759">
        <f>IF(O1759="","",IF(O1759&lt;=30,"0-30 dias",IF(O1759&lt;=60,"31-60 dias",IF(O1759&lt;=90,"61-90 dias","Mais de 90 dias"))))</f>
        <v/>
      </c>
      <c r="O1759">
        <f>IF(OR(M1759="Pendente",M1759="Em andamento"),IF(J1759="","",TODAY()-J1759),"")</f>
        <v/>
      </c>
      <c r="P1759" t="n">
        <v>12052</v>
      </c>
      <c r="Q1759" t="inlineStr">
        <is>
          <t>Brisa Refrigeração (12052)</t>
        </is>
      </c>
      <c r="R1759" t="inlineStr">
        <is>
          <t>PC-0047</t>
        </is>
      </c>
      <c r="S1759" t="inlineStr">
        <is>
          <t>Sensor de nível modelo 03</t>
        </is>
      </c>
      <c r="T1759" t="n">
        <v>1</v>
      </c>
      <c r="U1759" t="n">
        <v>105</v>
      </c>
      <c r="V1759">
        <f>IF(J1759="","",MONTH(J1759))</f>
        <v/>
      </c>
      <c r="W1759">
        <f>IF(J1759="","",YEAR(J1759))</f>
        <v/>
      </c>
      <c r="X1759" t="inlineStr">
        <is>
          <t>EntregaJá</t>
        </is>
      </c>
      <c r="Y1759">
        <f>IFERROR(INDEX(Rastreio!$H$2:$H$200,MATCH(X1759&amp;"|"&amp;U1759,Rastreio!$A$2:$A$200,0)),"")</f>
        <v/>
      </c>
    </row>
    <row r="1760">
      <c r="A1760">
        <f>IFERROR(INDEX(STAs!$G$2:$G$61,MATCH(P1760,STAs!$F$2:$F$61,0))&amp;"","")</f>
        <v/>
      </c>
      <c r="B1760" t="n">
        <v>20002138</v>
      </c>
      <c r="C1760" t="inlineStr">
        <is>
          <t>Não</t>
        </is>
      </c>
      <c r="D1760" t="inlineStr">
        <is>
          <t>GO</t>
        </is>
      </c>
      <c r="E1760" t="inlineStr">
        <is>
          <t>CENTRO OESTE</t>
        </is>
      </c>
      <c r="F1760" t="inlineStr">
        <is>
          <t>Cliente B - Chopeira</t>
        </is>
      </c>
      <c r="G1760" t="inlineStr">
        <is>
          <t>Refrigeradores</t>
        </is>
      </c>
      <c r="H1760" s="10" t="n">
        <v>40</v>
      </c>
      <c r="I1760" s="10">
        <f>IFERROR(T1760*H1760,0)</f>
        <v/>
      </c>
      <c r="J1760" s="11" t="n">
        <v>46222</v>
      </c>
      <c r="K1760" s="11" t="n">
        <v>46275</v>
      </c>
      <c r="L1760" t="inlineStr">
        <is>
          <t>Ok. Devolvida</t>
        </is>
      </c>
      <c r="M1760">
        <f>IF(L1760="","",IFERROR(VLOOKUP(L1760,mapGrupoStatus,2,0),"Outros"))</f>
        <v/>
      </c>
      <c r="N1760">
        <f>IF(O1760="","",IF(O1760&lt;=30,"0-30 dias",IF(O1760&lt;=60,"31-60 dias",IF(O1760&lt;=90,"61-90 dias","Mais de 90 dias"))))</f>
        <v/>
      </c>
      <c r="O1760">
        <f>IF(OR(M1760="Pendente",M1760="Em andamento"),IF(J1760="","",TODAY()-J1760),"")</f>
        <v/>
      </c>
      <c r="P1760" t="n">
        <v>12007</v>
      </c>
      <c r="Q1760" t="inlineStr">
        <is>
          <t>Refrigel Ltda (12007)</t>
        </is>
      </c>
      <c r="R1760" t="inlineStr">
        <is>
          <t>PC-0005</t>
        </is>
      </c>
      <c r="S1760" t="inlineStr">
        <is>
          <t>Termostato modelo 02</t>
        </is>
      </c>
      <c r="T1760" t="n">
        <v>1</v>
      </c>
      <c r="U1760" t="n">
        <v>101</v>
      </c>
      <c r="V1760">
        <f>IF(J1760="","",MONTH(J1760))</f>
        <v/>
      </c>
      <c r="W1760">
        <f>IF(J1760="","",YEAR(J1760))</f>
        <v/>
      </c>
      <c r="X1760" t="inlineStr">
        <is>
          <t>CargoMax</t>
        </is>
      </c>
      <c r="Y1760">
        <f>IFERROR(INDEX(Rastreio!$H$2:$H$200,MATCH(X1760&amp;"|"&amp;U1760,Rastreio!$A$2:$A$200,0)),"")</f>
        <v/>
      </c>
    </row>
    <row r="1761">
      <c r="A1761">
        <f>IFERROR(INDEX(STAs!$G$2:$G$61,MATCH(P1761,STAs!$F$2:$F$61,0))&amp;"","")</f>
        <v/>
      </c>
      <c r="B1761" t="n">
        <v>20016709</v>
      </c>
      <c r="C1761" t="inlineStr">
        <is>
          <t>Não</t>
        </is>
      </c>
      <c r="D1761" t="inlineStr">
        <is>
          <t>MT</t>
        </is>
      </c>
      <c r="E1761" t="inlineStr">
        <is>
          <t>CENTRO OESTE</t>
        </is>
      </c>
      <c r="F1761" t="inlineStr">
        <is>
          <t>Cliente C - Misturador</t>
        </is>
      </c>
      <c r="G1761" t="inlineStr">
        <is>
          <t>Chopeiras</t>
        </is>
      </c>
      <c r="H1761" s="10" t="n">
        <v>115</v>
      </c>
      <c r="I1761" s="10">
        <f>IFERROR(T1761*H1761,0)</f>
        <v/>
      </c>
      <c r="J1761" s="11" t="n">
        <v>46222</v>
      </c>
      <c r="K1761" s="11" t="n">
        <v>46233</v>
      </c>
      <c r="L1761" t="inlineStr">
        <is>
          <t>Ok. Devolvida</t>
        </is>
      </c>
      <c r="M1761">
        <f>IF(L1761="","",IFERROR(VLOOKUP(L1761,mapGrupoStatus,2,0),"Outros"))</f>
        <v/>
      </c>
      <c r="N1761">
        <f>IF(O1761="","",IF(O1761&lt;=30,"0-30 dias",IF(O1761&lt;=60,"31-60 dias",IF(O1761&lt;=90,"61-90 dias","Mais de 90 dias"))))</f>
        <v/>
      </c>
      <c r="O1761">
        <f>IF(OR(M1761="Pendente",M1761="Em andamento"),IF(J1761="","",TODAY()-J1761),"")</f>
        <v/>
      </c>
      <c r="P1761" t="n">
        <v>10227</v>
      </c>
      <c r="Q1761" t="inlineStr">
        <is>
          <t>Assistência Técnica ME (10227)</t>
        </is>
      </c>
      <c r="R1761" t="inlineStr">
        <is>
          <t>PC-0033</t>
        </is>
      </c>
      <c r="S1761" t="inlineStr">
        <is>
          <t>Regulador de pressão modelo 02</t>
        </is>
      </c>
      <c r="T1761" t="n">
        <v>1</v>
      </c>
      <c r="U1761" t="n">
        <v>129</v>
      </c>
      <c r="V1761">
        <f>IF(J1761="","",MONTH(J1761))</f>
        <v/>
      </c>
      <c r="W1761">
        <f>IF(J1761="","",YEAR(J1761))</f>
        <v/>
      </c>
      <c r="X1761" t="inlineStr">
        <is>
          <t>CargoMax</t>
        </is>
      </c>
      <c r="Y1761">
        <f>IFERROR(INDEX(Rastreio!$H$2:$H$200,MATCH(X1761&amp;"|"&amp;U1761,Rastreio!$A$2:$A$200,0)),"")</f>
        <v/>
      </c>
    </row>
    <row r="1762">
      <c r="A1762">
        <f>IFERROR(INDEX(STAs!$G$2:$G$61,MATCH(P1762,STAs!$F$2:$F$61,0))&amp;"","")</f>
        <v/>
      </c>
      <c r="B1762" t="n">
        <v>20035871</v>
      </c>
      <c r="C1762" t="inlineStr">
        <is>
          <t>Não</t>
        </is>
      </c>
      <c r="D1762" t="inlineStr">
        <is>
          <t>PI</t>
        </is>
      </c>
      <c r="E1762" t="inlineStr">
        <is>
          <t>NORDESTE</t>
        </is>
      </c>
      <c r="F1762" t="inlineStr">
        <is>
          <t>Cliente C - Misturador</t>
        </is>
      </c>
      <c r="G1762" t="inlineStr">
        <is>
          <t>Misturadores</t>
        </is>
      </c>
      <c r="H1762" s="10" t="n">
        <v>200</v>
      </c>
      <c r="I1762" s="10">
        <f>IFERROR(T1762*H1762,0)</f>
        <v/>
      </c>
      <c r="J1762" s="11" t="n">
        <v>46222</v>
      </c>
      <c r="K1762" s="11" t="n"/>
      <c r="L1762" t="inlineStr">
        <is>
          <t>NF Vencida</t>
        </is>
      </c>
      <c r="M1762">
        <f>IF(L1762="","",IFERROR(VLOOKUP(L1762,mapGrupoStatus,2,0),"Outros"))</f>
        <v/>
      </c>
      <c r="N1762">
        <f>IF(O1762="","",IF(O1762&lt;=30,"0-30 dias",IF(O1762&lt;=60,"31-60 dias",IF(O1762&lt;=90,"61-90 dias","Mais de 90 dias"))))</f>
        <v/>
      </c>
      <c r="O1762">
        <f>IF(OR(M1762="Pendente",M1762="Em andamento"),IF(J1762="","",TODAY()-J1762),"")</f>
        <v/>
      </c>
      <c r="P1762" t="n">
        <v>12936</v>
      </c>
      <c r="Q1762" t="inlineStr">
        <is>
          <t>Frigo Técnica (12936)</t>
        </is>
      </c>
      <c r="R1762" t="inlineStr">
        <is>
          <t>PC-0040</t>
        </is>
      </c>
      <c r="S1762" t="inlineStr">
        <is>
          <t>Motor agitador modelo 01</t>
        </is>
      </c>
      <c r="T1762" t="n">
        <v>1</v>
      </c>
      <c r="U1762" t="inlineStr"/>
      <c r="V1762">
        <f>IF(J1762="","",MONTH(J1762))</f>
        <v/>
      </c>
      <c r="W1762">
        <f>IF(J1762="","",YEAR(J1762))</f>
        <v/>
      </c>
      <c r="X1762" t="inlineStr"/>
      <c r="Y1762">
        <f>IFERROR(INDEX(Rastreio!$H$2:$H$200,MATCH(X1762&amp;"|"&amp;U1762,Rastreio!$A$2:$A$200,0)),"")</f>
        <v/>
      </c>
    </row>
    <row r="1763">
      <c r="A1763">
        <f>IFERROR(INDEX(STAs!$G$2:$G$61,MATCH(P1763,STAs!$F$2:$F$61,0))&amp;"","")</f>
        <v/>
      </c>
      <c r="B1763" t="n">
        <v>20003769</v>
      </c>
      <c r="C1763" t="inlineStr">
        <is>
          <t>Não</t>
        </is>
      </c>
      <c r="D1763" t="inlineStr">
        <is>
          <t>MG</t>
        </is>
      </c>
      <c r="E1763" t="inlineStr">
        <is>
          <t>SUDESTE MG</t>
        </is>
      </c>
      <c r="F1763" t="inlineStr">
        <is>
          <t>Cliente C - Misturador</t>
        </is>
      </c>
      <c r="G1763" t="inlineStr">
        <is>
          <t>Refrigeradores</t>
        </is>
      </c>
      <c r="H1763" s="10" t="n">
        <v>190</v>
      </c>
      <c r="I1763" s="10">
        <f>IFERROR(T1763*H1763,0)</f>
        <v/>
      </c>
      <c r="J1763" s="11" t="n">
        <v>46223</v>
      </c>
      <c r="K1763" s="11" t="n"/>
      <c r="L1763" t="inlineStr">
        <is>
          <t>Aguardando Transporte</t>
        </is>
      </c>
      <c r="M1763">
        <f>IF(L1763="","",IFERROR(VLOOKUP(L1763,mapGrupoStatus,2,0),"Outros"))</f>
        <v/>
      </c>
      <c r="N1763">
        <f>IF(O1763="","",IF(O1763&lt;=30,"0-30 dias",IF(O1763&lt;=60,"31-60 dias",IF(O1763&lt;=90,"61-90 dias","Mais de 90 dias"))))</f>
        <v/>
      </c>
      <c r="O1763">
        <f>IF(OR(M1763="Pendente",M1763="Em andamento"),IF(J1763="","",TODAY()-J1763),"")</f>
        <v/>
      </c>
      <c r="P1763" t="n">
        <v>11494</v>
      </c>
      <c r="Q1763" t="inlineStr">
        <is>
          <t>Clima Técnica (11494)</t>
        </is>
      </c>
      <c r="R1763" t="inlineStr">
        <is>
          <t>PC-0011</t>
        </is>
      </c>
      <c r="S1763" t="inlineStr">
        <is>
          <t>Placa eletrônica modelo 01</t>
        </is>
      </c>
      <c r="T1763" t="n">
        <v>1</v>
      </c>
      <c r="U1763" t="n">
        <v>108</v>
      </c>
      <c r="V1763">
        <f>IF(J1763="","",MONTH(J1763))</f>
        <v/>
      </c>
      <c r="W1763">
        <f>IF(J1763="","",YEAR(J1763))</f>
        <v/>
      </c>
      <c r="X1763" t="inlineStr">
        <is>
          <t>RotaSul</t>
        </is>
      </c>
      <c r="Y1763">
        <f>IFERROR(INDEX(Rastreio!$H$2:$H$200,MATCH(X1763&amp;"|"&amp;U1763,Rastreio!$A$2:$A$200,0)),"")</f>
        <v/>
      </c>
    </row>
    <row r="1764">
      <c r="A1764">
        <f>IFERROR(INDEX(STAs!$G$2:$G$61,MATCH(P1764,STAs!$F$2:$F$61,0))&amp;"","")</f>
        <v/>
      </c>
      <c r="B1764" t="n">
        <v>20005010</v>
      </c>
      <c r="C1764" t="inlineStr">
        <is>
          <t>Sim</t>
        </is>
      </c>
      <c r="D1764" t="inlineStr">
        <is>
          <t>SP</t>
        </is>
      </c>
      <c r="E1764" t="inlineStr">
        <is>
          <t>SUDESTE SP</t>
        </is>
      </c>
      <c r="F1764" t="inlineStr">
        <is>
          <t>Cliente C - Misturador</t>
        </is>
      </c>
      <c r="G1764" t="inlineStr">
        <is>
          <t>Chopeiras</t>
        </is>
      </c>
      <c r="H1764" s="10" t="n">
        <v>100</v>
      </c>
      <c r="I1764" s="10">
        <f>IFERROR(T1764*H1764,0)</f>
        <v/>
      </c>
      <c r="J1764" s="11" t="n">
        <v>46223</v>
      </c>
      <c r="K1764" s="11" t="n">
        <v>46273</v>
      </c>
      <c r="L1764" t="inlineStr">
        <is>
          <t>Ok. Devolvida</t>
        </is>
      </c>
      <c r="M1764">
        <f>IF(L1764="","",IFERROR(VLOOKUP(L1764,mapGrupoStatus,2,0),"Outros"))</f>
        <v/>
      </c>
      <c r="N1764">
        <f>IF(O1764="","",IF(O1764&lt;=30,"0-30 dias",IF(O1764&lt;=60,"31-60 dias",IF(O1764&lt;=90,"61-90 dias","Mais de 90 dias"))))</f>
        <v/>
      </c>
      <c r="O1764">
        <f>IF(OR(M1764="Pendente",M1764="Em andamento"),IF(J1764="","",TODAY()-J1764),"")</f>
        <v/>
      </c>
      <c r="P1764" t="n">
        <v>10010</v>
      </c>
      <c r="Q1764" t="inlineStr">
        <is>
          <t>Cool Service ME (10010)</t>
        </is>
      </c>
      <c r="R1764" t="inlineStr">
        <is>
          <t>PC-0027</t>
        </is>
      </c>
      <c r="S1764" t="inlineStr">
        <is>
          <t>Torneira de chopp modelo 02</t>
        </is>
      </c>
      <c r="T1764" t="n">
        <v>1</v>
      </c>
      <c r="U1764" t="n">
        <v>108</v>
      </c>
      <c r="V1764">
        <f>IF(J1764="","",MONTH(J1764))</f>
        <v/>
      </c>
      <c r="W1764">
        <f>IF(J1764="","",YEAR(J1764))</f>
        <v/>
      </c>
      <c r="X1764" t="inlineStr">
        <is>
          <t>TransNorte</t>
        </is>
      </c>
      <c r="Y1764">
        <f>IFERROR(INDEX(Rastreio!$H$2:$H$200,MATCH(X1764&amp;"|"&amp;U1764,Rastreio!$A$2:$A$200,0)),"")</f>
        <v/>
      </c>
    </row>
    <row r="1765">
      <c r="A1765">
        <f>IFERROR(INDEX(STAs!$G$2:$G$61,MATCH(P1765,STAs!$F$2:$F$61,0))&amp;"","")</f>
        <v/>
      </c>
      <c r="B1765" t="n">
        <v>20018802</v>
      </c>
      <c r="C1765" t="inlineStr">
        <is>
          <t>Não</t>
        </is>
      </c>
      <c r="D1765" t="inlineStr">
        <is>
          <t>PR</t>
        </is>
      </c>
      <c r="E1765" t="inlineStr">
        <is>
          <t>SUL</t>
        </is>
      </c>
      <c r="F1765" t="inlineStr">
        <is>
          <t>Cliente B - Chopeira</t>
        </is>
      </c>
      <c r="G1765" t="inlineStr">
        <is>
          <t>Refrigeradores</t>
        </is>
      </c>
      <c r="H1765" s="10" t="n">
        <v>175</v>
      </c>
      <c r="I1765" s="10">
        <f>IFERROR(T1765*H1765,0)</f>
        <v/>
      </c>
      <c r="J1765" s="11" t="n">
        <v>46223</v>
      </c>
      <c r="K1765" s="11" t="n">
        <v>46230</v>
      </c>
      <c r="L1765" t="inlineStr">
        <is>
          <t>Ok. Devolvida</t>
        </is>
      </c>
      <c r="M1765">
        <f>IF(L1765="","",IFERROR(VLOOKUP(L1765,mapGrupoStatus,2,0),"Outros"))</f>
        <v/>
      </c>
      <c r="N1765">
        <f>IF(O1765="","",IF(O1765&lt;=30,"0-30 dias",IF(O1765&lt;=60,"31-60 dias",IF(O1765&lt;=90,"61-90 dias","Mais de 90 dias"))))</f>
        <v/>
      </c>
      <c r="O1765">
        <f>IF(OR(M1765="Pendente",M1765="Em andamento"),IF(J1765="","",TODAY()-J1765),"")</f>
        <v/>
      </c>
      <c r="P1765" t="n">
        <v>11898</v>
      </c>
      <c r="Q1765" t="inlineStr">
        <is>
          <t>Refrigel Express (11898)</t>
        </is>
      </c>
      <c r="R1765" t="inlineStr">
        <is>
          <t>PC-0012</t>
        </is>
      </c>
      <c r="S1765" t="inlineStr">
        <is>
          <t>Placa eletrônica modelo 02</t>
        </is>
      </c>
      <c r="T1765" t="n">
        <v>1</v>
      </c>
      <c r="U1765" t="n">
        <v>134</v>
      </c>
      <c r="V1765">
        <f>IF(J1765="","",MONTH(J1765))</f>
        <v/>
      </c>
      <c r="W1765">
        <f>IF(J1765="","",YEAR(J1765))</f>
        <v/>
      </c>
      <c r="X1765" t="inlineStr">
        <is>
          <t>CargoMax</t>
        </is>
      </c>
      <c r="Y1765">
        <f>IFERROR(INDEX(Rastreio!$H$2:$H$200,MATCH(X1765&amp;"|"&amp;U1765,Rastreio!$A$2:$A$200,0)),"")</f>
        <v/>
      </c>
    </row>
    <row r="1766">
      <c r="A1766">
        <f>IFERROR(INDEX(STAs!$G$2:$G$61,MATCH(P1766,STAs!$F$2:$F$61,0))&amp;"","")</f>
        <v/>
      </c>
      <c r="B1766" t="n">
        <v>20024399</v>
      </c>
      <c r="C1766" t="inlineStr">
        <is>
          <t>Não</t>
        </is>
      </c>
      <c r="D1766" t="inlineStr">
        <is>
          <t>MS</t>
        </is>
      </c>
      <c r="E1766" t="inlineStr">
        <is>
          <t>CENTRO OESTE</t>
        </is>
      </c>
      <c r="F1766" t="inlineStr">
        <is>
          <t>Cliente C - Misturador</t>
        </is>
      </c>
      <c r="G1766" t="inlineStr">
        <is>
          <t>Refrigeradores</t>
        </is>
      </c>
      <c r="H1766" s="10" t="n">
        <v>55</v>
      </c>
      <c r="I1766" s="10">
        <f>IFERROR(T1766*H1766,0)</f>
        <v/>
      </c>
      <c r="J1766" s="11" t="n">
        <v>46223</v>
      </c>
      <c r="K1766" s="11" t="n"/>
      <c r="L1766" t="inlineStr">
        <is>
          <t>Aguardando Transporte</t>
        </is>
      </c>
      <c r="M1766">
        <f>IF(L1766="","",IFERROR(VLOOKUP(L1766,mapGrupoStatus,2,0),"Outros"))</f>
        <v/>
      </c>
      <c r="N1766">
        <f>IF(O1766="","",IF(O1766&lt;=30,"0-30 dias",IF(O1766&lt;=60,"31-60 dias",IF(O1766&lt;=90,"61-90 dias","Mais de 90 dias"))))</f>
        <v/>
      </c>
      <c r="O1766">
        <f>IF(OR(M1766="Pendente",M1766="Em andamento"),IF(J1766="","",TODAY()-J1766),"")</f>
        <v/>
      </c>
      <c r="P1766" t="n">
        <v>10302</v>
      </c>
      <c r="Q1766" t="inlineStr">
        <is>
          <t>Ice Tech Express (10302)</t>
        </is>
      </c>
      <c r="R1766" t="inlineStr">
        <is>
          <t>PC-0007</t>
        </is>
      </c>
      <c r="S1766" t="inlineStr">
        <is>
          <t>Ventilador modelo 01</t>
        </is>
      </c>
      <c r="T1766" t="n">
        <v>2</v>
      </c>
      <c r="U1766" t="n">
        <v>145</v>
      </c>
      <c r="V1766">
        <f>IF(J1766="","",MONTH(J1766))</f>
        <v/>
      </c>
      <c r="W1766">
        <f>IF(J1766="","",YEAR(J1766))</f>
        <v/>
      </c>
      <c r="X1766" t="inlineStr">
        <is>
          <t>LogExpress</t>
        </is>
      </c>
      <c r="Y1766">
        <f>IFERROR(INDEX(Rastreio!$H$2:$H$200,MATCH(X1766&amp;"|"&amp;U1766,Rastreio!$A$2:$A$200,0)),"")</f>
        <v/>
      </c>
    </row>
    <row r="1767">
      <c r="A1767">
        <f>IFERROR(INDEX(STAs!$G$2:$G$61,MATCH(P1767,STAs!$F$2:$F$61,0))&amp;"","")</f>
        <v/>
      </c>
      <c r="B1767" t="n">
        <v>20030850</v>
      </c>
      <c r="C1767" t="inlineStr">
        <is>
          <t>Não</t>
        </is>
      </c>
      <c r="D1767" t="inlineStr">
        <is>
          <t>RJ</t>
        </is>
      </c>
      <c r="E1767" t="inlineStr">
        <is>
          <t>SUDESTE RJ e ES</t>
        </is>
      </c>
      <c r="F1767" t="inlineStr">
        <is>
          <t>Cliente B - Chopeira</t>
        </is>
      </c>
      <c r="G1767" t="inlineStr">
        <is>
          <t>Misturadores</t>
        </is>
      </c>
      <c r="H1767" s="10" t="n">
        <v>50</v>
      </c>
      <c r="I1767" s="10">
        <f>IFERROR(T1767*H1767,0)</f>
        <v/>
      </c>
      <c r="J1767" s="11" t="n">
        <v>46223</v>
      </c>
      <c r="K1767" s="11" t="n">
        <v>46228</v>
      </c>
      <c r="L1767" t="inlineStr">
        <is>
          <t>Ok. Devolvida</t>
        </is>
      </c>
      <c r="M1767">
        <f>IF(L1767="","",IFERROR(VLOOKUP(L1767,mapGrupoStatus,2,0),"Outros"))</f>
        <v/>
      </c>
      <c r="N1767">
        <f>IF(O1767="","",IF(O1767&lt;=30,"0-30 dias",IF(O1767&lt;=60,"31-60 dias",IF(O1767&lt;=90,"61-90 dias","Mais de 90 dias"))))</f>
        <v/>
      </c>
      <c r="O1767">
        <f>IF(OR(M1767="Pendente",M1767="Em andamento"),IF(J1767="","",TODAY()-J1767),"")</f>
        <v/>
      </c>
      <c r="P1767" t="n">
        <v>11059</v>
      </c>
      <c r="Q1767" t="inlineStr">
        <is>
          <t>Frio Ltda (11059)</t>
        </is>
      </c>
      <c r="R1767" t="inlineStr">
        <is>
          <t>PC-0045</t>
        </is>
      </c>
      <c r="S1767" t="inlineStr">
        <is>
          <t>Sensor de nível modelo 01</t>
        </is>
      </c>
      <c r="T1767" t="n">
        <v>1</v>
      </c>
      <c r="U1767" t="n">
        <v>154</v>
      </c>
      <c r="V1767">
        <f>IF(J1767="","",MONTH(J1767))</f>
        <v/>
      </c>
      <c r="W1767">
        <f>IF(J1767="","",YEAR(J1767))</f>
        <v/>
      </c>
      <c r="X1767" t="inlineStr">
        <is>
          <t>TransNorte</t>
        </is>
      </c>
      <c r="Y1767">
        <f>IFERROR(INDEX(Rastreio!$H$2:$H$200,MATCH(X1767&amp;"|"&amp;U1767,Rastreio!$A$2:$A$200,0)),"")</f>
        <v/>
      </c>
    </row>
    <row r="1768">
      <c r="A1768">
        <f>IFERROR(INDEX(STAs!$G$2:$G$61,MATCH(P1768,STAs!$F$2:$F$61,0))&amp;"","")</f>
        <v/>
      </c>
      <c r="B1768" t="n">
        <v>20032005</v>
      </c>
      <c r="C1768" t="inlineStr">
        <is>
          <t>Não</t>
        </is>
      </c>
      <c r="D1768" t="inlineStr">
        <is>
          <t>BA</t>
        </is>
      </c>
      <c r="E1768" t="inlineStr">
        <is>
          <t>NORDESTE</t>
        </is>
      </c>
      <c r="F1768" t="inlineStr">
        <is>
          <t>Cliente A - Refrigerador</t>
        </is>
      </c>
      <c r="G1768" t="inlineStr">
        <is>
          <t>Chopeiras</t>
        </is>
      </c>
      <c r="H1768" s="10" t="n">
        <v>85</v>
      </c>
      <c r="I1768" s="10">
        <f>IFERROR(T1768*H1768,0)</f>
        <v/>
      </c>
      <c r="J1768" s="11" t="n">
        <v>46223</v>
      </c>
      <c r="K1768" s="11" t="n"/>
      <c r="L1768" t="inlineStr">
        <is>
          <t>Em andamento</t>
        </is>
      </c>
      <c r="M1768">
        <f>IF(L1768="","",IFERROR(VLOOKUP(L1768,mapGrupoStatus,2,0),"Outros"))</f>
        <v/>
      </c>
      <c r="N1768">
        <f>IF(O1768="","",IF(O1768&lt;=30,"0-30 dias",IF(O1768&lt;=60,"31-60 dias",IF(O1768&lt;=90,"61-90 dias","Mais de 90 dias"))))</f>
        <v/>
      </c>
      <c r="O1768">
        <f>IF(OR(M1768="Pendente",M1768="Em andamento"),IF(J1768="","",TODAY()-J1768),"")</f>
        <v/>
      </c>
      <c r="P1768" t="n">
        <v>11244</v>
      </c>
      <c r="Q1768" t="inlineStr">
        <is>
          <t>Refrigeração Manutenção (11244)</t>
        </is>
      </c>
      <c r="R1768" t="inlineStr">
        <is>
          <t>PC-0026</t>
        </is>
      </c>
      <c r="S1768" t="inlineStr">
        <is>
          <t>Torneira de chopp modelo 01</t>
        </is>
      </c>
      <c r="T1768" t="n">
        <v>1</v>
      </c>
      <c r="U1768" t="n">
        <v>155</v>
      </c>
      <c r="V1768">
        <f>IF(J1768="","",MONTH(J1768))</f>
        <v/>
      </c>
      <c r="W1768">
        <f>IF(J1768="","",YEAR(J1768))</f>
        <v/>
      </c>
      <c r="X1768" t="inlineStr">
        <is>
          <t>RotaSul</t>
        </is>
      </c>
      <c r="Y1768">
        <f>IFERROR(INDEX(Rastreio!$H$2:$H$200,MATCH(X1768&amp;"|"&amp;U1768,Rastreio!$A$2:$A$200,0)),"")</f>
        <v/>
      </c>
    </row>
    <row r="1769">
      <c r="A1769">
        <f>IFERROR(INDEX(STAs!$G$2:$G$61,MATCH(P1769,STAs!$F$2:$F$61,0))&amp;"","")</f>
        <v/>
      </c>
      <c r="B1769" t="n">
        <v>20011652</v>
      </c>
      <c r="C1769" t="inlineStr">
        <is>
          <t>Não</t>
        </is>
      </c>
      <c r="D1769" t="inlineStr">
        <is>
          <t>RR</t>
        </is>
      </c>
      <c r="E1769" t="inlineStr">
        <is>
          <t>NORTE</t>
        </is>
      </c>
      <c r="F1769" t="inlineStr">
        <is>
          <t>Cliente C - Misturador</t>
        </is>
      </c>
      <c r="G1769" t="inlineStr">
        <is>
          <t>Misturadores</t>
        </is>
      </c>
      <c r="H1769" s="10" t="n">
        <v>255</v>
      </c>
      <c r="I1769" s="10">
        <f>IFERROR(T1769*H1769,0)</f>
        <v/>
      </c>
      <c r="J1769" s="11" t="n">
        <v>46224</v>
      </c>
      <c r="K1769" s="11" t="n"/>
      <c r="L1769" t="inlineStr">
        <is>
          <t>Aguardando Transporte</t>
        </is>
      </c>
      <c r="M1769">
        <f>IF(L1769="","",IFERROR(VLOOKUP(L1769,mapGrupoStatus,2,0),"Outros"))</f>
        <v/>
      </c>
      <c r="N1769">
        <f>IF(O1769="","",IF(O1769&lt;=30,"0-30 dias",IF(O1769&lt;=60,"31-60 dias",IF(O1769&lt;=90,"61-90 dias","Mais de 90 dias"))))</f>
        <v/>
      </c>
      <c r="O1769">
        <f>IF(OR(M1769="Pendente",M1769="Em andamento"),IF(J1769="","",TODAY()-J1769),"")</f>
        <v/>
      </c>
      <c r="P1769" t="n">
        <v>11818</v>
      </c>
      <c r="Q1769" t="inlineStr">
        <is>
          <t>Termotec Ltda (11818)</t>
        </is>
      </c>
      <c r="R1769" t="inlineStr">
        <is>
          <t>PC-0039</t>
        </is>
      </c>
      <c r="S1769" t="inlineStr">
        <is>
          <t>Bomba de recirculação modelo 03</t>
        </is>
      </c>
      <c r="T1769" t="n">
        <v>1</v>
      </c>
      <c r="U1769" t="n">
        <v>119</v>
      </c>
      <c r="V1769">
        <f>IF(J1769="","",MONTH(J1769))</f>
        <v/>
      </c>
      <c r="W1769">
        <f>IF(J1769="","",YEAR(J1769))</f>
        <v/>
      </c>
      <c r="X1769" t="inlineStr">
        <is>
          <t>RotaSul</t>
        </is>
      </c>
      <c r="Y1769">
        <f>IFERROR(INDEX(Rastreio!$H$2:$H$200,MATCH(X1769&amp;"|"&amp;U1769,Rastreio!$A$2:$A$200,0)),"")</f>
        <v/>
      </c>
    </row>
    <row r="1770">
      <c r="A1770">
        <f>IFERROR(INDEX(STAs!$G$2:$G$61,MATCH(P1770,STAs!$F$2:$F$61,0))&amp;"","")</f>
        <v/>
      </c>
      <c r="B1770" t="n">
        <v>20017953</v>
      </c>
      <c r="C1770" t="inlineStr">
        <is>
          <t>Não</t>
        </is>
      </c>
      <c r="D1770" t="inlineStr">
        <is>
          <t>MG</t>
        </is>
      </c>
      <c r="E1770" t="inlineStr">
        <is>
          <t>SUDESTE MG</t>
        </is>
      </c>
      <c r="F1770" t="inlineStr">
        <is>
          <t>Cliente A - Refrigerador</t>
        </is>
      </c>
      <c r="G1770" t="inlineStr">
        <is>
          <t>Refrigeradores</t>
        </is>
      </c>
      <c r="H1770" s="10" t="n">
        <v>190</v>
      </c>
      <c r="I1770" s="10">
        <f>IFERROR(T1770*H1770,0)</f>
        <v/>
      </c>
      <c r="J1770" s="11" t="n">
        <v>46224</v>
      </c>
      <c r="K1770" s="11" t="n">
        <v>46280</v>
      </c>
      <c r="L1770" t="inlineStr">
        <is>
          <t>Ok. Devolvida</t>
        </is>
      </c>
      <c r="M1770">
        <f>IF(L1770="","",IFERROR(VLOOKUP(L1770,mapGrupoStatus,2,0),"Outros"))</f>
        <v/>
      </c>
      <c r="N1770">
        <f>IF(O1770="","",IF(O1770&lt;=30,"0-30 dias",IF(O1770&lt;=60,"31-60 dias",IF(O1770&lt;=90,"61-90 dias","Mais de 90 dias"))))</f>
        <v/>
      </c>
      <c r="O1770">
        <f>IF(OR(M1770="Pendente",M1770="Em andamento"),IF(J1770="","",TODAY()-J1770),"")</f>
        <v/>
      </c>
      <c r="P1770" t="n">
        <v>12689</v>
      </c>
      <c r="Q1770" t="inlineStr">
        <is>
          <t>Norte Frio Manutenção (12689)</t>
        </is>
      </c>
      <c r="R1770" t="inlineStr">
        <is>
          <t>PC-0011</t>
        </is>
      </c>
      <c r="S1770" t="inlineStr">
        <is>
          <t>Placa eletrônica modelo 01</t>
        </is>
      </c>
      <c r="T1770" t="n">
        <v>1</v>
      </c>
      <c r="U1770" t="n">
        <v>127</v>
      </c>
      <c r="V1770">
        <f>IF(J1770="","",MONTH(J1770))</f>
        <v/>
      </c>
      <c r="W1770">
        <f>IF(J1770="","",YEAR(J1770))</f>
        <v/>
      </c>
      <c r="X1770" t="inlineStr">
        <is>
          <t>EntregaJá</t>
        </is>
      </c>
      <c r="Y1770">
        <f>IFERROR(INDEX(Rastreio!$H$2:$H$200,MATCH(X1770&amp;"|"&amp;U1770,Rastreio!$A$2:$A$200,0)),"")</f>
        <v/>
      </c>
    </row>
    <row r="1771">
      <c r="A1771">
        <f>IFERROR(INDEX(STAs!$G$2:$G$61,MATCH(P1771,STAs!$F$2:$F$61,0))&amp;"","")</f>
        <v/>
      </c>
      <c r="B1771" t="n">
        <v>20029807</v>
      </c>
      <c r="C1771" t="inlineStr">
        <is>
          <t>Não</t>
        </is>
      </c>
      <c r="D1771" t="inlineStr">
        <is>
          <t>AC</t>
        </is>
      </c>
      <c r="E1771" t="inlineStr">
        <is>
          <t>NORTE</t>
        </is>
      </c>
      <c r="F1771" t="inlineStr">
        <is>
          <t>Cliente B - Chopeira</t>
        </is>
      </c>
      <c r="G1771" t="inlineStr">
        <is>
          <t>Refrigeradores</t>
        </is>
      </c>
      <c r="H1771" s="10" t="n">
        <v>315</v>
      </c>
      <c r="I1771" s="10">
        <f>IFERROR(T1771*H1771,0)</f>
        <v/>
      </c>
      <c r="J1771" s="11" t="n">
        <v>46224</v>
      </c>
      <c r="K1771" s="11" t="n"/>
      <c r="L1771" t="inlineStr">
        <is>
          <t>Não Devolve-Norte</t>
        </is>
      </c>
      <c r="M1771">
        <f>IF(L1771="","",IFERROR(VLOOKUP(L1771,mapGrupoStatus,2,0),"Outros"))</f>
        <v/>
      </c>
      <c r="N1771">
        <f>IF(O1771="","",IF(O1771&lt;=30,"0-30 dias",IF(O1771&lt;=60,"31-60 dias",IF(O1771&lt;=90,"61-90 dias","Mais de 90 dias"))))</f>
        <v/>
      </c>
      <c r="O1771">
        <f>IF(OR(M1771="Pendente",M1771="Em andamento"),IF(J1771="","",TODAY()-J1771),"")</f>
        <v/>
      </c>
      <c r="P1771" t="n">
        <v>11022</v>
      </c>
      <c r="Q1771" t="inlineStr">
        <is>
          <t>Brisa Ltda (11022)</t>
        </is>
      </c>
      <c r="R1771" t="inlineStr">
        <is>
          <t>PC-0002</t>
        </is>
      </c>
      <c r="S1771" t="inlineStr">
        <is>
          <t>Compressor modelo 02</t>
        </is>
      </c>
      <c r="T1771" t="n">
        <v>1</v>
      </c>
      <c r="U1771" t="inlineStr"/>
      <c r="V1771">
        <f>IF(J1771="","",MONTH(J1771))</f>
        <v/>
      </c>
      <c r="W1771">
        <f>IF(J1771="","",YEAR(J1771))</f>
        <v/>
      </c>
      <c r="X1771" t="inlineStr"/>
      <c r="Y1771">
        <f>IFERROR(INDEX(Rastreio!$H$2:$H$200,MATCH(X1771&amp;"|"&amp;U1771,Rastreio!$A$2:$A$200,0)),"")</f>
        <v/>
      </c>
    </row>
    <row r="1772">
      <c r="A1772">
        <f>IFERROR(INDEX(STAs!$G$2:$G$61,MATCH(P1772,STAs!$F$2:$F$61,0))&amp;"","")</f>
        <v/>
      </c>
      <c r="B1772" t="n">
        <v>20032484</v>
      </c>
      <c r="C1772" t="inlineStr">
        <is>
          <t>Não</t>
        </is>
      </c>
      <c r="D1772" t="inlineStr">
        <is>
          <t>AP</t>
        </is>
      </c>
      <c r="E1772" t="inlineStr">
        <is>
          <t>NORTE</t>
        </is>
      </c>
      <c r="F1772" t="inlineStr">
        <is>
          <t>Cliente B - Chopeira</t>
        </is>
      </c>
      <c r="G1772" t="inlineStr">
        <is>
          <t>Refrigeradores</t>
        </is>
      </c>
      <c r="H1772" s="10" t="n">
        <v>45</v>
      </c>
      <c r="I1772" s="10">
        <f>IFERROR(T1772*H1772,0)</f>
        <v/>
      </c>
      <c r="J1772" s="11" t="n">
        <v>46224</v>
      </c>
      <c r="K1772" s="11" t="n">
        <v>46261</v>
      </c>
      <c r="L1772" t="inlineStr">
        <is>
          <t>Ok. Devolvida</t>
        </is>
      </c>
      <c r="M1772">
        <f>IF(L1772="","",IFERROR(VLOOKUP(L1772,mapGrupoStatus,2,0),"Outros"))</f>
        <v/>
      </c>
      <c r="N1772">
        <f>IF(O1772="","",IF(O1772&lt;=30,"0-30 dias",IF(O1772&lt;=60,"31-60 dias",IF(O1772&lt;=90,"61-90 dias","Mais de 90 dias"))))</f>
        <v/>
      </c>
      <c r="O1772">
        <f>IF(OR(M1772="Pendente",M1772="Em andamento"),IF(J1772="","",TODAY()-J1772),"")</f>
        <v/>
      </c>
      <c r="P1772" t="n">
        <v>11859</v>
      </c>
      <c r="Q1772" t="inlineStr">
        <is>
          <t>Ice Tech Serviços (11859)</t>
        </is>
      </c>
      <c r="R1772" t="inlineStr">
        <is>
          <t>PC-0018</t>
        </is>
      </c>
      <c r="S1772" t="inlineStr">
        <is>
          <t>Gaxeta da porta modelo 01</t>
        </is>
      </c>
      <c r="T1772" t="n">
        <v>1</v>
      </c>
      <c r="U1772" t="n">
        <v>151</v>
      </c>
      <c r="V1772">
        <f>IF(J1772="","",MONTH(J1772))</f>
        <v/>
      </c>
      <c r="W1772">
        <f>IF(J1772="","",YEAR(J1772))</f>
        <v/>
      </c>
      <c r="X1772" t="inlineStr">
        <is>
          <t>ViaCargo</t>
        </is>
      </c>
      <c r="Y1772">
        <f>IFERROR(INDEX(Rastreio!$H$2:$H$200,MATCH(X1772&amp;"|"&amp;U1772,Rastreio!$A$2:$A$200,0)),"")</f>
        <v/>
      </c>
    </row>
    <row r="1773">
      <c r="A1773">
        <f>IFERROR(INDEX(STAs!$G$2:$G$61,MATCH(P1773,STAs!$F$2:$F$61,0))&amp;"","")</f>
        <v/>
      </c>
      <c r="B1773" t="n">
        <v>20036175</v>
      </c>
      <c r="C1773" t="inlineStr">
        <is>
          <t>Não</t>
        </is>
      </c>
      <c r="D1773" t="inlineStr">
        <is>
          <t>RR</t>
        </is>
      </c>
      <c r="E1773" t="inlineStr">
        <is>
          <t>NORTE</t>
        </is>
      </c>
      <c r="F1773" t="inlineStr">
        <is>
          <t>Cliente A - Refrigerador</t>
        </is>
      </c>
      <c r="G1773" t="inlineStr">
        <is>
          <t>Misturadores</t>
        </is>
      </c>
      <c r="H1773" s="10" t="n">
        <v>185</v>
      </c>
      <c r="I1773" s="10">
        <f>IFERROR(T1773*H1773,0)</f>
        <v/>
      </c>
      <c r="J1773" s="11" t="n">
        <v>46224</v>
      </c>
      <c r="K1773" s="11" t="n"/>
      <c r="L1773" t="inlineStr">
        <is>
          <t>NF Vencida</t>
        </is>
      </c>
      <c r="M1773">
        <f>IF(L1773="","",IFERROR(VLOOKUP(L1773,mapGrupoStatus,2,0),"Outros"))</f>
        <v/>
      </c>
      <c r="N1773">
        <f>IF(O1773="","",IF(O1773&lt;=30,"0-30 dias",IF(O1773&lt;=60,"31-60 dias",IF(O1773&lt;=90,"61-90 dias","Mais de 90 dias"))))</f>
        <v/>
      </c>
      <c r="O1773">
        <f>IF(OR(M1773="Pendente",M1773="Em andamento"),IF(J1773="","",TODAY()-J1773),"")</f>
        <v/>
      </c>
      <c r="P1773" t="n">
        <v>11818</v>
      </c>
      <c r="Q1773" t="inlineStr">
        <is>
          <t>Termotec Ltda (11818)</t>
        </is>
      </c>
      <c r="R1773" t="inlineStr">
        <is>
          <t>PC-0041</t>
        </is>
      </c>
      <c r="S1773" t="inlineStr">
        <is>
          <t>Motor agitador modelo 02</t>
        </is>
      </c>
      <c r="T1773" t="n">
        <v>1</v>
      </c>
      <c r="U1773" t="inlineStr"/>
      <c r="V1773">
        <f>IF(J1773="","",MONTH(J1773))</f>
        <v/>
      </c>
      <c r="W1773">
        <f>IF(J1773="","",YEAR(J1773))</f>
        <v/>
      </c>
      <c r="X1773" t="inlineStr"/>
      <c r="Y1773">
        <f>IFERROR(INDEX(Rastreio!$H$2:$H$200,MATCH(X1773&amp;"|"&amp;U1773,Rastreio!$A$2:$A$200,0)),"")</f>
        <v/>
      </c>
    </row>
    <row r="1774">
      <c r="A1774">
        <f>IFERROR(INDEX(STAs!$G$2:$G$61,MATCH(P1774,STAs!$F$2:$F$61,0))&amp;"","")</f>
        <v/>
      </c>
      <c r="B1774" t="n">
        <v>20009544</v>
      </c>
      <c r="C1774" t="inlineStr">
        <is>
          <t>Não</t>
        </is>
      </c>
      <c r="D1774" t="inlineStr">
        <is>
          <t>MG</t>
        </is>
      </c>
      <c r="E1774" t="inlineStr">
        <is>
          <t>SUDESTE MG</t>
        </is>
      </c>
      <c r="F1774" t="inlineStr">
        <is>
          <t>Cliente C - Misturador</t>
        </is>
      </c>
      <c r="G1774" t="inlineStr">
        <is>
          <t>Chopeiras</t>
        </is>
      </c>
      <c r="H1774" s="10" t="n">
        <v>210</v>
      </c>
      <c r="I1774" s="10">
        <f>IFERROR(T1774*H1774,0)</f>
        <v/>
      </c>
      <c r="J1774" s="11" t="n">
        <v>46225</v>
      </c>
      <c r="K1774" s="11" t="n"/>
      <c r="L1774" t="inlineStr">
        <is>
          <t>Aguardando Transporte</t>
        </is>
      </c>
      <c r="M1774">
        <f>IF(L1774="","",IFERROR(VLOOKUP(L1774,mapGrupoStatus,2,0),"Outros"))</f>
        <v/>
      </c>
      <c r="N1774">
        <f>IF(O1774="","",IF(O1774&lt;=30,"0-30 dias",IF(O1774&lt;=60,"31-60 dias",IF(O1774&lt;=90,"61-90 dias","Mais de 90 dias"))))</f>
        <v/>
      </c>
      <c r="O1774">
        <f>IF(OR(M1774="Pendente",M1774="Em andamento"),IF(J1774="","",TODAY()-J1774),"")</f>
        <v/>
      </c>
      <c r="P1774" t="n">
        <v>12689</v>
      </c>
      <c r="Q1774" t="inlineStr">
        <is>
          <t>Norte Frio Manutenção (12689)</t>
        </is>
      </c>
      <c r="R1774" t="inlineStr">
        <is>
          <t>PC-0029</t>
        </is>
      </c>
      <c r="S1774" t="inlineStr">
        <is>
          <t>Serpentina modelo 01</t>
        </is>
      </c>
      <c r="T1774" t="n">
        <v>1</v>
      </c>
      <c r="U1774" t="n">
        <v>119</v>
      </c>
      <c r="V1774">
        <f>IF(J1774="","",MONTH(J1774))</f>
        <v/>
      </c>
      <c r="W1774">
        <f>IF(J1774="","",YEAR(J1774))</f>
        <v/>
      </c>
      <c r="X1774" t="inlineStr">
        <is>
          <t>EntregaJá</t>
        </is>
      </c>
      <c r="Y1774">
        <f>IFERROR(INDEX(Rastreio!$H$2:$H$200,MATCH(X1774&amp;"|"&amp;U1774,Rastreio!$A$2:$A$200,0)),"")</f>
        <v/>
      </c>
    </row>
    <row r="1775">
      <c r="A1775">
        <f>IFERROR(INDEX(STAs!$G$2:$G$61,MATCH(P1775,STAs!$F$2:$F$61,0))&amp;"","")</f>
        <v/>
      </c>
      <c r="B1775" t="n">
        <v>20012376</v>
      </c>
      <c r="C1775" t="inlineStr">
        <is>
          <t>Não</t>
        </is>
      </c>
      <c r="D1775" t="inlineStr">
        <is>
          <t>RJ</t>
        </is>
      </c>
      <c r="E1775" t="inlineStr">
        <is>
          <t>SUDESTE RJ e ES</t>
        </is>
      </c>
      <c r="F1775" t="inlineStr">
        <is>
          <t>Cliente C - Misturador</t>
        </is>
      </c>
      <c r="G1775" t="inlineStr">
        <is>
          <t>Refrigeradores</t>
        </is>
      </c>
      <c r="H1775" s="10" t="n">
        <v>35</v>
      </c>
      <c r="I1775" s="10">
        <f>IFERROR(T1775*H1775,0)</f>
        <v/>
      </c>
      <c r="J1775" s="11" t="n">
        <v>46225</v>
      </c>
      <c r="K1775" s="11" t="n">
        <v>46276</v>
      </c>
      <c r="L1775" t="inlineStr">
        <is>
          <t>Ok. Devolvida</t>
        </is>
      </c>
      <c r="M1775">
        <f>IF(L1775="","",IFERROR(VLOOKUP(L1775,mapGrupoStatus,2,0),"Outros"))</f>
        <v/>
      </c>
      <c r="N1775">
        <f>IF(O1775="","",IF(O1775&lt;=30,"0-30 dias",IF(O1775&lt;=60,"31-60 dias",IF(O1775&lt;=90,"61-90 dias","Mais de 90 dias"))))</f>
        <v/>
      </c>
      <c r="O1775">
        <f>IF(OR(M1775="Pendente",M1775="Em andamento"),IF(J1775="","",TODAY()-J1775),"")</f>
        <v/>
      </c>
      <c r="P1775" t="n">
        <v>11059</v>
      </c>
      <c r="Q1775" t="inlineStr">
        <is>
          <t>Frio Ltda (11059)</t>
        </is>
      </c>
      <c r="R1775" t="inlineStr">
        <is>
          <t>PC-0024</t>
        </is>
      </c>
      <c r="S1775" t="inlineStr">
        <is>
          <t>Relé de partida modelo 02</t>
        </is>
      </c>
      <c r="T1775" t="n">
        <v>1</v>
      </c>
      <c r="U1775" t="n">
        <v>125</v>
      </c>
      <c r="V1775">
        <f>IF(J1775="","",MONTH(J1775))</f>
        <v/>
      </c>
      <c r="W1775">
        <f>IF(J1775="","",YEAR(J1775))</f>
        <v/>
      </c>
      <c r="X1775" t="inlineStr">
        <is>
          <t>ViaCargo</t>
        </is>
      </c>
      <c r="Y1775">
        <f>IFERROR(INDEX(Rastreio!$H$2:$H$200,MATCH(X1775&amp;"|"&amp;U1775,Rastreio!$A$2:$A$200,0)),"")</f>
        <v/>
      </c>
    </row>
    <row r="1776">
      <c r="A1776">
        <f>IFERROR(INDEX(STAs!$G$2:$G$61,MATCH(P1776,STAs!$F$2:$F$61,0))&amp;"","")</f>
        <v/>
      </c>
      <c r="B1776" t="n">
        <v>20022883</v>
      </c>
      <c r="C1776" t="inlineStr">
        <is>
          <t>Não</t>
        </is>
      </c>
      <c r="D1776" t="inlineStr">
        <is>
          <t>PA</t>
        </is>
      </c>
      <c r="E1776" t="inlineStr">
        <is>
          <t>NORTE</t>
        </is>
      </c>
      <c r="F1776" t="inlineStr">
        <is>
          <t>Cliente C - Misturador</t>
        </is>
      </c>
      <c r="G1776" t="inlineStr">
        <is>
          <t>Refrigeradores</t>
        </is>
      </c>
      <c r="H1776" s="10" t="n">
        <v>155</v>
      </c>
      <c r="I1776" s="10">
        <f>IFERROR(T1776*H1776,0)</f>
        <v/>
      </c>
      <c r="J1776" s="11" t="n">
        <v>46225</v>
      </c>
      <c r="K1776" s="11" t="n"/>
      <c r="L1776" t="inlineStr">
        <is>
          <t>Não Devolve-Norte</t>
        </is>
      </c>
      <c r="M1776">
        <f>IF(L1776="","",IFERROR(VLOOKUP(L1776,mapGrupoStatus,2,0),"Outros"))</f>
        <v/>
      </c>
      <c r="N1776">
        <f>IF(O1776="","",IF(O1776&lt;=30,"0-30 dias",IF(O1776&lt;=60,"31-60 dias",IF(O1776&lt;=90,"61-90 dias","Mais de 90 dias"))))</f>
        <v/>
      </c>
      <c r="O1776">
        <f>IF(OR(M1776="Pendente",M1776="Em andamento"),IF(J1776="","",TODAY()-J1776),"")</f>
        <v/>
      </c>
      <c r="P1776" t="n">
        <v>11986</v>
      </c>
      <c r="Q1776" t="inlineStr">
        <is>
          <t>Polar Serviços (11986)</t>
        </is>
      </c>
      <c r="R1776" t="inlineStr">
        <is>
          <t>PC-0021</t>
        </is>
      </c>
      <c r="S1776" t="inlineStr">
        <is>
          <t>Controlador digital modelo 01</t>
        </is>
      </c>
      <c r="T1776" t="n">
        <v>1</v>
      </c>
      <c r="U1776" t="inlineStr"/>
      <c r="V1776">
        <f>IF(J1776="","",MONTH(J1776))</f>
        <v/>
      </c>
      <c r="W1776">
        <f>IF(J1776="","",YEAR(J1776))</f>
        <v/>
      </c>
      <c r="X1776" t="inlineStr"/>
      <c r="Y1776">
        <f>IFERROR(INDEX(Rastreio!$H$2:$H$200,MATCH(X1776&amp;"|"&amp;U1776,Rastreio!$A$2:$A$200,0)),"")</f>
        <v/>
      </c>
    </row>
    <row r="1777">
      <c r="A1777">
        <f>IFERROR(INDEX(STAs!$G$2:$G$61,MATCH(P1777,STAs!$F$2:$F$61,0))&amp;"","")</f>
        <v/>
      </c>
      <c r="B1777" t="n">
        <v>20029477</v>
      </c>
      <c r="C1777" t="inlineStr">
        <is>
          <t>Sim</t>
        </is>
      </c>
      <c r="D1777" t="inlineStr">
        <is>
          <t>PR</t>
        </is>
      </c>
      <c r="E1777" t="inlineStr">
        <is>
          <t>SUL</t>
        </is>
      </c>
      <c r="F1777" t="inlineStr">
        <is>
          <t>Cliente B - Chopeira</t>
        </is>
      </c>
      <c r="G1777" t="inlineStr">
        <is>
          <t>Misturadores</t>
        </is>
      </c>
      <c r="H1777" s="10" t="n">
        <v>185</v>
      </c>
      <c r="I1777" s="10">
        <f>IFERROR(T1777*H1777,0)</f>
        <v/>
      </c>
      <c r="J1777" s="11" t="n">
        <v>46225</v>
      </c>
      <c r="K1777" s="11" t="n"/>
      <c r="L1777" t="inlineStr">
        <is>
          <t>Em transporte</t>
        </is>
      </c>
      <c r="M1777">
        <f>IF(L1777="","",IFERROR(VLOOKUP(L1777,mapGrupoStatus,2,0),"Outros"))</f>
        <v/>
      </c>
      <c r="N1777">
        <f>IF(O1777="","",IF(O1777&lt;=30,"0-30 dias",IF(O1777&lt;=60,"31-60 dias",IF(O1777&lt;=90,"61-90 dias","Mais de 90 dias"))))</f>
        <v/>
      </c>
      <c r="O1777">
        <f>IF(OR(M1777="Pendente",M1777="Em andamento"),IF(J1777="","",TODAY()-J1777),"")</f>
        <v/>
      </c>
      <c r="P1777" t="n">
        <v>12724</v>
      </c>
      <c r="Q1777" t="inlineStr">
        <is>
          <t>Cool Service &amp; Cia (12724)</t>
        </is>
      </c>
      <c r="R1777" t="inlineStr">
        <is>
          <t>PC-0041</t>
        </is>
      </c>
      <c r="S1777" t="inlineStr">
        <is>
          <t>Motor agitador modelo 02</t>
        </is>
      </c>
      <c r="T1777" t="n">
        <v>2</v>
      </c>
      <c r="U1777" t="n">
        <v>152</v>
      </c>
      <c r="V1777">
        <f>IF(J1777="","",MONTH(J1777))</f>
        <v/>
      </c>
      <c r="W1777">
        <f>IF(J1777="","",YEAR(J1777))</f>
        <v/>
      </c>
      <c r="X1777" t="inlineStr">
        <is>
          <t>TransNorte</t>
        </is>
      </c>
      <c r="Y1777">
        <f>IFERROR(INDEX(Rastreio!$H$2:$H$200,MATCH(X1777&amp;"|"&amp;U1777,Rastreio!$A$2:$A$200,0)),"")</f>
        <v/>
      </c>
    </row>
    <row r="1778">
      <c r="A1778">
        <f>IFERROR(INDEX(STAs!$G$2:$G$61,MATCH(P1778,STAs!$F$2:$F$61,0))&amp;"","")</f>
        <v/>
      </c>
      <c r="B1778" t="n">
        <v>20030415</v>
      </c>
      <c r="C1778" t="inlineStr">
        <is>
          <t>Não</t>
        </is>
      </c>
      <c r="D1778" t="inlineStr">
        <is>
          <t>ES</t>
        </is>
      </c>
      <c r="E1778" t="inlineStr">
        <is>
          <t>SUDESTE RJ e ES</t>
        </is>
      </c>
      <c r="F1778" t="inlineStr">
        <is>
          <t>Cliente C - Misturador</t>
        </is>
      </c>
      <c r="G1778" t="inlineStr">
        <is>
          <t>Refrigeradores</t>
        </is>
      </c>
      <c r="H1778" s="10" t="n">
        <v>190</v>
      </c>
      <c r="I1778" s="10">
        <f>IFERROR(T1778*H1778,0)</f>
        <v/>
      </c>
      <c r="J1778" s="11" t="n">
        <v>46225</v>
      </c>
      <c r="K1778" s="11" t="n"/>
      <c r="L1778" t="inlineStr">
        <is>
          <t>Aguardando devolução</t>
        </is>
      </c>
      <c r="M1778">
        <f>IF(L1778="","",IFERROR(VLOOKUP(L1778,mapGrupoStatus,2,0),"Outros"))</f>
        <v/>
      </c>
      <c r="N1778">
        <f>IF(O1778="","",IF(O1778&lt;=30,"0-30 dias",IF(O1778&lt;=60,"31-60 dias",IF(O1778&lt;=90,"61-90 dias","Mais de 90 dias"))))</f>
        <v/>
      </c>
      <c r="O1778">
        <f>IF(OR(M1778="Pendente",M1778="Em andamento"),IF(J1778="","",TODAY()-J1778),"")</f>
        <v/>
      </c>
      <c r="P1778" t="n">
        <v>12555</v>
      </c>
      <c r="Q1778" t="inlineStr">
        <is>
          <t>Cool Service Serviços (12555)</t>
        </is>
      </c>
      <c r="R1778" t="inlineStr">
        <is>
          <t>PC-0014</t>
        </is>
      </c>
      <c r="S1778" t="inlineStr">
        <is>
          <t>Placa eletrônica modelo 04</t>
        </is>
      </c>
      <c r="T1778" t="n">
        <v>1</v>
      </c>
      <c r="U1778" t="inlineStr"/>
      <c r="V1778">
        <f>IF(J1778="","",MONTH(J1778))</f>
        <v/>
      </c>
      <c r="W1778">
        <f>IF(J1778="","",YEAR(J1778))</f>
        <v/>
      </c>
      <c r="X1778" t="inlineStr"/>
      <c r="Y1778">
        <f>IFERROR(INDEX(Rastreio!$H$2:$H$200,MATCH(X1778&amp;"|"&amp;U1778,Rastreio!$A$2:$A$200,0)),"")</f>
        <v/>
      </c>
    </row>
    <row r="1779">
      <c r="A1779">
        <f>IFERROR(INDEX(STAs!$G$2:$G$61,MATCH(P1779,STAs!$F$2:$F$61,0))&amp;"","")</f>
        <v/>
      </c>
      <c r="B1779" t="n">
        <v>20036023</v>
      </c>
      <c r="C1779" t="inlineStr">
        <is>
          <t>Não</t>
        </is>
      </c>
      <c r="D1779" t="inlineStr">
        <is>
          <t>AC</t>
        </is>
      </c>
      <c r="E1779" t="inlineStr">
        <is>
          <t>NORTE</t>
        </is>
      </c>
      <c r="F1779" t="inlineStr">
        <is>
          <t>Cliente B - Chopeira</t>
        </is>
      </c>
      <c r="G1779" t="inlineStr">
        <is>
          <t>Misturadores</t>
        </is>
      </c>
      <c r="H1779" s="10" t="n">
        <v>35</v>
      </c>
      <c r="I1779" s="10">
        <f>IFERROR(T1779*H1779,0)</f>
        <v/>
      </c>
      <c r="J1779" s="11" t="n">
        <v>46225</v>
      </c>
      <c r="K1779" s="11" t="n">
        <v>46280</v>
      </c>
      <c r="L1779" t="inlineStr">
        <is>
          <t>Ok. Devolvida</t>
        </is>
      </c>
      <c r="M1779">
        <f>IF(L1779="","",IFERROR(VLOOKUP(L1779,mapGrupoStatus,2,0),"Outros"))</f>
        <v/>
      </c>
      <c r="N1779">
        <f>IF(O1779="","",IF(O1779&lt;=30,"0-30 dias",IF(O1779&lt;=60,"31-60 dias",IF(O1779&lt;=90,"61-90 dias","Mais de 90 dias"))))</f>
        <v/>
      </c>
      <c r="O1779">
        <f>IF(OR(M1779="Pendente",M1779="Em andamento"),IF(J1779="","",TODAY()-J1779),"")</f>
        <v/>
      </c>
      <c r="P1779" t="n">
        <v>10372</v>
      </c>
      <c r="Q1779" t="inlineStr">
        <is>
          <t>Zero Grau ME (10372)</t>
        </is>
      </c>
      <c r="R1779" t="inlineStr">
        <is>
          <t>PC-0043</t>
        </is>
      </c>
      <c r="S1779" t="inlineStr">
        <is>
          <t>Bico dosador modelo 02</t>
        </is>
      </c>
      <c r="T1779" t="n">
        <v>1</v>
      </c>
      <c r="U1779" t="n">
        <v>163</v>
      </c>
      <c r="V1779">
        <f>IF(J1779="","",MONTH(J1779))</f>
        <v/>
      </c>
      <c r="W1779">
        <f>IF(J1779="","",YEAR(J1779))</f>
        <v/>
      </c>
      <c r="X1779" t="inlineStr">
        <is>
          <t>LogExpress</t>
        </is>
      </c>
      <c r="Y1779">
        <f>IFERROR(INDEX(Rastreio!$H$2:$H$200,MATCH(X1779&amp;"|"&amp;U1779,Rastreio!$A$2:$A$200,0)),"")</f>
        <v/>
      </c>
    </row>
    <row r="1780">
      <c r="A1780">
        <f>IFERROR(INDEX(STAs!$G$2:$G$61,MATCH(P1780,STAs!$F$2:$F$61,0))&amp;"","")</f>
        <v/>
      </c>
      <c r="B1780" t="n">
        <v>20020303</v>
      </c>
      <c r="C1780" t="inlineStr">
        <is>
          <t>Não</t>
        </is>
      </c>
      <c r="D1780" t="inlineStr">
        <is>
          <t>SP</t>
        </is>
      </c>
      <c r="E1780" t="inlineStr">
        <is>
          <t>SUDESTE SP</t>
        </is>
      </c>
      <c r="F1780" t="inlineStr">
        <is>
          <t>Cliente A - Refrigerador</t>
        </is>
      </c>
      <c r="G1780" t="inlineStr">
        <is>
          <t>Chopeiras</t>
        </is>
      </c>
      <c r="H1780" s="10" t="n">
        <v>210</v>
      </c>
      <c r="I1780" s="10">
        <f>IFERROR(T1780*H1780,0)</f>
        <v/>
      </c>
      <c r="J1780" s="11" t="n">
        <v>46226</v>
      </c>
      <c r="K1780" s="11" t="n">
        <v>46281</v>
      </c>
      <c r="L1780" t="inlineStr">
        <is>
          <t>Ok. Devolvida</t>
        </is>
      </c>
      <c r="M1780">
        <f>IF(L1780="","",IFERROR(VLOOKUP(L1780,mapGrupoStatus,2,0),"Outros"))</f>
        <v/>
      </c>
      <c r="N1780">
        <f>IF(O1780="","",IF(O1780&lt;=30,"0-30 dias",IF(O1780&lt;=60,"31-60 dias",IF(O1780&lt;=90,"61-90 dias","Mais de 90 dias"))))</f>
        <v/>
      </c>
      <c r="O1780">
        <f>IF(OR(M1780="Pendente",M1780="Em andamento"),IF(J1780="","",TODAY()-J1780),"")</f>
        <v/>
      </c>
      <c r="P1780" t="n">
        <v>11365</v>
      </c>
      <c r="Q1780" t="inlineStr">
        <is>
          <t>Ártico Express (11365)</t>
        </is>
      </c>
      <c r="R1780" t="inlineStr">
        <is>
          <t>PC-0029</t>
        </is>
      </c>
      <c r="S1780" t="inlineStr">
        <is>
          <t>Serpentina modelo 01</t>
        </is>
      </c>
      <c r="T1780" t="n">
        <v>1</v>
      </c>
      <c r="U1780" t="n">
        <v>131</v>
      </c>
      <c r="V1780">
        <f>IF(J1780="","",MONTH(J1780))</f>
        <v/>
      </c>
      <c r="W1780">
        <f>IF(J1780="","",YEAR(J1780))</f>
        <v/>
      </c>
      <c r="X1780" t="inlineStr">
        <is>
          <t>TransNorte</t>
        </is>
      </c>
      <c r="Y1780">
        <f>IFERROR(INDEX(Rastreio!$H$2:$H$200,MATCH(X1780&amp;"|"&amp;U1780,Rastreio!$A$2:$A$200,0)),"")</f>
        <v/>
      </c>
    </row>
    <row r="1781">
      <c r="A1781">
        <f>IFERROR(INDEX(STAs!$G$2:$G$61,MATCH(P1781,STAs!$F$2:$F$61,0))&amp;"","")</f>
        <v/>
      </c>
      <c r="B1781" t="n">
        <v>20020407</v>
      </c>
      <c r="C1781" t="inlineStr">
        <is>
          <t>Não</t>
        </is>
      </c>
      <c r="D1781" t="inlineStr">
        <is>
          <t>MG</t>
        </is>
      </c>
      <c r="E1781" t="inlineStr">
        <is>
          <t>SUDESTE MG</t>
        </is>
      </c>
      <c r="F1781" t="inlineStr">
        <is>
          <t>Cliente A - Refrigerador</t>
        </is>
      </c>
      <c r="G1781" t="inlineStr">
        <is>
          <t>Refrigeradores</t>
        </is>
      </c>
      <c r="H1781" s="10" t="n">
        <v>155</v>
      </c>
      <c r="I1781" s="10">
        <f>IFERROR(T1781*H1781,0)</f>
        <v/>
      </c>
      <c r="J1781" s="11" t="n">
        <v>46226</v>
      </c>
      <c r="K1781" s="11" t="n">
        <v>46279</v>
      </c>
      <c r="L1781" t="inlineStr">
        <is>
          <t>Ok. Devolvida</t>
        </is>
      </c>
      <c r="M1781">
        <f>IF(L1781="","",IFERROR(VLOOKUP(L1781,mapGrupoStatus,2,0),"Outros"))</f>
        <v/>
      </c>
      <c r="N1781">
        <f>IF(O1781="","",IF(O1781&lt;=30,"0-30 dias",IF(O1781&lt;=60,"31-60 dias",IF(O1781&lt;=90,"61-90 dias","Mais de 90 dias"))))</f>
        <v/>
      </c>
      <c r="O1781">
        <f>IF(OR(M1781="Pendente",M1781="Em andamento"),IF(J1781="","",TODAY()-J1781),"")</f>
        <v/>
      </c>
      <c r="P1781" t="n">
        <v>11619</v>
      </c>
      <c r="Q1781" t="inlineStr">
        <is>
          <t>Refrigeração Ltda (11619)</t>
        </is>
      </c>
      <c r="R1781" t="inlineStr">
        <is>
          <t>PC-0021</t>
        </is>
      </c>
      <c r="S1781" t="inlineStr">
        <is>
          <t>Controlador digital modelo 01</t>
        </is>
      </c>
      <c r="T1781" t="n">
        <v>1</v>
      </c>
      <c r="U1781" t="n">
        <v>130</v>
      </c>
      <c r="V1781">
        <f>IF(J1781="","",MONTH(J1781))</f>
        <v/>
      </c>
      <c r="W1781">
        <f>IF(J1781="","",YEAR(J1781))</f>
        <v/>
      </c>
      <c r="X1781" t="inlineStr">
        <is>
          <t>EntregaJá</t>
        </is>
      </c>
      <c r="Y1781">
        <f>IFERROR(INDEX(Rastreio!$H$2:$H$200,MATCH(X1781&amp;"|"&amp;U1781,Rastreio!$A$2:$A$200,0)),"")</f>
        <v/>
      </c>
    </row>
    <row r="1782">
      <c r="A1782">
        <f>IFERROR(INDEX(STAs!$G$2:$G$61,MATCH(P1782,STAs!$F$2:$F$61,0))&amp;"","")</f>
        <v/>
      </c>
      <c r="B1782" t="n">
        <v>20021245</v>
      </c>
      <c r="C1782" t="inlineStr">
        <is>
          <t>Não</t>
        </is>
      </c>
      <c r="D1782" t="inlineStr">
        <is>
          <t>RJ</t>
        </is>
      </c>
      <c r="E1782" t="inlineStr">
        <is>
          <t>SUDESTE RJ e ES</t>
        </is>
      </c>
      <c r="F1782" t="inlineStr">
        <is>
          <t>Cliente C - Misturador</t>
        </is>
      </c>
      <c r="G1782" t="inlineStr">
        <is>
          <t>Misturadores</t>
        </is>
      </c>
      <c r="H1782" s="10" t="n">
        <v>255</v>
      </c>
      <c r="I1782" s="10">
        <f>IFERROR(T1782*H1782,0)</f>
        <v/>
      </c>
      <c r="J1782" s="11" t="n">
        <v>46226</v>
      </c>
      <c r="K1782" s="11" t="n">
        <v>46233</v>
      </c>
      <c r="L1782" t="inlineStr">
        <is>
          <t>Ok. Devolvida</t>
        </is>
      </c>
      <c r="M1782">
        <f>IF(L1782="","",IFERROR(VLOOKUP(L1782,mapGrupoStatus,2,0),"Outros"))</f>
        <v/>
      </c>
      <c r="N1782">
        <f>IF(O1782="","",IF(O1782&lt;=30,"0-30 dias",IF(O1782&lt;=60,"31-60 dias",IF(O1782&lt;=90,"61-90 dias","Mais de 90 dias"))))</f>
        <v/>
      </c>
      <c r="O1782">
        <f>IF(OR(M1782="Pendente",M1782="Em andamento"),IF(J1782="","",TODAY()-J1782),"")</f>
        <v/>
      </c>
      <c r="P1782" t="n">
        <v>11059</v>
      </c>
      <c r="Q1782" t="inlineStr">
        <is>
          <t>Frio Ltda (11059)</t>
        </is>
      </c>
      <c r="R1782" t="inlineStr">
        <is>
          <t>PC-0039</t>
        </is>
      </c>
      <c r="S1782" t="inlineStr">
        <is>
          <t>Bomba de recirculação modelo 03</t>
        </is>
      </c>
      <c r="T1782" t="n">
        <v>1</v>
      </c>
      <c r="U1782" t="n">
        <v>139</v>
      </c>
      <c r="V1782">
        <f>IF(J1782="","",MONTH(J1782))</f>
        <v/>
      </c>
      <c r="W1782">
        <f>IF(J1782="","",YEAR(J1782))</f>
        <v/>
      </c>
      <c r="X1782" t="inlineStr">
        <is>
          <t>CargoMax</t>
        </is>
      </c>
      <c r="Y1782">
        <f>IFERROR(INDEX(Rastreio!$H$2:$H$200,MATCH(X1782&amp;"|"&amp;U1782,Rastreio!$A$2:$A$200,0)),"")</f>
        <v/>
      </c>
    </row>
    <row r="1783">
      <c r="A1783">
        <f>IFERROR(INDEX(STAs!$G$2:$G$61,MATCH(P1783,STAs!$F$2:$F$61,0))&amp;"","")</f>
        <v/>
      </c>
      <c r="B1783" t="n">
        <v>20022006</v>
      </c>
      <c r="C1783" t="inlineStr">
        <is>
          <t>Não</t>
        </is>
      </c>
      <c r="D1783" t="inlineStr">
        <is>
          <t>RS</t>
        </is>
      </c>
      <c r="E1783" t="inlineStr">
        <is>
          <t>SUL</t>
        </is>
      </c>
      <c r="F1783" t="inlineStr">
        <is>
          <t>Cliente C - Misturador</t>
        </is>
      </c>
      <c r="G1783" t="inlineStr">
        <is>
          <t>Misturadores</t>
        </is>
      </c>
      <c r="H1783" s="10" t="n">
        <v>50</v>
      </c>
      <c r="I1783" s="10">
        <f>IFERROR(T1783*H1783,0)</f>
        <v/>
      </c>
      <c r="J1783" s="11" t="n">
        <v>46226</v>
      </c>
      <c r="K1783" s="11" t="n"/>
      <c r="L1783" t="inlineStr">
        <is>
          <t>Aguardando devolução</t>
        </is>
      </c>
      <c r="M1783">
        <f>IF(L1783="","",IFERROR(VLOOKUP(L1783,mapGrupoStatus,2,0),"Outros"))</f>
        <v/>
      </c>
      <c r="N1783">
        <f>IF(O1783="","",IF(O1783&lt;=30,"0-30 dias",IF(O1783&lt;=60,"31-60 dias",IF(O1783&lt;=90,"61-90 dias","Mais de 90 dias"))))</f>
        <v/>
      </c>
      <c r="O1783">
        <f>IF(OR(M1783="Pendente",M1783="Em andamento"),IF(J1783="","",TODAY()-J1783),"")</f>
        <v/>
      </c>
      <c r="P1783" t="n">
        <v>11459</v>
      </c>
      <c r="Q1783" t="inlineStr">
        <is>
          <t>Frio ME (11459)</t>
        </is>
      </c>
      <c r="R1783" t="inlineStr">
        <is>
          <t>PC-0045</t>
        </is>
      </c>
      <c r="S1783" t="inlineStr">
        <is>
          <t>Sensor de nível modelo 01</t>
        </is>
      </c>
      <c r="T1783" t="n">
        <v>1</v>
      </c>
      <c r="U1783" t="inlineStr"/>
      <c r="V1783">
        <f>IF(J1783="","",MONTH(J1783))</f>
        <v/>
      </c>
      <c r="W1783">
        <f>IF(J1783="","",YEAR(J1783))</f>
        <v/>
      </c>
      <c r="X1783" t="inlineStr"/>
      <c r="Y1783">
        <f>IFERROR(INDEX(Rastreio!$H$2:$H$200,MATCH(X1783&amp;"|"&amp;U1783,Rastreio!$A$2:$A$200,0)),"")</f>
        <v/>
      </c>
    </row>
    <row r="1784">
      <c r="A1784">
        <f>IFERROR(INDEX(STAs!$G$2:$G$61,MATCH(P1784,STAs!$F$2:$F$61,0))&amp;"","")</f>
        <v/>
      </c>
      <c r="B1784" t="n">
        <v>20022713</v>
      </c>
      <c r="C1784" t="inlineStr">
        <is>
          <t>Não</t>
        </is>
      </c>
      <c r="D1784" t="inlineStr">
        <is>
          <t>SP</t>
        </is>
      </c>
      <c r="E1784" t="inlineStr">
        <is>
          <t>SUDESTE SP</t>
        </is>
      </c>
      <c r="F1784" t="inlineStr">
        <is>
          <t>Cliente B - Chopeira</t>
        </is>
      </c>
      <c r="G1784" t="inlineStr">
        <is>
          <t>Misturadores</t>
        </is>
      </c>
      <c r="H1784" s="10" t="n">
        <v>200</v>
      </c>
      <c r="I1784" s="10">
        <f>IFERROR(T1784*H1784,0)</f>
        <v/>
      </c>
      <c r="J1784" s="11" t="n">
        <v>46226</v>
      </c>
      <c r="K1784" s="11" t="n">
        <v>46249</v>
      </c>
      <c r="L1784" t="inlineStr">
        <is>
          <t>Ok. Devolvida</t>
        </is>
      </c>
      <c r="M1784">
        <f>IF(L1784="","",IFERROR(VLOOKUP(L1784,mapGrupoStatus,2,0),"Outros"))</f>
        <v/>
      </c>
      <c r="N1784">
        <f>IF(O1784="","",IF(O1784&lt;=30,"0-30 dias",IF(O1784&lt;=60,"31-60 dias",IF(O1784&lt;=90,"61-90 dias","Mais de 90 dias"))))</f>
        <v/>
      </c>
      <c r="O1784">
        <f>IF(OR(M1784="Pendente",M1784="Em andamento"),IF(J1784="","",TODAY()-J1784),"")</f>
        <v/>
      </c>
      <c r="P1784" t="n">
        <v>12901</v>
      </c>
      <c r="Q1784" t="inlineStr">
        <is>
          <t>Frio Serviços (12901)</t>
        </is>
      </c>
      <c r="R1784" t="inlineStr">
        <is>
          <t>PC-0040</t>
        </is>
      </c>
      <c r="S1784" t="inlineStr">
        <is>
          <t>Motor agitador modelo 01</t>
        </is>
      </c>
      <c r="T1784" t="n">
        <v>1</v>
      </c>
      <c r="U1784" t="n">
        <v>139</v>
      </c>
      <c r="V1784">
        <f>IF(J1784="","",MONTH(J1784))</f>
        <v/>
      </c>
      <c r="W1784">
        <f>IF(J1784="","",YEAR(J1784))</f>
        <v/>
      </c>
      <c r="X1784" t="inlineStr">
        <is>
          <t>LogExpress</t>
        </is>
      </c>
      <c r="Y1784">
        <f>IFERROR(INDEX(Rastreio!$H$2:$H$200,MATCH(X1784&amp;"|"&amp;U1784,Rastreio!$A$2:$A$200,0)),"")</f>
        <v/>
      </c>
    </row>
    <row r="1785">
      <c r="A1785">
        <f>IFERROR(INDEX(STAs!$G$2:$G$61,MATCH(P1785,STAs!$F$2:$F$61,0))&amp;"","")</f>
        <v/>
      </c>
      <c r="B1785" t="n">
        <v>20023834</v>
      </c>
      <c r="C1785" t="inlineStr">
        <is>
          <t>Não</t>
        </is>
      </c>
      <c r="D1785" t="inlineStr">
        <is>
          <t>MG</t>
        </is>
      </c>
      <c r="E1785" t="inlineStr">
        <is>
          <t>SUDESTE MG</t>
        </is>
      </c>
      <c r="F1785" t="inlineStr">
        <is>
          <t>Cliente B - Chopeira</t>
        </is>
      </c>
      <c r="G1785" t="inlineStr">
        <is>
          <t>Refrigeradores</t>
        </is>
      </c>
      <c r="H1785" s="10" t="n">
        <v>25</v>
      </c>
      <c r="I1785" s="10">
        <f>IFERROR(T1785*H1785,0)</f>
        <v/>
      </c>
      <c r="J1785" s="11" t="n">
        <v>46226</v>
      </c>
      <c r="K1785" s="11" t="n"/>
      <c r="L1785" t="inlineStr">
        <is>
          <t>Aguardando devolução</t>
        </is>
      </c>
      <c r="M1785">
        <f>IF(L1785="","",IFERROR(VLOOKUP(L1785,mapGrupoStatus,2,0),"Outros"))</f>
        <v/>
      </c>
      <c r="N1785">
        <f>IF(O1785="","",IF(O1785&lt;=30,"0-30 dias",IF(O1785&lt;=60,"31-60 dias",IF(O1785&lt;=90,"61-90 dias","Mais de 90 dias"))))</f>
        <v/>
      </c>
      <c r="O1785">
        <f>IF(OR(M1785="Pendente",M1785="Em andamento"),IF(J1785="","",TODAY()-J1785),"")</f>
        <v/>
      </c>
      <c r="P1785" t="n">
        <v>12470</v>
      </c>
      <c r="Q1785" t="inlineStr">
        <is>
          <t>Cool Service Técnica (12470)</t>
        </is>
      </c>
      <c r="R1785" t="inlineStr">
        <is>
          <t>PC-0015</t>
        </is>
      </c>
      <c r="S1785" t="inlineStr">
        <is>
          <t>Filtro secador modelo 01</t>
        </is>
      </c>
      <c r="T1785" t="n">
        <v>1</v>
      </c>
      <c r="U1785" t="inlineStr"/>
      <c r="V1785">
        <f>IF(J1785="","",MONTH(J1785))</f>
        <v/>
      </c>
      <c r="W1785">
        <f>IF(J1785="","",YEAR(J1785))</f>
        <v/>
      </c>
      <c r="X1785" t="inlineStr"/>
      <c r="Y1785">
        <f>IFERROR(INDEX(Rastreio!$H$2:$H$200,MATCH(X1785&amp;"|"&amp;U1785,Rastreio!$A$2:$A$200,0)),"")</f>
        <v/>
      </c>
    </row>
    <row r="1786">
      <c r="A1786">
        <f>IFERROR(INDEX(STAs!$G$2:$G$61,MATCH(P1786,STAs!$F$2:$F$61,0))&amp;"","")</f>
        <v/>
      </c>
      <c r="B1786" t="n">
        <v>20031588</v>
      </c>
      <c r="C1786" t="inlineStr">
        <is>
          <t>Sim</t>
        </is>
      </c>
      <c r="D1786" t="inlineStr">
        <is>
          <t>PR</t>
        </is>
      </c>
      <c r="E1786" t="inlineStr">
        <is>
          <t>SUL</t>
        </is>
      </c>
      <c r="F1786" t="inlineStr">
        <is>
          <t>Cliente B - Chopeira</t>
        </is>
      </c>
      <c r="G1786" t="inlineStr">
        <is>
          <t>Chopeiras</t>
        </is>
      </c>
      <c r="H1786" s="10" t="n">
        <v>215</v>
      </c>
      <c r="I1786" s="10">
        <f>IFERROR(T1786*H1786,0)</f>
        <v/>
      </c>
      <c r="J1786" s="11" t="n">
        <v>46226</v>
      </c>
      <c r="K1786" s="11" t="n">
        <v>46245</v>
      </c>
      <c r="L1786" t="inlineStr">
        <is>
          <t>Ok. Devolvida</t>
        </is>
      </c>
      <c r="M1786">
        <f>IF(L1786="","",IFERROR(VLOOKUP(L1786,mapGrupoStatus,2,0),"Outros"))</f>
        <v/>
      </c>
      <c r="N1786">
        <f>IF(O1786="","",IF(O1786&lt;=30,"0-30 dias",IF(O1786&lt;=60,"31-60 dias",IF(O1786&lt;=90,"61-90 dias","Mais de 90 dias"))))</f>
        <v/>
      </c>
      <c r="O1786">
        <f>IF(OR(M1786="Pendente",M1786="Em andamento"),IF(J1786="","",TODAY()-J1786),"")</f>
        <v/>
      </c>
      <c r="P1786" t="n">
        <v>10913</v>
      </c>
      <c r="Q1786" t="inlineStr">
        <is>
          <t>Ice Tech &amp; Cia (10913)</t>
        </is>
      </c>
      <c r="R1786" t="inlineStr">
        <is>
          <t>PC-0030</t>
        </is>
      </c>
      <c r="S1786" t="inlineStr">
        <is>
          <t>Serpentina modelo 02</t>
        </is>
      </c>
      <c r="T1786" t="n">
        <v>1</v>
      </c>
      <c r="U1786" t="n">
        <v>156</v>
      </c>
      <c r="V1786">
        <f>IF(J1786="","",MONTH(J1786))</f>
        <v/>
      </c>
      <c r="W1786">
        <f>IF(J1786="","",YEAR(J1786))</f>
        <v/>
      </c>
      <c r="X1786" t="inlineStr">
        <is>
          <t>TransNorte</t>
        </is>
      </c>
      <c r="Y1786">
        <f>IFERROR(INDEX(Rastreio!$H$2:$H$200,MATCH(X1786&amp;"|"&amp;U1786,Rastreio!$A$2:$A$200,0)),"")</f>
        <v/>
      </c>
    </row>
    <row r="1787">
      <c r="A1787">
        <f>IFERROR(INDEX(STAs!$G$2:$G$61,MATCH(P1787,STAs!$F$2:$F$61,0))&amp;"","")</f>
        <v/>
      </c>
      <c r="B1787" t="n">
        <v>20035597</v>
      </c>
      <c r="C1787" t="inlineStr">
        <is>
          <t>Não</t>
        </is>
      </c>
      <c r="D1787" t="inlineStr">
        <is>
          <t>PR</t>
        </is>
      </c>
      <c r="E1787" t="inlineStr">
        <is>
          <t>SUL</t>
        </is>
      </c>
      <c r="F1787" t="inlineStr">
        <is>
          <t>Cliente B - Chopeira</t>
        </is>
      </c>
      <c r="G1787" t="inlineStr">
        <is>
          <t>Refrigeradores</t>
        </is>
      </c>
      <c r="H1787" s="10" t="n">
        <v>30</v>
      </c>
      <c r="I1787" s="10">
        <f>IFERROR(T1787*H1787,0)</f>
        <v/>
      </c>
      <c r="J1787" s="11" t="n">
        <v>46226</v>
      </c>
      <c r="K1787" s="11" t="n">
        <v>46240</v>
      </c>
      <c r="L1787" t="inlineStr">
        <is>
          <t>Ok. Devolvida</t>
        </is>
      </c>
      <c r="M1787">
        <f>IF(L1787="","",IFERROR(VLOOKUP(L1787,mapGrupoStatus,2,0),"Outros"))</f>
        <v/>
      </c>
      <c r="N1787">
        <f>IF(O1787="","",IF(O1787&lt;=30,"0-30 dias",IF(O1787&lt;=60,"31-60 dias",IF(O1787&lt;=90,"61-90 dias","Mais de 90 dias"))))</f>
        <v/>
      </c>
      <c r="O1787">
        <f>IF(OR(M1787="Pendente",M1787="Em andamento"),IF(J1787="","",TODAY()-J1787),"")</f>
        <v/>
      </c>
      <c r="P1787" t="n">
        <v>11898</v>
      </c>
      <c r="Q1787" t="inlineStr">
        <is>
          <t>Refrigel Express (11898)</t>
        </is>
      </c>
      <c r="R1787" t="inlineStr">
        <is>
          <t>PC-0017</t>
        </is>
      </c>
      <c r="S1787" t="inlineStr">
        <is>
          <t>Filtro secador modelo 03</t>
        </is>
      </c>
      <c r="T1787" t="n">
        <v>1</v>
      </c>
      <c r="U1787" t="n">
        <v>165</v>
      </c>
      <c r="V1787">
        <f>IF(J1787="","",MONTH(J1787))</f>
        <v/>
      </c>
      <c r="W1787">
        <f>IF(J1787="","",YEAR(J1787))</f>
        <v/>
      </c>
      <c r="X1787" t="inlineStr">
        <is>
          <t>RotaSul</t>
        </is>
      </c>
      <c r="Y1787">
        <f>IFERROR(INDEX(Rastreio!$H$2:$H$200,MATCH(X1787&amp;"|"&amp;U1787,Rastreio!$A$2:$A$200,0)),"")</f>
        <v/>
      </c>
    </row>
    <row r="1788">
      <c r="A1788">
        <f>IFERROR(INDEX(STAs!$G$2:$G$61,MATCH(P1788,STAs!$F$2:$F$61,0))&amp;"","")</f>
        <v/>
      </c>
      <c r="B1788" t="n">
        <v>20009097</v>
      </c>
      <c r="C1788" t="inlineStr">
        <is>
          <t>Não</t>
        </is>
      </c>
      <c r="D1788" t="inlineStr">
        <is>
          <t>MS</t>
        </is>
      </c>
      <c r="E1788" t="inlineStr">
        <is>
          <t>CENTRO OESTE</t>
        </is>
      </c>
      <c r="F1788" t="inlineStr">
        <is>
          <t>Cliente C - Misturador</t>
        </is>
      </c>
      <c r="G1788" t="inlineStr">
        <is>
          <t>Misturadores</t>
        </is>
      </c>
      <c r="H1788" s="10" t="n">
        <v>255</v>
      </c>
      <c r="I1788" s="10">
        <f>IFERROR(T1788*H1788,0)</f>
        <v/>
      </c>
      <c r="J1788" s="11" t="n">
        <v>46227</v>
      </c>
      <c r="K1788" s="11" t="n">
        <v>46264</v>
      </c>
      <c r="L1788" t="inlineStr">
        <is>
          <t>Ok. Devolvida</t>
        </is>
      </c>
      <c r="M1788">
        <f>IF(L1788="","",IFERROR(VLOOKUP(L1788,mapGrupoStatus,2,0),"Outros"))</f>
        <v/>
      </c>
      <c r="N1788">
        <f>IF(O1788="","",IF(O1788&lt;=30,"0-30 dias",IF(O1788&lt;=60,"31-60 dias",IF(O1788&lt;=90,"61-90 dias","Mais de 90 dias"))))</f>
        <v/>
      </c>
      <c r="O1788">
        <f>IF(OR(M1788="Pendente",M1788="Em andamento"),IF(J1788="","",TODAY()-J1788),"")</f>
        <v/>
      </c>
      <c r="P1788" t="n">
        <v>10302</v>
      </c>
      <c r="Q1788" t="inlineStr">
        <is>
          <t>Ice Tech Express (10302)</t>
        </is>
      </c>
      <c r="R1788" t="inlineStr">
        <is>
          <t>PC-0039</t>
        </is>
      </c>
      <c r="S1788" t="inlineStr">
        <is>
          <t>Bomba de recirculação modelo 03</t>
        </is>
      </c>
      <c r="T1788" t="n">
        <v>1</v>
      </c>
      <c r="U1788" t="n">
        <v>117</v>
      </c>
      <c r="V1788">
        <f>IF(J1788="","",MONTH(J1788))</f>
        <v/>
      </c>
      <c r="W1788">
        <f>IF(J1788="","",YEAR(J1788))</f>
        <v/>
      </c>
      <c r="X1788" t="inlineStr">
        <is>
          <t>CargoMax</t>
        </is>
      </c>
      <c r="Y1788">
        <f>IFERROR(INDEX(Rastreio!$H$2:$H$200,MATCH(X1788&amp;"|"&amp;U1788,Rastreio!$A$2:$A$200,0)),"")</f>
        <v/>
      </c>
    </row>
    <row r="1789">
      <c r="A1789">
        <f>IFERROR(INDEX(STAs!$G$2:$G$61,MATCH(P1789,STAs!$F$2:$F$61,0))&amp;"","")</f>
        <v/>
      </c>
      <c r="B1789" t="n">
        <v>20014840</v>
      </c>
      <c r="C1789" t="inlineStr">
        <is>
          <t>Sim</t>
        </is>
      </c>
      <c r="D1789" t="inlineStr">
        <is>
          <t>PR</t>
        </is>
      </c>
      <c r="E1789" t="inlineStr">
        <is>
          <t>SUL</t>
        </is>
      </c>
      <c r="F1789" t="inlineStr">
        <is>
          <t>Cliente A - Refrigerador</t>
        </is>
      </c>
      <c r="G1789" t="inlineStr">
        <is>
          <t>Misturadores</t>
        </is>
      </c>
      <c r="H1789" s="10" t="n">
        <v>35</v>
      </c>
      <c r="I1789" s="10">
        <f>IFERROR(T1789*H1789,0)</f>
        <v/>
      </c>
      <c r="J1789" s="11" t="n">
        <v>46227</v>
      </c>
      <c r="K1789" s="11" t="n">
        <v>46268</v>
      </c>
      <c r="L1789" t="inlineStr">
        <is>
          <t>Ok. Devolvida</t>
        </is>
      </c>
      <c r="M1789">
        <f>IF(L1789="","",IFERROR(VLOOKUP(L1789,mapGrupoStatus,2,0),"Outros"))</f>
        <v/>
      </c>
      <c r="N1789">
        <f>IF(O1789="","",IF(O1789&lt;=30,"0-30 dias",IF(O1789&lt;=60,"31-60 dias",IF(O1789&lt;=90,"61-90 dias","Mais de 90 dias"))))</f>
        <v/>
      </c>
      <c r="O1789">
        <f>IF(OR(M1789="Pendente",M1789="Em andamento"),IF(J1789="","",TODAY()-J1789),"")</f>
        <v/>
      </c>
      <c r="P1789" t="n">
        <v>10753</v>
      </c>
      <c r="Q1789" t="inlineStr">
        <is>
          <t>Refrigel &amp; Cia (10753)</t>
        </is>
      </c>
      <c r="R1789" t="inlineStr">
        <is>
          <t>PC-0043</t>
        </is>
      </c>
      <c r="S1789" t="inlineStr">
        <is>
          <t>Bico dosador modelo 02</t>
        </is>
      </c>
      <c r="T1789" t="n">
        <v>1</v>
      </c>
      <c r="U1789" t="n">
        <v>125</v>
      </c>
      <c r="V1789">
        <f>IF(J1789="","",MONTH(J1789))</f>
        <v/>
      </c>
      <c r="W1789">
        <f>IF(J1789="","",YEAR(J1789))</f>
        <v/>
      </c>
      <c r="X1789" t="inlineStr">
        <is>
          <t>EntregaJá</t>
        </is>
      </c>
      <c r="Y1789">
        <f>IFERROR(INDEX(Rastreio!$H$2:$H$200,MATCH(X1789&amp;"|"&amp;U1789,Rastreio!$A$2:$A$200,0)),"")</f>
        <v/>
      </c>
    </row>
    <row r="1790">
      <c r="A1790">
        <f>IFERROR(INDEX(STAs!$G$2:$G$61,MATCH(P1790,STAs!$F$2:$F$61,0))&amp;"","")</f>
        <v/>
      </c>
      <c r="B1790" t="n">
        <v>20015015</v>
      </c>
      <c r="C1790" t="inlineStr">
        <is>
          <t>Não</t>
        </is>
      </c>
      <c r="D1790" t="inlineStr">
        <is>
          <t>ES</t>
        </is>
      </c>
      <c r="E1790" t="inlineStr">
        <is>
          <t>SUDESTE RJ e ES</t>
        </is>
      </c>
      <c r="F1790" t="inlineStr">
        <is>
          <t>Cliente A - Refrigerador</t>
        </is>
      </c>
      <c r="G1790" t="inlineStr">
        <is>
          <t>Refrigeradores</t>
        </is>
      </c>
      <c r="H1790" s="10" t="n">
        <v>190</v>
      </c>
      <c r="I1790" s="10">
        <f>IFERROR(T1790*H1790,0)</f>
        <v/>
      </c>
      <c r="J1790" s="11" t="n">
        <v>46227</v>
      </c>
      <c r="K1790" s="11" t="n">
        <v>46239</v>
      </c>
      <c r="L1790" t="inlineStr">
        <is>
          <t>Ok. Devolvida</t>
        </is>
      </c>
      <c r="M1790">
        <f>IF(L1790="","",IFERROR(VLOOKUP(L1790,mapGrupoStatus,2,0),"Outros"))</f>
        <v/>
      </c>
      <c r="N1790">
        <f>IF(O1790="","",IF(O1790&lt;=30,"0-30 dias",IF(O1790&lt;=60,"31-60 dias",IF(O1790&lt;=90,"61-90 dias","Mais de 90 dias"))))</f>
        <v/>
      </c>
      <c r="O1790">
        <f>IF(OR(M1790="Pendente",M1790="Em andamento"),IF(J1790="","",TODAY()-J1790),"")</f>
        <v/>
      </c>
      <c r="P1790" t="n">
        <v>12555</v>
      </c>
      <c r="Q1790" t="inlineStr">
        <is>
          <t>Cool Service Serviços (12555)</t>
        </is>
      </c>
      <c r="R1790" t="inlineStr">
        <is>
          <t>PC-0014</t>
        </is>
      </c>
      <c r="S1790" t="inlineStr">
        <is>
          <t>Placa eletrônica modelo 04</t>
        </is>
      </c>
      <c r="T1790" t="n">
        <v>1</v>
      </c>
      <c r="U1790" t="n">
        <v>126</v>
      </c>
      <c r="V1790">
        <f>IF(J1790="","",MONTH(J1790))</f>
        <v/>
      </c>
      <c r="W1790">
        <f>IF(J1790="","",YEAR(J1790))</f>
        <v/>
      </c>
      <c r="X1790" t="inlineStr">
        <is>
          <t>LogExpress</t>
        </is>
      </c>
      <c r="Y1790">
        <f>IFERROR(INDEX(Rastreio!$H$2:$H$200,MATCH(X1790&amp;"|"&amp;U1790,Rastreio!$A$2:$A$200,0)),"")</f>
        <v/>
      </c>
    </row>
    <row r="1791">
      <c r="A1791">
        <f>IFERROR(INDEX(STAs!$G$2:$G$61,MATCH(P1791,STAs!$F$2:$F$61,0))&amp;"","")</f>
        <v/>
      </c>
      <c r="B1791" t="n">
        <v>20037748</v>
      </c>
      <c r="C1791" t="inlineStr">
        <is>
          <t>Não</t>
        </is>
      </c>
      <c r="D1791" t="inlineStr">
        <is>
          <t>AC</t>
        </is>
      </c>
      <c r="E1791" t="inlineStr">
        <is>
          <t>NORTE</t>
        </is>
      </c>
      <c r="F1791" t="inlineStr">
        <is>
          <t>Cliente A - Refrigerador</t>
        </is>
      </c>
      <c r="G1791" t="inlineStr">
        <is>
          <t>Refrigeradores</t>
        </is>
      </c>
      <c r="H1791" s="10" t="n">
        <v>190</v>
      </c>
      <c r="I1791" s="10">
        <f>IFERROR(T1791*H1791,0)</f>
        <v/>
      </c>
      <c r="J1791" s="11" t="n">
        <v>46227</v>
      </c>
      <c r="K1791" s="11" t="n">
        <v>46233</v>
      </c>
      <c r="L1791" t="inlineStr">
        <is>
          <t>Ok. Devolvida</t>
        </is>
      </c>
      <c r="M1791">
        <f>IF(L1791="","",IFERROR(VLOOKUP(L1791,mapGrupoStatus,2,0),"Outros"))</f>
        <v/>
      </c>
      <c r="N1791">
        <f>IF(O1791="","",IF(O1791&lt;=30,"0-30 dias",IF(O1791&lt;=60,"31-60 dias",IF(O1791&lt;=90,"61-90 dias","Mais de 90 dias"))))</f>
        <v/>
      </c>
      <c r="O1791">
        <f>IF(OR(M1791="Pendente",M1791="Em andamento"),IF(J1791="","",TODAY()-J1791),"")</f>
        <v/>
      </c>
      <c r="P1791" t="n">
        <v>11022</v>
      </c>
      <c r="Q1791" t="inlineStr">
        <is>
          <t>Brisa Ltda (11022)</t>
        </is>
      </c>
      <c r="R1791" t="inlineStr">
        <is>
          <t>PC-0014</t>
        </is>
      </c>
      <c r="S1791" t="inlineStr">
        <is>
          <t>Placa eletrônica modelo 04</t>
        </is>
      </c>
      <c r="T1791" t="n">
        <v>1</v>
      </c>
      <c r="U1791" t="n">
        <v>166</v>
      </c>
      <c r="V1791">
        <f>IF(J1791="","",MONTH(J1791))</f>
        <v/>
      </c>
      <c r="W1791">
        <f>IF(J1791="","",YEAR(J1791))</f>
        <v/>
      </c>
      <c r="X1791" t="inlineStr">
        <is>
          <t>LogExpress</t>
        </is>
      </c>
      <c r="Y1791">
        <f>IFERROR(INDEX(Rastreio!$H$2:$H$200,MATCH(X1791&amp;"|"&amp;U1791,Rastreio!$A$2:$A$200,0)),"")</f>
        <v/>
      </c>
    </row>
    <row r="1792">
      <c r="A1792">
        <f>IFERROR(INDEX(STAs!$G$2:$G$61,MATCH(P1792,STAs!$F$2:$F$61,0))&amp;"","")</f>
        <v/>
      </c>
      <c r="B1792" t="n">
        <v>20001197</v>
      </c>
      <c r="C1792" t="inlineStr">
        <is>
          <t>Não</t>
        </is>
      </c>
      <c r="D1792" t="inlineStr">
        <is>
          <t>ES</t>
        </is>
      </c>
      <c r="E1792" t="inlineStr">
        <is>
          <t>SUDESTE RJ e ES</t>
        </is>
      </c>
      <c r="F1792" t="inlineStr">
        <is>
          <t>Cliente C - Misturador</t>
        </is>
      </c>
      <c r="G1792" t="inlineStr">
        <is>
          <t>Misturadores</t>
        </is>
      </c>
      <c r="H1792" s="10" t="n">
        <v>265</v>
      </c>
      <c r="I1792" s="10">
        <f>IFERROR(T1792*H1792,0)</f>
        <v/>
      </c>
      <c r="J1792" s="11" t="n">
        <v>46228</v>
      </c>
      <c r="K1792" s="11" t="n"/>
      <c r="L1792" t="inlineStr">
        <is>
          <t>Não Devolve-Norte</t>
        </is>
      </c>
      <c r="M1792">
        <f>IF(L1792="","",IFERROR(VLOOKUP(L1792,mapGrupoStatus,2,0),"Outros"))</f>
        <v/>
      </c>
      <c r="N1792">
        <f>IF(O1792="","",IF(O1792&lt;=30,"0-30 dias",IF(O1792&lt;=60,"31-60 dias",IF(O1792&lt;=90,"61-90 dias","Mais de 90 dias"))))</f>
        <v/>
      </c>
      <c r="O1792">
        <f>IF(OR(M1792="Pendente",M1792="Em andamento"),IF(J1792="","",TODAY()-J1792),"")</f>
        <v/>
      </c>
      <c r="P1792" t="n">
        <v>11162</v>
      </c>
      <c r="Q1792" t="inlineStr">
        <is>
          <t>Ártico Refrigeração (11162)</t>
        </is>
      </c>
      <c r="R1792" t="inlineStr">
        <is>
          <t>PC-0038</t>
        </is>
      </c>
      <c r="S1792" t="inlineStr">
        <is>
          <t>Bomba de recirculação modelo 02</t>
        </is>
      </c>
      <c r="T1792" t="n">
        <v>1</v>
      </c>
      <c r="U1792" t="inlineStr"/>
      <c r="V1792">
        <f>IF(J1792="","",MONTH(J1792))</f>
        <v/>
      </c>
      <c r="W1792">
        <f>IF(J1792="","",YEAR(J1792))</f>
        <v/>
      </c>
      <c r="X1792" t="inlineStr"/>
      <c r="Y1792">
        <f>IFERROR(INDEX(Rastreio!$H$2:$H$200,MATCH(X1792&amp;"|"&amp;U1792,Rastreio!$A$2:$A$200,0)),"")</f>
        <v/>
      </c>
    </row>
    <row r="1793">
      <c r="A1793">
        <f>IFERROR(INDEX(STAs!$G$2:$G$61,MATCH(P1793,STAs!$F$2:$F$61,0))&amp;"","")</f>
        <v/>
      </c>
      <c r="B1793" t="n">
        <v>20013969</v>
      </c>
      <c r="C1793" t="inlineStr">
        <is>
          <t>Não</t>
        </is>
      </c>
      <c r="D1793" t="inlineStr">
        <is>
          <t>DF</t>
        </is>
      </c>
      <c r="E1793" t="inlineStr">
        <is>
          <t>CENTRO OESTE</t>
        </is>
      </c>
      <c r="F1793" t="inlineStr">
        <is>
          <t>Cliente B - Chopeira</t>
        </is>
      </c>
      <c r="G1793" t="inlineStr">
        <is>
          <t>Misturadores</t>
        </is>
      </c>
      <c r="H1793" s="10" t="n">
        <v>255</v>
      </c>
      <c r="I1793" s="10">
        <f>IFERROR(T1793*H1793,0)</f>
        <v/>
      </c>
      <c r="J1793" s="11" t="n">
        <v>46228</v>
      </c>
      <c r="K1793" s="11" t="n"/>
      <c r="L1793" t="inlineStr">
        <is>
          <t>NF Vencida</t>
        </is>
      </c>
      <c r="M1793">
        <f>IF(L1793="","",IFERROR(VLOOKUP(L1793,mapGrupoStatus,2,0),"Outros"))</f>
        <v/>
      </c>
      <c r="N1793">
        <f>IF(O1793="","",IF(O1793&lt;=30,"0-30 dias",IF(O1793&lt;=60,"31-60 dias",IF(O1793&lt;=90,"61-90 dias","Mais de 90 dias"))))</f>
        <v/>
      </c>
      <c r="O1793">
        <f>IF(OR(M1793="Pendente",M1793="Em andamento"),IF(J1793="","",TODAY()-J1793),"")</f>
        <v/>
      </c>
      <c r="P1793" t="n">
        <v>10021</v>
      </c>
      <c r="Q1793" t="inlineStr">
        <is>
          <t>Termotec Técnica (10021)</t>
        </is>
      </c>
      <c r="R1793" t="inlineStr">
        <is>
          <t>PC-0037</t>
        </is>
      </c>
      <c r="S1793" t="inlineStr">
        <is>
          <t>Bomba de recirculação modelo 01</t>
        </is>
      </c>
      <c r="T1793" t="n">
        <v>1</v>
      </c>
      <c r="U1793" t="inlineStr"/>
      <c r="V1793">
        <f>IF(J1793="","",MONTH(J1793))</f>
        <v/>
      </c>
      <c r="W1793">
        <f>IF(J1793="","",YEAR(J1793))</f>
        <v/>
      </c>
      <c r="X1793" t="inlineStr"/>
      <c r="Y1793">
        <f>IFERROR(INDEX(Rastreio!$H$2:$H$200,MATCH(X1793&amp;"|"&amp;U1793,Rastreio!$A$2:$A$200,0)),"")</f>
        <v/>
      </c>
    </row>
    <row r="1794">
      <c r="A1794">
        <f>IFERROR(INDEX(STAs!$G$2:$G$61,MATCH(P1794,STAs!$F$2:$F$61,0))&amp;"","")</f>
        <v/>
      </c>
      <c r="B1794" t="n">
        <v>20016613</v>
      </c>
      <c r="C1794" t="inlineStr">
        <is>
          <t>Não</t>
        </is>
      </c>
      <c r="D1794" t="inlineStr">
        <is>
          <t>RR</t>
        </is>
      </c>
      <c r="E1794" t="inlineStr">
        <is>
          <t>NORTE</t>
        </is>
      </c>
      <c r="F1794" t="inlineStr">
        <is>
          <t>Cliente C - Misturador</t>
        </is>
      </c>
      <c r="G1794" t="inlineStr">
        <is>
          <t>Refrigeradores</t>
        </is>
      </c>
      <c r="H1794" s="10" t="n">
        <v>30</v>
      </c>
      <c r="I1794" s="10">
        <f>IFERROR(T1794*H1794,0)</f>
        <v/>
      </c>
      <c r="J1794" s="11" t="n">
        <v>46228</v>
      </c>
      <c r="K1794" s="11" t="n"/>
      <c r="L1794" t="inlineStr">
        <is>
          <t>Não Devolve-Norte</t>
        </is>
      </c>
      <c r="M1794">
        <f>IF(L1794="","",IFERROR(VLOOKUP(L1794,mapGrupoStatus,2,0),"Outros"))</f>
        <v/>
      </c>
      <c r="N1794">
        <f>IF(O1794="","",IF(O1794&lt;=30,"0-30 dias",IF(O1794&lt;=60,"31-60 dias",IF(O1794&lt;=90,"61-90 dias","Mais de 90 dias"))))</f>
        <v/>
      </c>
      <c r="O1794">
        <f>IF(OR(M1794="Pendente",M1794="Em andamento"),IF(J1794="","",TODAY()-J1794),"")</f>
        <v/>
      </c>
      <c r="P1794" t="n">
        <v>10468</v>
      </c>
      <c r="Q1794" t="inlineStr">
        <is>
          <t>Clima Express (10468)</t>
        </is>
      </c>
      <c r="R1794" t="inlineStr">
        <is>
          <t>PC-0017</t>
        </is>
      </c>
      <c r="S1794" t="inlineStr">
        <is>
          <t>Filtro secador modelo 03</t>
        </is>
      </c>
      <c r="T1794" t="n">
        <v>1</v>
      </c>
      <c r="U1794" t="inlineStr"/>
      <c r="V1794">
        <f>IF(J1794="","",MONTH(J1794))</f>
        <v/>
      </c>
      <c r="W1794">
        <f>IF(J1794="","",YEAR(J1794))</f>
        <v/>
      </c>
      <c r="X1794" t="inlineStr"/>
      <c r="Y1794">
        <f>IFERROR(INDEX(Rastreio!$H$2:$H$200,MATCH(X1794&amp;"|"&amp;U1794,Rastreio!$A$2:$A$200,0)),"")</f>
        <v/>
      </c>
    </row>
    <row r="1795">
      <c r="A1795">
        <f>IFERROR(INDEX(STAs!$G$2:$G$61,MATCH(P1795,STAs!$F$2:$F$61,0))&amp;"","")</f>
        <v/>
      </c>
      <c r="B1795" t="n">
        <v>20027224</v>
      </c>
      <c r="C1795" t="inlineStr">
        <is>
          <t>Sim</t>
        </is>
      </c>
      <c r="D1795" t="inlineStr">
        <is>
          <t>PR</t>
        </is>
      </c>
      <c r="E1795" t="inlineStr">
        <is>
          <t>SUL</t>
        </is>
      </c>
      <c r="F1795" t="inlineStr">
        <is>
          <t>Cliente A - Refrigerador</t>
        </is>
      </c>
      <c r="G1795" t="inlineStr">
        <is>
          <t>Misturadores</t>
        </is>
      </c>
      <c r="H1795" s="10" t="n">
        <v>50</v>
      </c>
      <c r="I1795" s="10">
        <f>IFERROR(T1795*H1795,0)</f>
        <v/>
      </c>
      <c r="J1795" s="11" t="n">
        <v>46228</v>
      </c>
      <c r="K1795" s="11" t="n">
        <v>46259</v>
      </c>
      <c r="L1795" t="inlineStr">
        <is>
          <t>Ok. Devolvida</t>
        </is>
      </c>
      <c r="M1795">
        <f>IF(L1795="","",IFERROR(VLOOKUP(L1795,mapGrupoStatus,2,0),"Outros"))</f>
        <v/>
      </c>
      <c r="N1795">
        <f>IF(O1795="","",IF(O1795&lt;=30,"0-30 dias",IF(O1795&lt;=60,"31-60 dias",IF(O1795&lt;=90,"61-90 dias","Mais de 90 dias"))))</f>
        <v/>
      </c>
      <c r="O1795">
        <f>IF(OR(M1795="Pendente",M1795="Em andamento"),IF(J1795="","",TODAY()-J1795),"")</f>
        <v/>
      </c>
      <c r="P1795" t="n">
        <v>10913</v>
      </c>
      <c r="Q1795" t="inlineStr">
        <is>
          <t>Ice Tech &amp; Cia (10913)</t>
        </is>
      </c>
      <c r="R1795" t="inlineStr">
        <is>
          <t>PC-0044</t>
        </is>
      </c>
      <c r="S1795" t="inlineStr">
        <is>
          <t>Bico dosador modelo 03</t>
        </is>
      </c>
      <c r="T1795" t="n">
        <v>1</v>
      </c>
      <c r="U1795" t="n">
        <v>148</v>
      </c>
      <c r="V1795">
        <f>IF(J1795="","",MONTH(J1795))</f>
        <v/>
      </c>
      <c r="W1795">
        <f>IF(J1795="","",YEAR(J1795))</f>
        <v/>
      </c>
      <c r="X1795" t="inlineStr">
        <is>
          <t>TransNorte</t>
        </is>
      </c>
      <c r="Y1795">
        <f>IFERROR(INDEX(Rastreio!$H$2:$H$200,MATCH(X1795&amp;"|"&amp;U1795,Rastreio!$A$2:$A$200,0)),"")</f>
        <v/>
      </c>
    </row>
    <row r="1796">
      <c r="A1796">
        <f>IFERROR(INDEX(STAs!$G$2:$G$61,MATCH(P1796,STAs!$F$2:$F$61,0))&amp;"","")</f>
        <v/>
      </c>
      <c r="B1796" t="n">
        <v>20027286</v>
      </c>
      <c r="C1796" t="inlineStr">
        <is>
          <t>Não</t>
        </is>
      </c>
      <c r="D1796" t="inlineStr">
        <is>
          <t>MS</t>
        </is>
      </c>
      <c r="E1796" t="inlineStr">
        <is>
          <t>CENTRO OESTE</t>
        </is>
      </c>
      <c r="F1796" t="inlineStr">
        <is>
          <t>Cliente B - Chopeira</t>
        </is>
      </c>
      <c r="G1796" t="inlineStr">
        <is>
          <t>Refrigeradores</t>
        </is>
      </c>
      <c r="H1796" s="10" t="n">
        <v>185</v>
      </c>
      <c r="I1796" s="10">
        <f>IFERROR(T1796*H1796,0)</f>
        <v/>
      </c>
      <c r="J1796" s="11" t="n">
        <v>46228</v>
      </c>
      <c r="K1796" s="11" t="n">
        <v>46250</v>
      </c>
      <c r="L1796" t="inlineStr">
        <is>
          <t>Ok. Devolvida</t>
        </is>
      </c>
      <c r="M1796">
        <f>IF(L1796="","",IFERROR(VLOOKUP(L1796,mapGrupoStatus,2,0),"Outros"))</f>
        <v/>
      </c>
      <c r="N1796">
        <f>IF(O1796="","",IF(O1796&lt;=30,"0-30 dias",IF(O1796&lt;=60,"31-60 dias",IF(O1796&lt;=90,"61-90 dias","Mais de 90 dias"))))</f>
        <v/>
      </c>
      <c r="O1796">
        <f>IF(OR(M1796="Pendente",M1796="Em andamento"),IF(J1796="","",TODAY()-J1796),"")</f>
        <v/>
      </c>
      <c r="P1796" t="n">
        <v>10302</v>
      </c>
      <c r="Q1796" t="inlineStr">
        <is>
          <t>Ice Tech Express (10302)</t>
        </is>
      </c>
      <c r="R1796" t="inlineStr">
        <is>
          <t>PC-0013</t>
        </is>
      </c>
      <c r="S1796" t="inlineStr">
        <is>
          <t>Placa eletrônica modelo 03</t>
        </is>
      </c>
      <c r="T1796" t="n">
        <v>3</v>
      </c>
      <c r="U1796" t="n">
        <v>138</v>
      </c>
      <c r="V1796">
        <f>IF(J1796="","",MONTH(J1796))</f>
        <v/>
      </c>
      <c r="W1796">
        <f>IF(J1796="","",YEAR(J1796))</f>
        <v/>
      </c>
      <c r="X1796" t="inlineStr">
        <is>
          <t>EntregaJá</t>
        </is>
      </c>
      <c r="Y1796">
        <f>IFERROR(INDEX(Rastreio!$H$2:$H$200,MATCH(X1796&amp;"|"&amp;U1796,Rastreio!$A$2:$A$200,0)),"")</f>
        <v/>
      </c>
    </row>
    <row r="1797">
      <c r="A1797">
        <f>IFERROR(INDEX(STAs!$G$2:$G$61,MATCH(P1797,STAs!$F$2:$F$61,0))&amp;"","")</f>
        <v/>
      </c>
      <c r="B1797" t="n">
        <v>20034264</v>
      </c>
      <c r="C1797" t="inlineStr">
        <is>
          <t>Não</t>
        </is>
      </c>
      <c r="D1797" t="inlineStr">
        <is>
          <t>AC</t>
        </is>
      </c>
      <c r="E1797" t="inlineStr">
        <is>
          <t>NORTE</t>
        </is>
      </c>
      <c r="F1797" t="inlineStr">
        <is>
          <t>Cliente A - Refrigerador</t>
        </is>
      </c>
      <c r="G1797" t="inlineStr">
        <is>
          <t>Refrigeradores</t>
        </is>
      </c>
      <c r="H1797" s="10" t="n">
        <v>55</v>
      </c>
      <c r="I1797" s="10">
        <f>IFERROR(T1797*H1797,0)</f>
        <v/>
      </c>
      <c r="J1797" s="11" t="n">
        <v>46228</v>
      </c>
      <c r="K1797" s="11" t="n">
        <v>46273</v>
      </c>
      <c r="L1797" t="inlineStr">
        <is>
          <t>Ok. Devolvida</t>
        </is>
      </c>
      <c r="M1797">
        <f>IF(L1797="","",IFERROR(VLOOKUP(L1797,mapGrupoStatus,2,0),"Outros"))</f>
        <v/>
      </c>
      <c r="N1797">
        <f>IF(O1797="","",IF(O1797&lt;=30,"0-30 dias",IF(O1797&lt;=60,"31-60 dias",IF(O1797&lt;=90,"61-90 dias","Mais de 90 dias"))))</f>
        <v/>
      </c>
      <c r="O1797">
        <f>IF(OR(M1797="Pendente",M1797="Em andamento"),IF(J1797="","",TODAY()-J1797),"")</f>
        <v/>
      </c>
      <c r="P1797" t="n">
        <v>11022</v>
      </c>
      <c r="Q1797" t="inlineStr">
        <is>
          <t>Brisa Ltda (11022)</t>
        </is>
      </c>
      <c r="R1797" t="inlineStr">
        <is>
          <t>PC-0007</t>
        </is>
      </c>
      <c r="S1797" t="inlineStr">
        <is>
          <t>Ventilador modelo 01</t>
        </is>
      </c>
      <c r="T1797" t="n">
        <v>1</v>
      </c>
      <c r="U1797" t="n">
        <v>161</v>
      </c>
      <c r="V1797">
        <f>IF(J1797="","",MONTH(J1797))</f>
        <v/>
      </c>
      <c r="W1797">
        <f>IF(J1797="","",YEAR(J1797))</f>
        <v/>
      </c>
      <c r="X1797" t="inlineStr">
        <is>
          <t>TransNorte</t>
        </is>
      </c>
      <c r="Y1797">
        <f>IFERROR(INDEX(Rastreio!$H$2:$H$200,MATCH(X1797&amp;"|"&amp;U1797,Rastreio!$A$2:$A$200,0)),"")</f>
        <v/>
      </c>
    </row>
    <row r="1798">
      <c r="A1798">
        <f>IFERROR(INDEX(STAs!$G$2:$G$61,MATCH(P1798,STAs!$F$2:$F$61,0))&amp;"","")</f>
        <v/>
      </c>
      <c r="B1798" t="n">
        <v>20006403</v>
      </c>
      <c r="C1798" t="inlineStr">
        <is>
          <t>Não</t>
        </is>
      </c>
      <c r="D1798" t="inlineStr">
        <is>
          <t>SP</t>
        </is>
      </c>
      <c r="E1798" t="inlineStr">
        <is>
          <t>SUDESTE SP</t>
        </is>
      </c>
      <c r="F1798" t="inlineStr">
        <is>
          <t>Cliente A - Refrigerador</t>
        </is>
      </c>
      <c r="G1798" t="inlineStr">
        <is>
          <t>Refrigeradores</t>
        </is>
      </c>
      <c r="H1798" s="10" t="n">
        <v>30</v>
      </c>
      <c r="I1798" s="10">
        <f>IFERROR(T1798*H1798,0)</f>
        <v/>
      </c>
      <c r="J1798" s="11" t="n">
        <v>46229</v>
      </c>
      <c r="K1798" s="11" t="n"/>
      <c r="L1798" t="inlineStr">
        <is>
          <t>NPD</t>
        </is>
      </c>
      <c r="M1798">
        <f>IF(L1798="","",IFERROR(VLOOKUP(L1798,mapGrupoStatus,2,0),"Outros"))</f>
        <v/>
      </c>
      <c r="N1798">
        <f>IF(O1798="","",IF(O1798&lt;=30,"0-30 dias",IF(O1798&lt;=60,"31-60 dias",IF(O1798&lt;=90,"61-90 dias","Mais de 90 dias"))))</f>
        <v/>
      </c>
      <c r="O1798">
        <f>IF(OR(M1798="Pendente",M1798="Em andamento"),IF(J1798="","",TODAY()-J1798),"")</f>
        <v/>
      </c>
      <c r="P1798" t="n">
        <v>10413</v>
      </c>
      <c r="Q1798" t="inlineStr">
        <is>
          <t>Polar Manutenção (10413)</t>
        </is>
      </c>
      <c r="R1798" t="inlineStr">
        <is>
          <t>PC-0025</t>
        </is>
      </c>
      <c r="S1798" t="inlineStr">
        <is>
          <t>Relé de partida modelo 03</t>
        </is>
      </c>
      <c r="T1798" t="n">
        <v>1</v>
      </c>
      <c r="U1798" t="inlineStr"/>
      <c r="V1798">
        <f>IF(J1798="","",MONTH(J1798))</f>
        <v/>
      </c>
      <c r="W1798">
        <f>IF(J1798="","",YEAR(J1798))</f>
        <v/>
      </c>
      <c r="X1798" t="inlineStr"/>
      <c r="Y1798">
        <f>IFERROR(INDEX(Rastreio!$H$2:$H$200,MATCH(X1798&amp;"|"&amp;U1798,Rastreio!$A$2:$A$200,0)),"")</f>
        <v/>
      </c>
    </row>
    <row r="1799">
      <c r="A1799">
        <f>IFERROR(INDEX(STAs!$G$2:$G$61,MATCH(P1799,STAs!$F$2:$F$61,0))&amp;"","")</f>
        <v/>
      </c>
      <c r="B1799" t="n">
        <v>20007793</v>
      </c>
      <c r="C1799" t="inlineStr">
        <is>
          <t>Não</t>
        </is>
      </c>
      <c r="D1799" t="inlineStr">
        <is>
          <t>RO</t>
        </is>
      </c>
      <c r="E1799" t="inlineStr">
        <is>
          <t>NORTE</t>
        </is>
      </c>
      <c r="F1799" t="inlineStr">
        <is>
          <t>Cliente B - Chopeira</t>
        </is>
      </c>
      <c r="G1799" t="inlineStr">
        <is>
          <t>Refrigeradores</t>
        </is>
      </c>
      <c r="H1799" s="10" t="n">
        <v>30</v>
      </c>
      <c r="I1799" s="10">
        <f>IFERROR(T1799*H1799,0)</f>
        <v/>
      </c>
      <c r="J1799" s="11" t="n">
        <v>46229</v>
      </c>
      <c r="K1799" s="11" t="n"/>
      <c r="L1799" t="inlineStr">
        <is>
          <t>Não Devolve-Norte</t>
        </is>
      </c>
      <c r="M1799">
        <f>IF(L1799="","",IFERROR(VLOOKUP(L1799,mapGrupoStatus,2,0),"Outros"))</f>
        <v/>
      </c>
      <c r="N1799">
        <f>IF(O1799="","",IF(O1799&lt;=30,"0-30 dias",IF(O1799&lt;=60,"31-60 dias",IF(O1799&lt;=90,"61-90 dias","Mais de 90 dias"))))</f>
        <v/>
      </c>
      <c r="O1799">
        <f>IF(OR(M1799="Pendente",M1799="Em andamento"),IF(J1799="","",TODAY()-J1799),"")</f>
        <v/>
      </c>
      <c r="P1799" t="n">
        <v>12019</v>
      </c>
      <c r="Q1799" t="inlineStr">
        <is>
          <t>Ártico Serviços (12019)</t>
        </is>
      </c>
      <c r="R1799" t="inlineStr">
        <is>
          <t>PC-0017</t>
        </is>
      </c>
      <c r="S1799" t="inlineStr">
        <is>
          <t>Filtro secador modelo 03</t>
        </is>
      </c>
      <c r="T1799" t="n">
        <v>1</v>
      </c>
      <c r="U1799" t="inlineStr"/>
      <c r="V1799">
        <f>IF(J1799="","",MONTH(J1799))</f>
        <v/>
      </c>
      <c r="W1799">
        <f>IF(J1799="","",YEAR(J1799))</f>
        <v/>
      </c>
      <c r="X1799" t="inlineStr"/>
      <c r="Y1799">
        <f>IFERROR(INDEX(Rastreio!$H$2:$H$200,MATCH(X1799&amp;"|"&amp;U1799,Rastreio!$A$2:$A$200,0)),"")</f>
        <v/>
      </c>
    </row>
    <row r="1800">
      <c r="A1800">
        <f>IFERROR(INDEX(STAs!$G$2:$G$61,MATCH(P1800,STAs!$F$2:$F$61,0))&amp;"","")</f>
        <v/>
      </c>
      <c r="B1800" t="n">
        <v>20012544</v>
      </c>
      <c r="C1800" t="inlineStr">
        <is>
          <t>Não</t>
        </is>
      </c>
      <c r="D1800" t="inlineStr">
        <is>
          <t>MG</t>
        </is>
      </c>
      <c r="E1800" t="inlineStr">
        <is>
          <t>SUDESTE MG</t>
        </is>
      </c>
      <c r="F1800" t="inlineStr">
        <is>
          <t>Cliente A - Refrigerador</t>
        </is>
      </c>
      <c r="G1800" t="inlineStr">
        <is>
          <t>Refrigeradores</t>
        </is>
      </c>
      <c r="H1800" s="10" t="n">
        <v>55</v>
      </c>
      <c r="I1800" s="10">
        <f>IFERROR(T1800*H1800,0)</f>
        <v/>
      </c>
      <c r="J1800" s="11" t="n">
        <v>46229</v>
      </c>
      <c r="K1800" s="11" t="n">
        <v>46280</v>
      </c>
      <c r="L1800" t="inlineStr">
        <is>
          <t>Ok. Devolvida</t>
        </is>
      </c>
      <c r="M1800">
        <f>IF(L1800="","",IFERROR(VLOOKUP(L1800,mapGrupoStatus,2,0),"Outros"))</f>
        <v/>
      </c>
      <c r="N1800">
        <f>IF(O1800="","",IF(O1800&lt;=30,"0-30 dias",IF(O1800&lt;=60,"31-60 dias",IF(O1800&lt;=90,"61-90 dias","Mais de 90 dias"))))</f>
        <v/>
      </c>
      <c r="O1800">
        <f>IF(OR(M1800="Pendente",M1800="Em andamento"),IF(J1800="","",TODAY()-J1800),"")</f>
        <v/>
      </c>
      <c r="P1800" t="n">
        <v>12470</v>
      </c>
      <c r="Q1800" t="inlineStr">
        <is>
          <t>Cool Service Técnica (12470)</t>
        </is>
      </c>
      <c r="R1800" t="inlineStr">
        <is>
          <t>PC-0007</t>
        </is>
      </c>
      <c r="S1800" t="inlineStr">
        <is>
          <t>Ventilador modelo 01</t>
        </is>
      </c>
      <c r="T1800" t="n">
        <v>2</v>
      </c>
      <c r="U1800" t="n">
        <v>125</v>
      </c>
      <c r="V1800">
        <f>IF(J1800="","",MONTH(J1800))</f>
        <v/>
      </c>
      <c r="W1800">
        <f>IF(J1800="","",YEAR(J1800))</f>
        <v/>
      </c>
      <c r="X1800" t="inlineStr">
        <is>
          <t>CargoMax</t>
        </is>
      </c>
      <c r="Y1800">
        <f>IFERROR(INDEX(Rastreio!$H$2:$H$200,MATCH(X1800&amp;"|"&amp;U1800,Rastreio!$A$2:$A$200,0)),"")</f>
        <v/>
      </c>
    </row>
    <row r="1801">
      <c r="A1801">
        <f>IFERROR(INDEX(STAs!$G$2:$G$61,MATCH(P1801,STAs!$F$2:$F$61,0))&amp;"","")</f>
        <v/>
      </c>
      <c r="B1801" t="n">
        <v>20014411</v>
      </c>
      <c r="C1801" t="inlineStr">
        <is>
          <t>Não</t>
        </is>
      </c>
      <c r="D1801" t="inlineStr">
        <is>
          <t>SP</t>
        </is>
      </c>
      <c r="E1801" t="inlineStr">
        <is>
          <t>SUDESTE SP</t>
        </is>
      </c>
      <c r="F1801" t="inlineStr">
        <is>
          <t>Cliente B - Chopeira</t>
        </is>
      </c>
      <c r="G1801" t="inlineStr">
        <is>
          <t>Refrigeradores</t>
        </is>
      </c>
      <c r="H1801" s="10" t="n">
        <v>50</v>
      </c>
      <c r="I1801" s="10">
        <f>IFERROR(T1801*H1801,0)</f>
        <v/>
      </c>
      <c r="J1801" s="11" t="n">
        <v>46229</v>
      </c>
      <c r="K1801" s="11" t="n"/>
      <c r="L1801" t="inlineStr">
        <is>
          <t>Aguardando devolução</t>
        </is>
      </c>
      <c r="M1801">
        <f>IF(L1801="","",IFERROR(VLOOKUP(L1801,mapGrupoStatus,2,0),"Outros"))</f>
        <v/>
      </c>
      <c r="N1801">
        <f>IF(O1801="","",IF(O1801&lt;=30,"0-30 dias",IF(O1801&lt;=60,"31-60 dias",IF(O1801&lt;=90,"61-90 dias","Mais de 90 dias"))))</f>
        <v/>
      </c>
      <c r="O1801">
        <f>IF(OR(M1801="Pendente",M1801="Em andamento"),IF(J1801="","",TODAY()-J1801),"")</f>
        <v/>
      </c>
      <c r="P1801" t="n">
        <v>10413</v>
      </c>
      <c r="Q1801" t="inlineStr">
        <is>
          <t>Polar Manutenção (10413)</t>
        </is>
      </c>
      <c r="R1801" t="inlineStr">
        <is>
          <t>PC-0006</t>
        </is>
      </c>
      <c r="S1801" t="inlineStr">
        <is>
          <t>Termostato modelo 03</t>
        </is>
      </c>
      <c r="T1801" t="n">
        <v>2</v>
      </c>
      <c r="U1801" t="inlineStr"/>
      <c r="V1801">
        <f>IF(J1801="","",MONTH(J1801))</f>
        <v/>
      </c>
      <c r="W1801">
        <f>IF(J1801="","",YEAR(J1801))</f>
        <v/>
      </c>
      <c r="X1801" t="inlineStr"/>
      <c r="Y1801">
        <f>IFERROR(INDEX(Rastreio!$H$2:$H$200,MATCH(X1801&amp;"|"&amp;U1801,Rastreio!$A$2:$A$200,0)),"")</f>
        <v/>
      </c>
    </row>
    <row r="1802">
      <c r="A1802">
        <f>IFERROR(INDEX(STAs!$G$2:$G$61,MATCH(P1802,STAs!$F$2:$F$61,0))&amp;"","")</f>
        <v/>
      </c>
      <c r="B1802" t="n">
        <v>20016411</v>
      </c>
      <c r="C1802" t="inlineStr">
        <is>
          <t>Não</t>
        </is>
      </c>
      <c r="D1802" t="inlineStr">
        <is>
          <t>RJ</t>
        </is>
      </c>
      <c r="E1802" t="inlineStr">
        <is>
          <t>SUDESTE RJ e ES</t>
        </is>
      </c>
      <c r="F1802" t="inlineStr">
        <is>
          <t>Cliente B - Chopeira</t>
        </is>
      </c>
      <c r="G1802" t="inlineStr">
        <is>
          <t>Refrigeradores</t>
        </is>
      </c>
      <c r="H1802" s="10" t="n">
        <v>40</v>
      </c>
      <c r="I1802" s="10">
        <f>IFERROR(T1802*H1802,0)</f>
        <v/>
      </c>
      <c r="J1802" s="11" t="n">
        <v>46229</v>
      </c>
      <c r="K1802" s="11" t="n">
        <v>46267</v>
      </c>
      <c r="L1802" t="inlineStr">
        <is>
          <t>Ok. Devolvida</t>
        </is>
      </c>
      <c r="M1802">
        <f>IF(L1802="","",IFERROR(VLOOKUP(L1802,mapGrupoStatus,2,0),"Outros"))</f>
        <v/>
      </c>
      <c r="N1802">
        <f>IF(O1802="","",IF(O1802&lt;=30,"0-30 dias",IF(O1802&lt;=60,"31-60 dias",IF(O1802&lt;=90,"61-90 dias","Mais de 90 dias"))))</f>
        <v/>
      </c>
      <c r="O1802">
        <f>IF(OR(M1802="Pendente",M1802="Em andamento"),IF(J1802="","",TODAY()-J1802),"")</f>
        <v/>
      </c>
      <c r="P1802" t="n">
        <v>11059</v>
      </c>
      <c r="Q1802" t="inlineStr">
        <is>
          <t>Frio Ltda (11059)</t>
        </is>
      </c>
      <c r="R1802" t="inlineStr">
        <is>
          <t>PC-0004</t>
        </is>
      </c>
      <c r="S1802" t="inlineStr">
        <is>
          <t>Termostato modelo 01</t>
        </is>
      </c>
      <c r="T1802" t="n">
        <v>1</v>
      </c>
      <c r="U1802" t="n">
        <v>125</v>
      </c>
      <c r="V1802">
        <f>IF(J1802="","",MONTH(J1802))</f>
        <v/>
      </c>
      <c r="W1802">
        <f>IF(J1802="","",YEAR(J1802))</f>
        <v/>
      </c>
      <c r="X1802" t="inlineStr">
        <is>
          <t>TransNorte</t>
        </is>
      </c>
      <c r="Y1802">
        <f>IFERROR(INDEX(Rastreio!$H$2:$H$200,MATCH(X1802&amp;"|"&amp;U1802,Rastreio!$A$2:$A$200,0)),"")</f>
        <v/>
      </c>
    </row>
    <row r="1803">
      <c r="A1803">
        <f>IFERROR(INDEX(STAs!$G$2:$G$61,MATCH(P1803,STAs!$F$2:$F$61,0))&amp;"","")</f>
        <v/>
      </c>
      <c r="B1803" t="n">
        <v>20026651</v>
      </c>
      <c r="C1803" t="inlineStr">
        <is>
          <t>Não</t>
        </is>
      </c>
      <c r="D1803" t="inlineStr">
        <is>
          <t>PR</t>
        </is>
      </c>
      <c r="E1803" t="inlineStr">
        <is>
          <t>SUL</t>
        </is>
      </c>
      <c r="F1803" t="inlineStr">
        <is>
          <t>Cliente A - Refrigerador</t>
        </is>
      </c>
      <c r="G1803" t="inlineStr">
        <is>
          <t>Chopeiras</t>
        </is>
      </c>
      <c r="H1803" s="10" t="n">
        <v>215</v>
      </c>
      <c r="I1803" s="10">
        <f>IFERROR(T1803*H1803,0)</f>
        <v/>
      </c>
      <c r="J1803" s="11" t="n">
        <v>46229</v>
      </c>
      <c r="K1803" s="11" t="n"/>
      <c r="L1803" t="inlineStr">
        <is>
          <t>Não Devolve-Norte</t>
        </is>
      </c>
      <c r="M1803">
        <f>IF(L1803="","",IFERROR(VLOOKUP(L1803,mapGrupoStatus,2,0),"Outros"))</f>
        <v/>
      </c>
      <c r="N1803">
        <f>IF(O1803="","",IF(O1803&lt;=30,"0-30 dias",IF(O1803&lt;=60,"31-60 dias",IF(O1803&lt;=90,"61-90 dias","Mais de 90 dias"))))</f>
        <v/>
      </c>
      <c r="O1803">
        <f>IF(OR(M1803="Pendente",M1803="Em andamento"),IF(J1803="","",TODAY()-J1803),"")</f>
        <v/>
      </c>
      <c r="P1803" t="n">
        <v>12089</v>
      </c>
      <c r="Q1803" t="inlineStr">
        <is>
          <t>Termotec Serviços (12089)</t>
        </is>
      </c>
      <c r="R1803" t="inlineStr">
        <is>
          <t>PC-0030</t>
        </is>
      </c>
      <c r="S1803" t="inlineStr">
        <is>
          <t>Serpentina modelo 02</t>
        </is>
      </c>
      <c r="T1803" t="n">
        <v>2</v>
      </c>
      <c r="U1803" t="inlineStr"/>
      <c r="V1803">
        <f>IF(J1803="","",MONTH(J1803))</f>
        <v/>
      </c>
      <c r="W1803">
        <f>IF(J1803="","",YEAR(J1803))</f>
        <v/>
      </c>
      <c r="X1803" t="inlineStr"/>
      <c r="Y1803">
        <f>IFERROR(INDEX(Rastreio!$H$2:$H$200,MATCH(X1803&amp;"|"&amp;U1803,Rastreio!$A$2:$A$200,0)),"")</f>
        <v/>
      </c>
    </row>
    <row r="1804">
      <c r="A1804">
        <f>IFERROR(INDEX(STAs!$G$2:$G$61,MATCH(P1804,STAs!$F$2:$F$61,0))&amp;"","")</f>
        <v/>
      </c>
      <c r="B1804" t="n">
        <v>20023041</v>
      </c>
      <c r="C1804" t="inlineStr">
        <is>
          <t>Não</t>
        </is>
      </c>
      <c r="D1804" t="inlineStr">
        <is>
          <t>MS</t>
        </is>
      </c>
      <c r="E1804" t="inlineStr">
        <is>
          <t>CENTRO OESTE</t>
        </is>
      </c>
      <c r="F1804" t="inlineStr">
        <is>
          <t>Cliente B - Chopeira</t>
        </is>
      </c>
      <c r="G1804" t="inlineStr">
        <is>
          <t>Misturadores</t>
        </is>
      </c>
      <c r="H1804" s="10" t="n">
        <v>255</v>
      </c>
      <c r="I1804" s="10">
        <f>IFERROR(T1804*H1804,0)</f>
        <v/>
      </c>
      <c r="J1804" s="11" t="n">
        <v>46230</v>
      </c>
      <c r="K1804" s="11" t="n">
        <v>46280</v>
      </c>
      <c r="L1804" t="inlineStr">
        <is>
          <t>Ok. Devolvida</t>
        </is>
      </c>
      <c r="M1804">
        <f>IF(L1804="","",IFERROR(VLOOKUP(L1804,mapGrupoStatus,2,0),"Outros"))</f>
        <v/>
      </c>
      <c r="N1804">
        <f>IF(O1804="","",IF(O1804&lt;=30,"0-30 dias",IF(O1804&lt;=60,"31-60 dias",IF(O1804&lt;=90,"61-90 dias","Mais de 90 dias"))))</f>
        <v/>
      </c>
      <c r="O1804">
        <f>IF(OR(M1804="Pendente",M1804="Em andamento"),IF(J1804="","",TODAY()-J1804),"")</f>
        <v/>
      </c>
      <c r="P1804" t="n">
        <v>12280</v>
      </c>
      <c r="Q1804" t="inlineStr">
        <is>
          <t>Termotec &amp; Cia (12280)</t>
        </is>
      </c>
      <c r="R1804" t="inlineStr">
        <is>
          <t>PC-0039</t>
        </is>
      </c>
      <c r="S1804" t="inlineStr">
        <is>
          <t>Bomba de recirculação modelo 03</t>
        </is>
      </c>
      <c r="T1804" t="n">
        <v>1</v>
      </c>
      <c r="U1804" t="n">
        <v>135</v>
      </c>
      <c r="V1804">
        <f>IF(J1804="","",MONTH(J1804))</f>
        <v/>
      </c>
      <c r="W1804">
        <f>IF(J1804="","",YEAR(J1804))</f>
        <v/>
      </c>
      <c r="X1804" t="inlineStr">
        <is>
          <t>EntregaJá</t>
        </is>
      </c>
      <c r="Y1804">
        <f>IFERROR(INDEX(Rastreio!$H$2:$H$200,MATCH(X1804&amp;"|"&amp;U1804,Rastreio!$A$2:$A$200,0)),"")</f>
        <v/>
      </c>
    </row>
    <row r="1805">
      <c r="A1805">
        <f>IFERROR(INDEX(STAs!$G$2:$G$61,MATCH(P1805,STAs!$F$2:$F$61,0))&amp;"","")</f>
        <v/>
      </c>
      <c r="B1805" t="n">
        <v>20032452</v>
      </c>
      <c r="C1805" t="inlineStr">
        <is>
          <t>Não</t>
        </is>
      </c>
      <c r="D1805" t="inlineStr">
        <is>
          <t>AC</t>
        </is>
      </c>
      <c r="E1805" t="inlineStr">
        <is>
          <t>NORTE</t>
        </is>
      </c>
      <c r="F1805" t="inlineStr">
        <is>
          <t>Cliente B - Chopeira</t>
        </is>
      </c>
      <c r="G1805" t="inlineStr">
        <is>
          <t>Misturadores</t>
        </is>
      </c>
      <c r="H1805" s="10" t="n">
        <v>50</v>
      </c>
      <c r="I1805" s="10">
        <f>IFERROR(T1805*H1805,0)</f>
        <v/>
      </c>
      <c r="J1805" s="11" t="n">
        <v>46230</v>
      </c>
      <c r="K1805" s="11" t="n">
        <v>46274</v>
      </c>
      <c r="L1805" t="inlineStr">
        <is>
          <t>Ok. Devolvida</t>
        </is>
      </c>
      <c r="M1805">
        <f>IF(L1805="","",IFERROR(VLOOKUP(L1805,mapGrupoStatus,2,0),"Outros"))</f>
        <v/>
      </c>
      <c r="N1805">
        <f>IF(O1805="","",IF(O1805&lt;=30,"0-30 dias",IF(O1805&lt;=60,"31-60 dias",IF(O1805&lt;=90,"61-90 dias","Mais de 90 dias"))))</f>
        <v/>
      </c>
      <c r="O1805">
        <f>IF(OR(M1805="Pendente",M1805="Em andamento"),IF(J1805="","",TODAY()-J1805),"")</f>
        <v/>
      </c>
      <c r="P1805" t="n">
        <v>10372</v>
      </c>
      <c r="Q1805" t="inlineStr">
        <is>
          <t>Zero Grau ME (10372)</t>
        </is>
      </c>
      <c r="R1805" t="inlineStr">
        <is>
          <t>PC-0047</t>
        </is>
      </c>
      <c r="S1805" t="inlineStr">
        <is>
          <t>Sensor de nível modelo 03</t>
        </is>
      </c>
      <c r="T1805" t="n">
        <v>1</v>
      </c>
      <c r="U1805" t="n">
        <v>156</v>
      </c>
      <c r="V1805">
        <f>IF(J1805="","",MONTH(J1805))</f>
        <v/>
      </c>
      <c r="W1805">
        <f>IF(J1805="","",YEAR(J1805))</f>
        <v/>
      </c>
      <c r="X1805" t="inlineStr">
        <is>
          <t>RotaSul</t>
        </is>
      </c>
      <c r="Y1805">
        <f>IFERROR(INDEX(Rastreio!$H$2:$H$200,MATCH(X1805&amp;"|"&amp;U1805,Rastreio!$A$2:$A$200,0)),"")</f>
        <v/>
      </c>
    </row>
    <row r="1806">
      <c r="A1806">
        <f>IFERROR(INDEX(STAs!$G$2:$G$61,MATCH(P1806,STAs!$F$2:$F$61,0))&amp;"","")</f>
        <v/>
      </c>
      <c r="B1806" t="n">
        <v>20035463</v>
      </c>
      <c r="C1806" t="inlineStr">
        <is>
          <t>Não</t>
        </is>
      </c>
      <c r="D1806" t="inlineStr">
        <is>
          <t>ES</t>
        </is>
      </c>
      <c r="E1806" t="inlineStr">
        <is>
          <t>SUDESTE RJ e ES</t>
        </is>
      </c>
      <c r="F1806" t="inlineStr">
        <is>
          <t>Cliente C - Misturador</t>
        </is>
      </c>
      <c r="G1806" t="inlineStr">
        <is>
          <t>Chopeiras</t>
        </is>
      </c>
      <c r="H1806" s="10" t="n">
        <v>215</v>
      </c>
      <c r="I1806" s="10">
        <f>IFERROR(T1806*H1806,0)</f>
        <v/>
      </c>
      <c r="J1806" s="11" t="n">
        <v>46230</v>
      </c>
      <c r="K1806" s="11" t="n">
        <v>46259</v>
      </c>
      <c r="L1806" t="inlineStr">
        <is>
          <t>Ok. Devolvida</t>
        </is>
      </c>
      <c r="M1806">
        <f>IF(L1806="","",IFERROR(VLOOKUP(L1806,mapGrupoStatus,2,0),"Outros"))</f>
        <v/>
      </c>
      <c r="N1806">
        <f>IF(O1806="","",IF(O1806&lt;=30,"0-30 dias",IF(O1806&lt;=60,"31-60 dias",IF(O1806&lt;=90,"61-90 dias","Mais de 90 dias"))))</f>
        <v/>
      </c>
      <c r="O1806">
        <f>IF(OR(M1806="Pendente",M1806="Em andamento"),IF(J1806="","",TODAY()-J1806),"")</f>
        <v/>
      </c>
      <c r="P1806" t="n">
        <v>11162</v>
      </c>
      <c r="Q1806" t="inlineStr">
        <is>
          <t>Ártico Refrigeração (11162)</t>
        </is>
      </c>
      <c r="R1806" t="inlineStr">
        <is>
          <t>PC-0030</t>
        </is>
      </c>
      <c r="S1806" t="inlineStr">
        <is>
          <t>Serpentina modelo 02</t>
        </is>
      </c>
      <c r="T1806" t="n">
        <v>1</v>
      </c>
      <c r="U1806" t="n">
        <v>163</v>
      </c>
      <c r="V1806">
        <f>IF(J1806="","",MONTH(J1806))</f>
        <v/>
      </c>
      <c r="W1806">
        <f>IF(J1806="","",YEAR(J1806))</f>
        <v/>
      </c>
      <c r="X1806" t="inlineStr">
        <is>
          <t>TransNorte</t>
        </is>
      </c>
      <c r="Y1806">
        <f>IFERROR(INDEX(Rastreio!$H$2:$H$200,MATCH(X1806&amp;"|"&amp;U1806,Rastreio!$A$2:$A$200,0)),"")</f>
        <v/>
      </c>
    </row>
    <row r="1807">
      <c r="A1807">
        <f>IFERROR(INDEX(STAs!$G$2:$G$61,MATCH(P1807,STAs!$F$2:$F$61,0))&amp;"","")</f>
        <v/>
      </c>
      <c r="B1807" t="n">
        <v>20037022</v>
      </c>
      <c r="C1807" t="inlineStr">
        <is>
          <t>Não</t>
        </is>
      </c>
      <c r="D1807" t="inlineStr">
        <is>
          <t>MS</t>
        </is>
      </c>
      <c r="E1807" t="inlineStr">
        <is>
          <t>CENTRO OESTE</t>
        </is>
      </c>
      <c r="F1807" t="inlineStr">
        <is>
          <t>Cliente A - Refrigerador</t>
        </is>
      </c>
      <c r="G1807" t="inlineStr">
        <is>
          <t>Refrigeradores</t>
        </is>
      </c>
      <c r="H1807" s="10" t="n">
        <v>315</v>
      </c>
      <c r="I1807" s="10">
        <f>IFERROR(T1807*H1807,0)</f>
        <v/>
      </c>
      <c r="J1807" s="11" t="n">
        <v>46230</v>
      </c>
      <c r="K1807" s="11" t="n"/>
      <c r="L1807" t="inlineStr">
        <is>
          <t>Aguardando devolução</t>
        </is>
      </c>
      <c r="M1807">
        <f>IF(L1807="","",IFERROR(VLOOKUP(L1807,mapGrupoStatus,2,0),"Outros"))</f>
        <v/>
      </c>
      <c r="N1807">
        <f>IF(O1807="","",IF(O1807&lt;=30,"0-30 dias",IF(O1807&lt;=60,"31-60 dias",IF(O1807&lt;=90,"61-90 dias","Mais de 90 dias"))))</f>
        <v/>
      </c>
      <c r="O1807">
        <f>IF(OR(M1807="Pendente",M1807="Em andamento"),IF(J1807="","",TODAY()-J1807),"")</f>
        <v/>
      </c>
      <c r="P1807" t="n">
        <v>11726</v>
      </c>
      <c r="Q1807" t="inlineStr">
        <is>
          <t>Norte Frio Refrigeração (11726)</t>
        </is>
      </c>
      <c r="R1807" t="inlineStr">
        <is>
          <t>PC-0002</t>
        </is>
      </c>
      <c r="S1807" t="inlineStr">
        <is>
          <t>Compressor modelo 02</t>
        </is>
      </c>
      <c r="T1807" t="n">
        <v>1</v>
      </c>
      <c r="U1807" t="inlineStr"/>
      <c r="V1807">
        <f>IF(J1807="","",MONTH(J1807))</f>
        <v/>
      </c>
      <c r="W1807">
        <f>IF(J1807="","",YEAR(J1807))</f>
        <v/>
      </c>
      <c r="X1807" t="inlineStr"/>
      <c r="Y1807">
        <f>IFERROR(INDEX(Rastreio!$H$2:$H$200,MATCH(X1807&amp;"|"&amp;U1807,Rastreio!$A$2:$A$200,0)),"")</f>
        <v/>
      </c>
    </row>
    <row r="1808">
      <c r="A1808">
        <f>IFERROR(INDEX(STAs!$G$2:$G$61,MATCH(P1808,STAs!$F$2:$F$61,0))&amp;"","")</f>
        <v/>
      </c>
      <c r="B1808" t="n">
        <v>20006514</v>
      </c>
      <c r="C1808" t="inlineStr">
        <is>
          <t>Não</t>
        </is>
      </c>
      <c r="D1808" t="inlineStr">
        <is>
          <t>BA</t>
        </is>
      </c>
      <c r="E1808" t="inlineStr">
        <is>
          <t>NORDESTE</t>
        </is>
      </c>
      <c r="F1808" t="inlineStr">
        <is>
          <t>Cliente A - Refrigerador</t>
        </is>
      </c>
      <c r="G1808" t="inlineStr">
        <is>
          <t>Chopeiras</t>
        </is>
      </c>
      <c r="H1808" s="10" t="n">
        <v>85</v>
      </c>
      <c r="I1808" s="10">
        <f>IFERROR(T1808*H1808,0)</f>
        <v/>
      </c>
      <c r="J1808" s="11" t="n">
        <v>46231</v>
      </c>
      <c r="K1808" s="11" t="n">
        <v>46286</v>
      </c>
      <c r="L1808" t="inlineStr">
        <is>
          <t>Ok. Devolvida</t>
        </is>
      </c>
      <c r="M1808">
        <f>IF(L1808="","",IFERROR(VLOOKUP(L1808,mapGrupoStatus,2,0),"Outros"))</f>
        <v/>
      </c>
      <c r="N1808">
        <f>IF(O1808="","",IF(O1808&lt;=30,"0-30 dias",IF(O1808&lt;=60,"31-60 dias",IF(O1808&lt;=90,"61-90 dias","Mais de 90 dias"))))</f>
        <v/>
      </c>
      <c r="O1808">
        <f>IF(OR(M1808="Pendente",M1808="Em andamento"),IF(J1808="","",TODAY()-J1808),"")</f>
        <v/>
      </c>
      <c r="P1808" t="n">
        <v>12194</v>
      </c>
      <c r="Q1808" t="inlineStr">
        <is>
          <t>Polar &amp; Cia (12194)</t>
        </is>
      </c>
      <c r="R1808" t="inlineStr">
        <is>
          <t>PC-0026</t>
        </is>
      </c>
      <c r="S1808" t="inlineStr">
        <is>
          <t>Torneira de chopp modelo 01</t>
        </is>
      </c>
      <c r="T1808" t="n">
        <v>1</v>
      </c>
      <c r="U1808" t="n">
        <v>110</v>
      </c>
      <c r="V1808">
        <f>IF(J1808="","",MONTH(J1808))</f>
        <v/>
      </c>
      <c r="W1808">
        <f>IF(J1808="","",YEAR(J1808))</f>
        <v/>
      </c>
      <c r="X1808" t="inlineStr">
        <is>
          <t>TransNorte</t>
        </is>
      </c>
      <c r="Y1808">
        <f>IFERROR(INDEX(Rastreio!$H$2:$H$200,MATCH(X1808&amp;"|"&amp;U1808,Rastreio!$A$2:$A$200,0)),"")</f>
        <v/>
      </c>
    </row>
    <row r="1809">
      <c r="A1809">
        <f>IFERROR(INDEX(STAs!$G$2:$G$61,MATCH(P1809,STAs!$F$2:$F$61,0))&amp;"","")</f>
        <v/>
      </c>
      <c r="B1809" t="n">
        <v>20010075</v>
      </c>
      <c r="C1809" t="inlineStr">
        <is>
          <t>Não</t>
        </is>
      </c>
      <c r="D1809" t="inlineStr">
        <is>
          <t>PI</t>
        </is>
      </c>
      <c r="E1809" t="inlineStr">
        <is>
          <t>NORDESTE</t>
        </is>
      </c>
      <c r="F1809" t="inlineStr">
        <is>
          <t>Cliente A - Refrigerador</t>
        </is>
      </c>
      <c r="G1809" t="inlineStr">
        <is>
          <t>Chopeiras</t>
        </is>
      </c>
      <c r="H1809" s="10" t="n">
        <v>85</v>
      </c>
      <c r="I1809" s="10">
        <f>IFERROR(T1809*H1809,0)</f>
        <v/>
      </c>
      <c r="J1809" s="11" t="n">
        <v>46231</v>
      </c>
      <c r="K1809" s="11" t="n">
        <v>46254</v>
      </c>
      <c r="L1809" t="inlineStr">
        <is>
          <t>Ok. Devolvida</t>
        </is>
      </c>
      <c r="M1809">
        <f>IF(L1809="","",IFERROR(VLOOKUP(L1809,mapGrupoStatus,2,0),"Outros"))</f>
        <v/>
      </c>
      <c r="N1809">
        <f>IF(O1809="","",IF(O1809&lt;=30,"0-30 dias",IF(O1809&lt;=60,"31-60 dias",IF(O1809&lt;=90,"61-90 dias","Mais de 90 dias"))))</f>
        <v/>
      </c>
      <c r="O1809">
        <f>IF(OR(M1809="Pendente",M1809="Em andamento"),IF(J1809="","",TODAY()-J1809),"")</f>
        <v/>
      </c>
      <c r="P1809" t="n">
        <v>12936</v>
      </c>
      <c r="Q1809" t="inlineStr">
        <is>
          <t>Frigo Técnica (12936)</t>
        </is>
      </c>
      <c r="R1809" t="inlineStr">
        <is>
          <t>PC-0036</t>
        </is>
      </c>
      <c r="S1809" t="inlineStr">
        <is>
          <t>Válvula extratora modelo 02</t>
        </is>
      </c>
      <c r="T1809" t="n">
        <v>1</v>
      </c>
      <c r="U1809" t="n">
        <v>120</v>
      </c>
      <c r="V1809">
        <f>IF(J1809="","",MONTH(J1809))</f>
        <v/>
      </c>
      <c r="W1809">
        <f>IF(J1809="","",YEAR(J1809))</f>
        <v/>
      </c>
      <c r="X1809" t="inlineStr">
        <is>
          <t>EntregaJá</t>
        </is>
      </c>
      <c r="Y1809">
        <f>IFERROR(INDEX(Rastreio!$H$2:$H$200,MATCH(X1809&amp;"|"&amp;U1809,Rastreio!$A$2:$A$200,0)),"")</f>
        <v/>
      </c>
    </row>
    <row r="1810">
      <c r="A1810">
        <f>IFERROR(INDEX(STAs!$G$2:$G$61,MATCH(P1810,STAs!$F$2:$F$61,0))&amp;"","")</f>
        <v/>
      </c>
      <c r="B1810" t="n">
        <v>20016209</v>
      </c>
      <c r="C1810" t="inlineStr">
        <is>
          <t>Não</t>
        </is>
      </c>
      <c r="D1810" t="inlineStr">
        <is>
          <t>DF</t>
        </is>
      </c>
      <c r="E1810" t="inlineStr">
        <is>
          <t>CENTRO OESTE</t>
        </is>
      </c>
      <c r="F1810" t="inlineStr">
        <is>
          <t>Cliente B - Chopeira</t>
        </is>
      </c>
      <c r="G1810" t="inlineStr">
        <is>
          <t>Refrigeradores</t>
        </is>
      </c>
      <c r="H1810" s="10" t="n">
        <v>25</v>
      </c>
      <c r="I1810" s="10">
        <f>IFERROR(T1810*H1810,0)</f>
        <v/>
      </c>
      <c r="J1810" s="11" t="n">
        <v>46231</v>
      </c>
      <c r="K1810" s="11" t="n">
        <v>46273</v>
      </c>
      <c r="L1810" t="inlineStr">
        <is>
          <t>Ok. Devolvida</t>
        </is>
      </c>
      <c r="M1810">
        <f>IF(L1810="","",IFERROR(VLOOKUP(L1810,mapGrupoStatus,2,0),"Outros"))</f>
        <v/>
      </c>
      <c r="N1810">
        <f>IF(O1810="","",IF(O1810&lt;=30,"0-30 dias",IF(O1810&lt;=60,"31-60 dias",IF(O1810&lt;=90,"61-90 dias","Mais de 90 dias"))))</f>
        <v/>
      </c>
      <c r="O1810">
        <f>IF(OR(M1810="Pendente",M1810="Em andamento"),IF(J1810="","",TODAY()-J1810),"")</f>
        <v/>
      </c>
      <c r="P1810" t="n">
        <v>10021</v>
      </c>
      <c r="Q1810" t="inlineStr">
        <is>
          <t>Termotec Técnica (10021)</t>
        </is>
      </c>
      <c r="R1810" t="inlineStr">
        <is>
          <t>PC-0015</t>
        </is>
      </c>
      <c r="S1810" t="inlineStr">
        <is>
          <t>Filtro secador modelo 01</t>
        </is>
      </c>
      <c r="T1810" t="n">
        <v>1</v>
      </c>
      <c r="U1810" t="n">
        <v>131</v>
      </c>
      <c r="V1810">
        <f>IF(J1810="","",MONTH(J1810))</f>
        <v/>
      </c>
      <c r="W1810">
        <f>IF(J1810="","",YEAR(J1810))</f>
        <v/>
      </c>
      <c r="X1810" t="inlineStr">
        <is>
          <t>ViaCargo</t>
        </is>
      </c>
      <c r="Y1810">
        <f>IFERROR(INDEX(Rastreio!$H$2:$H$200,MATCH(X1810&amp;"|"&amp;U1810,Rastreio!$A$2:$A$200,0)),"")</f>
        <v/>
      </c>
    </row>
    <row r="1811">
      <c r="A1811">
        <f>IFERROR(INDEX(STAs!$G$2:$G$61,MATCH(P1811,STAs!$F$2:$F$61,0))&amp;"","")</f>
        <v/>
      </c>
      <c r="B1811" t="n">
        <v>20017696</v>
      </c>
      <c r="C1811" t="inlineStr">
        <is>
          <t>Não</t>
        </is>
      </c>
      <c r="D1811" t="inlineStr">
        <is>
          <t>SP</t>
        </is>
      </c>
      <c r="E1811" t="inlineStr">
        <is>
          <t>SUDESTE SP</t>
        </is>
      </c>
      <c r="F1811" t="inlineStr">
        <is>
          <t>Cliente A - Refrigerador</t>
        </is>
      </c>
      <c r="G1811" t="inlineStr">
        <is>
          <t>Refrigeradores</t>
        </is>
      </c>
      <c r="H1811" s="10" t="n">
        <v>45</v>
      </c>
      <c r="I1811" s="10">
        <f>IFERROR(T1811*H1811,0)</f>
        <v/>
      </c>
      <c r="J1811" s="11" t="n">
        <v>46231</v>
      </c>
      <c r="K1811" s="11" t="n">
        <v>46279</v>
      </c>
      <c r="L1811" t="inlineStr">
        <is>
          <t>Ok. Devolvida</t>
        </is>
      </c>
      <c r="M1811">
        <f>IF(L1811="","",IFERROR(VLOOKUP(L1811,mapGrupoStatus,2,0),"Outros"))</f>
        <v/>
      </c>
      <c r="N1811">
        <f>IF(O1811="","",IF(O1811&lt;=30,"0-30 dias",IF(O1811&lt;=60,"31-60 dias",IF(O1811&lt;=90,"61-90 dias","Mais de 90 dias"))))</f>
        <v/>
      </c>
      <c r="O1811">
        <f>IF(OR(M1811="Pendente",M1811="Em andamento"),IF(J1811="","",TODAY()-J1811),"")</f>
        <v/>
      </c>
      <c r="P1811" t="n">
        <v>11365</v>
      </c>
      <c r="Q1811" t="inlineStr">
        <is>
          <t>Ártico Express (11365)</t>
        </is>
      </c>
      <c r="R1811" t="inlineStr">
        <is>
          <t>PC-0018</t>
        </is>
      </c>
      <c r="S1811" t="inlineStr">
        <is>
          <t>Gaxeta da porta modelo 01</t>
        </is>
      </c>
      <c r="T1811" t="n">
        <v>1</v>
      </c>
      <c r="U1811" t="n">
        <v>133</v>
      </c>
      <c r="V1811">
        <f>IF(J1811="","",MONTH(J1811))</f>
        <v/>
      </c>
      <c r="W1811">
        <f>IF(J1811="","",YEAR(J1811))</f>
        <v/>
      </c>
      <c r="X1811" t="inlineStr">
        <is>
          <t>CargoMax</t>
        </is>
      </c>
      <c r="Y1811">
        <f>IFERROR(INDEX(Rastreio!$H$2:$H$200,MATCH(X1811&amp;"|"&amp;U1811,Rastreio!$A$2:$A$200,0)),"")</f>
        <v/>
      </c>
    </row>
    <row r="1812">
      <c r="A1812">
        <f>IFERROR(INDEX(STAs!$G$2:$G$61,MATCH(P1812,STAs!$F$2:$F$61,0))&amp;"","")</f>
        <v/>
      </c>
      <c r="B1812" t="n">
        <v>20021442</v>
      </c>
      <c r="C1812" t="inlineStr">
        <is>
          <t>Não</t>
        </is>
      </c>
      <c r="D1812" t="inlineStr">
        <is>
          <t>RS</t>
        </is>
      </c>
      <c r="E1812" t="inlineStr">
        <is>
          <t>SUL</t>
        </is>
      </c>
      <c r="F1812" t="inlineStr">
        <is>
          <t>Cliente C - Misturador</t>
        </is>
      </c>
      <c r="G1812" t="inlineStr">
        <is>
          <t>Refrigeradores</t>
        </is>
      </c>
      <c r="H1812" s="10" t="n">
        <v>25</v>
      </c>
      <c r="I1812" s="10">
        <f>IFERROR(T1812*H1812,0)</f>
        <v/>
      </c>
      <c r="J1812" s="11" t="n">
        <v>46231</v>
      </c>
      <c r="K1812" s="11" t="n">
        <v>46241</v>
      </c>
      <c r="L1812" t="inlineStr">
        <is>
          <t>Ok. Devolvida</t>
        </is>
      </c>
      <c r="M1812">
        <f>IF(L1812="","",IFERROR(VLOOKUP(L1812,mapGrupoStatus,2,0),"Outros"))</f>
        <v/>
      </c>
      <c r="N1812">
        <f>IF(O1812="","",IF(O1812&lt;=30,"0-30 dias",IF(O1812&lt;=60,"31-60 dias",IF(O1812&lt;=90,"61-90 dias","Mais de 90 dias"))))</f>
        <v/>
      </c>
      <c r="O1812">
        <f>IF(OR(M1812="Pendente",M1812="Em andamento"),IF(J1812="","",TODAY()-J1812),"")</f>
        <v/>
      </c>
      <c r="P1812" t="n">
        <v>11459</v>
      </c>
      <c r="Q1812" t="inlineStr">
        <is>
          <t>Frio ME (11459)</t>
        </is>
      </c>
      <c r="R1812" t="inlineStr">
        <is>
          <t>PC-0015</t>
        </is>
      </c>
      <c r="S1812" t="inlineStr">
        <is>
          <t>Filtro secador modelo 01</t>
        </is>
      </c>
      <c r="T1812" t="n">
        <v>1</v>
      </c>
      <c r="U1812" t="n">
        <v>137</v>
      </c>
      <c r="V1812">
        <f>IF(J1812="","",MONTH(J1812))</f>
        <v/>
      </c>
      <c r="W1812">
        <f>IF(J1812="","",YEAR(J1812))</f>
        <v/>
      </c>
      <c r="X1812" t="inlineStr">
        <is>
          <t>ViaCargo</t>
        </is>
      </c>
      <c r="Y1812">
        <f>IFERROR(INDEX(Rastreio!$H$2:$H$200,MATCH(X1812&amp;"|"&amp;U1812,Rastreio!$A$2:$A$200,0)),"")</f>
        <v/>
      </c>
    </row>
    <row r="1813">
      <c r="A1813">
        <f>IFERROR(INDEX(STAs!$G$2:$G$61,MATCH(P1813,STAs!$F$2:$F$61,0))&amp;"","")</f>
        <v/>
      </c>
      <c r="B1813" t="n">
        <v>20026002</v>
      </c>
      <c r="C1813" t="inlineStr">
        <is>
          <t>Não</t>
        </is>
      </c>
      <c r="D1813" t="inlineStr">
        <is>
          <t>SP</t>
        </is>
      </c>
      <c r="E1813" t="inlineStr">
        <is>
          <t>SUDESTE SP</t>
        </is>
      </c>
      <c r="F1813" t="inlineStr">
        <is>
          <t>Cliente B - Chopeira</t>
        </is>
      </c>
      <c r="G1813" t="inlineStr">
        <is>
          <t>Chopeiras</t>
        </is>
      </c>
      <c r="H1813" s="10" t="n">
        <v>215</v>
      </c>
      <c r="I1813" s="10">
        <f>IFERROR(T1813*H1813,0)</f>
        <v/>
      </c>
      <c r="J1813" s="11" t="n">
        <v>46231</v>
      </c>
      <c r="K1813" s="11" t="n"/>
      <c r="L1813" t="inlineStr">
        <is>
          <t>Aguardando Transporte</t>
        </is>
      </c>
      <c r="M1813">
        <f>IF(L1813="","",IFERROR(VLOOKUP(L1813,mapGrupoStatus,2,0),"Outros"))</f>
        <v/>
      </c>
      <c r="N1813">
        <f>IF(O1813="","",IF(O1813&lt;=30,"0-30 dias",IF(O1813&lt;=60,"31-60 dias",IF(O1813&lt;=90,"61-90 dias","Mais de 90 dias"))))</f>
        <v/>
      </c>
      <c r="O1813">
        <f>IF(OR(M1813="Pendente",M1813="Em andamento"),IF(J1813="","",TODAY()-J1813),"")</f>
        <v/>
      </c>
      <c r="P1813" t="n">
        <v>12901</v>
      </c>
      <c r="Q1813" t="inlineStr">
        <is>
          <t>Frio Serviços (12901)</t>
        </is>
      </c>
      <c r="R1813" t="inlineStr">
        <is>
          <t>PC-0030</t>
        </is>
      </c>
      <c r="S1813" t="inlineStr">
        <is>
          <t>Serpentina modelo 02</t>
        </is>
      </c>
      <c r="T1813" t="n">
        <v>1</v>
      </c>
      <c r="U1813" t="n">
        <v>138</v>
      </c>
      <c r="V1813">
        <f>IF(J1813="","",MONTH(J1813))</f>
        <v/>
      </c>
      <c r="W1813">
        <f>IF(J1813="","",YEAR(J1813))</f>
        <v/>
      </c>
      <c r="X1813" t="inlineStr">
        <is>
          <t>EntregaJá</t>
        </is>
      </c>
      <c r="Y1813">
        <f>IFERROR(INDEX(Rastreio!$H$2:$H$200,MATCH(X1813&amp;"|"&amp;U1813,Rastreio!$A$2:$A$200,0)),"")</f>
        <v/>
      </c>
    </row>
    <row r="1814">
      <c r="A1814">
        <f>IFERROR(INDEX(STAs!$G$2:$G$61,MATCH(P1814,STAs!$F$2:$F$61,0))&amp;"","")</f>
        <v/>
      </c>
      <c r="B1814" t="n">
        <v>20036914</v>
      </c>
      <c r="C1814" t="inlineStr">
        <is>
          <t>Não</t>
        </is>
      </c>
      <c r="D1814" t="inlineStr">
        <is>
          <t>DF</t>
        </is>
      </c>
      <c r="E1814" t="inlineStr">
        <is>
          <t>CENTRO OESTE</t>
        </is>
      </c>
      <c r="F1814" t="inlineStr">
        <is>
          <t>Cliente A - Refrigerador</t>
        </is>
      </c>
      <c r="G1814" t="inlineStr">
        <is>
          <t>Misturadores</t>
        </is>
      </c>
      <c r="H1814" s="10" t="n">
        <v>185</v>
      </c>
      <c r="I1814" s="10">
        <f>IFERROR(T1814*H1814,0)</f>
        <v/>
      </c>
      <c r="J1814" s="11" t="n">
        <v>46231</v>
      </c>
      <c r="K1814" s="11" t="n">
        <v>46247</v>
      </c>
      <c r="L1814" t="inlineStr">
        <is>
          <t>Ok. Devolvida</t>
        </is>
      </c>
      <c r="M1814">
        <f>IF(L1814="","",IFERROR(VLOOKUP(L1814,mapGrupoStatus,2,0),"Outros"))</f>
        <v/>
      </c>
      <c r="N1814">
        <f>IF(O1814="","",IF(O1814&lt;=30,"0-30 dias",IF(O1814&lt;=60,"31-60 dias",IF(O1814&lt;=90,"61-90 dias","Mais de 90 dias"))))</f>
        <v/>
      </c>
      <c r="O1814">
        <f>IF(OR(M1814="Pendente",M1814="Em andamento"),IF(J1814="","",TODAY()-J1814),"")</f>
        <v/>
      </c>
      <c r="P1814" t="n">
        <v>10021</v>
      </c>
      <c r="Q1814" t="inlineStr">
        <is>
          <t>Termotec Técnica (10021)</t>
        </is>
      </c>
      <c r="R1814" t="inlineStr">
        <is>
          <t>PC-0041</t>
        </is>
      </c>
      <c r="S1814" t="inlineStr">
        <is>
          <t>Motor agitador modelo 02</t>
        </is>
      </c>
      <c r="T1814" t="n">
        <v>1</v>
      </c>
      <c r="U1814" t="n">
        <v>157</v>
      </c>
      <c r="V1814">
        <f>IF(J1814="","",MONTH(J1814))</f>
        <v/>
      </c>
      <c r="W1814">
        <f>IF(J1814="","",YEAR(J1814))</f>
        <v/>
      </c>
      <c r="X1814" t="inlineStr">
        <is>
          <t>ViaCargo</t>
        </is>
      </c>
      <c r="Y1814">
        <f>IFERROR(INDEX(Rastreio!$H$2:$H$200,MATCH(X1814&amp;"|"&amp;U1814,Rastreio!$A$2:$A$200,0)),"")</f>
        <v/>
      </c>
    </row>
    <row r="1815">
      <c r="A1815">
        <f>IFERROR(INDEX(STAs!$G$2:$G$61,MATCH(P1815,STAs!$F$2:$F$61,0))&amp;"","")</f>
        <v/>
      </c>
      <c r="B1815" t="n">
        <v>20038919</v>
      </c>
      <c r="C1815" t="inlineStr">
        <is>
          <t>Não</t>
        </is>
      </c>
      <c r="D1815" t="inlineStr">
        <is>
          <t>PR</t>
        </is>
      </c>
      <c r="E1815" t="inlineStr">
        <is>
          <t>SUL</t>
        </is>
      </c>
      <c r="F1815" t="inlineStr">
        <is>
          <t>Cliente B - Chopeira</t>
        </is>
      </c>
      <c r="G1815" t="inlineStr">
        <is>
          <t>Refrigeradores</t>
        </is>
      </c>
      <c r="H1815" s="10" t="n">
        <v>25</v>
      </c>
      <c r="I1815" s="10">
        <f>IFERROR(T1815*H1815,0)</f>
        <v/>
      </c>
      <c r="J1815" s="11" t="n">
        <v>46231</v>
      </c>
      <c r="K1815" s="11" t="n">
        <v>46269</v>
      </c>
      <c r="L1815" t="inlineStr">
        <is>
          <t>Ok. Devolvida</t>
        </is>
      </c>
      <c r="M1815">
        <f>IF(L1815="","",IFERROR(VLOOKUP(L1815,mapGrupoStatus,2,0),"Outros"))</f>
        <v/>
      </c>
      <c r="N1815">
        <f>IF(O1815="","",IF(O1815&lt;=30,"0-30 dias",IF(O1815&lt;=60,"31-60 dias",IF(O1815&lt;=90,"61-90 dias","Mais de 90 dias"))))</f>
        <v/>
      </c>
      <c r="O1815">
        <f>IF(OR(M1815="Pendente",M1815="Em andamento"),IF(J1815="","",TODAY()-J1815),"")</f>
        <v/>
      </c>
      <c r="P1815" t="n">
        <v>10504</v>
      </c>
      <c r="Q1815" t="inlineStr">
        <is>
          <t>Zero Grau Ltda (10504)</t>
        </is>
      </c>
      <c r="R1815" t="inlineStr">
        <is>
          <t>PC-0015</t>
        </is>
      </c>
      <c r="S1815" t="inlineStr">
        <is>
          <t>Filtro secador modelo 01</t>
        </is>
      </c>
      <c r="T1815" t="n">
        <v>1</v>
      </c>
      <c r="U1815" t="n">
        <v>167</v>
      </c>
      <c r="V1815">
        <f>IF(J1815="","",MONTH(J1815))</f>
        <v/>
      </c>
      <c r="W1815">
        <f>IF(J1815="","",YEAR(J1815))</f>
        <v/>
      </c>
      <c r="X1815" t="inlineStr">
        <is>
          <t>TransNorte</t>
        </is>
      </c>
      <c r="Y1815">
        <f>IFERROR(INDEX(Rastreio!$H$2:$H$200,MATCH(X1815&amp;"|"&amp;U1815,Rastreio!$A$2:$A$200,0)),"")</f>
        <v/>
      </c>
    </row>
    <row r="1816">
      <c r="A1816">
        <f>IFERROR(INDEX(STAs!$G$2:$G$61,MATCH(P1816,STAs!$F$2:$F$61,0))&amp;"","")</f>
        <v/>
      </c>
      <c r="B1816" t="n">
        <v>20008300</v>
      </c>
      <c r="C1816" t="inlineStr">
        <is>
          <t>Não</t>
        </is>
      </c>
      <c r="D1816" t="inlineStr">
        <is>
          <t>ES</t>
        </is>
      </c>
      <c r="E1816" t="inlineStr">
        <is>
          <t>SUDESTE RJ e ES</t>
        </is>
      </c>
      <c r="F1816" t="inlineStr">
        <is>
          <t>Cliente A - Refrigerador</t>
        </is>
      </c>
      <c r="G1816" t="inlineStr">
        <is>
          <t>Refrigeradores</t>
        </is>
      </c>
      <c r="H1816" s="10" t="n">
        <v>35</v>
      </c>
      <c r="I1816" s="10">
        <f>IFERROR(T1816*H1816,0)</f>
        <v/>
      </c>
      <c r="J1816" s="11" t="n">
        <v>46232</v>
      </c>
      <c r="K1816" s="11" t="n"/>
      <c r="L1816" t="inlineStr">
        <is>
          <t>Em transporte</t>
        </is>
      </c>
      <c r="M1816">
        <f>IF(L1816="","",IFERROR(VLOOKUP(L1816,mapGrupoStatus,2,0),"Outros"))</f>
        <v/>
      </c>
      <c r="N1816">
        <f>IF(O1816="","",IF(O1816&lt;=30,"0-30 dias",IF(O1816&lt;=60,"31-60 dias",IF(O1816&lt;=90,"61-90 dias","Mais de 90 dias"))))</f>
        <v/>
      </c>
      <c r="O1816">
        <f>IF(OR(M1816="Pendente",M1816="Em andamento"),IF(J1816="","",TODAY()-J1816),"")</f>
        <v/>
      </c>
      <c r="P1816" t="n">
        <v>12555</v>
      </c>
      <c r="Q1816" t="inlineStr">
        <is>
          <t>Cool Service Serviços (12555)</t>
        </is>
      </c>
      <c r="R1816" t="inlineStr">
        <is>
          <t>PC-0024</t>
        </is>
      </c>
      <c r="S1816" t="inlineStr">
        <is>
          <t>Relé de partida modelo 02</t>
        </is>
      </c>
      <c r="T1816" t="n">
        <v>1</v>
      </c>
      <c r="U1816" t="n">
        <v>121</v>
      </c>
      <c r="V1816">
        <f>IF(J1816="","",MONTH(J1816))</f>
        <v/>
      </c>
      <c r="W1816">
        <f>IF(J1816="","",YEAR(J1816))</f>
        <v/>
      </c>
      <c r="X1816" t="inlineStr">
        <is>
          <t>ViaCargo</t>
        </is>
      </c>
      <c r="Y1816">
        <f>IFERROR(INDEX(Rastreio!$H$2:$H$200,MATCH(X1816&amp;"|"&amp;U1816,Rastreio!$A$2:$A$200,0)),"")</f>
        <v/>
      </c>
    </row>
    <row r="1817">
      <c r="A1817">
        <f>IFERROR(INDEX(STAs!$G$2:$G$61,MATCH(P1817,STAs!$F$2:$F$61,0))&amp;"","")</f>
        <v/>
      </c>
      <c r="B1817" t="n">
        <v>20024687</v>
      </c>
      <c r="C1817" t="inlineStr">
        <is>
          <t>Não</t>
        </is>
      </c>
      <c r="D1817" t="inlineStr">
        <is>
          <t>BA</t>
        </is>
      </c>
      <c r="E1817" t="inlineStr">
        <is>
          <t>NORDESTE</t>
        </is>
      </c>
      <c r="F1817" t="inlineStr">
        <is>
          <t>Cliente B - Chopeira</t>
        </is>
      </c>
      <c r="G1817" t="inlineStr">
        <is>
          <t>Misturadores</t>
        </is>
      </c>
      <c r="H1817" s="10" t="n">
        <v>50</v>
      </c>
      <c r="I1817" s="10">
        <f>IFERROR(T1817*H1817,0)</f>
        <v/>
      </c>
      <c r="J1817" s="11" t="n">
        <v>46232</v>
      </c>
      <c r="K1817" s="11" t="n">
        <v>46256</v>
      </c>
      <c r="L1817" t="inlineStr">
        <is>
          <t>Ok. Devolvida</t>
        </is>
      </c>
      <c r="M1817">
        <f>IF(L1817="","",IFERROR(VLOOKUP(L1817,mapGrupoStatus,2,0),"Outros"))</f>
        <v/>
      </c>
      <c r="N1817">
        <f>IF(O1817="","",IF(O1817&lt;=30,"0-30 dias",IF(O1817&lt;=60,"31-60 dias",IF(O1817&lt;=90,"61-90 dias","Mais de 90 dias"))))</f>
        <v/>
      </c>
      <c r="O1817">
        <f>IF(OR(M1817="Pendente",M1817="Em andamento"),IF(J1817="","",TODAY()-J1817),"")</f>
        <v/>
      </c>
      <c r="P1817" t="n">
        <v>11538</v>
      </c>
      <c r="Q1817" t="inlineStr">
        <is>
          <t>Clima Manutenção (11538)</t>
        </is>
      </c>
      <c r="R1817" t="inlineStr">
        <is>
          <t>PC-0047</t>
        </is>
      </c>
      <c r="S1817" t="inlineStr">
        <is>
          <t>Sensor de nível modelo 03</t>
        </is>
      </c>
      <c r="T1817" t="n">
        <v>1</v>
      </c>
      <c r="U1817" t="n">
        <v>141</v>
      </c>
      <c r="V1817">
        <f>IF(J1817="","",MONTH(J1817))</f>
        <v/>
      </c>
      <c r="W1817">
        <f>IF(J1817="","",YEAR(J1817))</f>
        <v/>
      </c>
      <c r="X1817" t="inlineStr">
        <is>
          <t>TransNorte</t>
        </is>
      </c>
      <c r="Y1817">
        <f>IFERROR(INDEX(Rastreio!$H$2:$H$200,MATCH(X1817&amp;"|"&amp;U1817,Rastreio!$A$2:$A$200,0)),"")</f>
        <v/>
      </c>
    </row>
    <row r="1818">
      <c r="A1818">
        <f>IFERROR(INDEX(STAs!$G$2:$G$61,MATCH(P1818,STAs!$F$2:$F$61,0))&amp;"","")</f>
        <v/>
      </c>
      <c r="B1818" t="n">
        <v>20038455</v>
      </c>
      <c r="C1818" t="inlineStr">
        <is>
          <t>Não</t>
        </is>
      </c>
      <c r="D1818" t="inlineStr">
        <is>
          <t>PA</t>
        </is>
      </c>
      <c r="E1818" t="inlineStr">
        <is>
          <t>NORTE</t>
        </is>
      </c>
      <c r="F1818" t="inlineStr">
        <is>
          <t>Cliente B - Chopeira</t>
        </is>
      </c>
      <c r="G1818" t="inlineStr">
        <is>
          <t>Refrigeradores</t>
        </is>
      </c>
      <c r="H1818" s="10" t="n">
        <v>155</v>
      </c>
      <c r="I1818" s="10">
        <f>IFERROR(T1818*H1818,0)</f>
        <v/>
      </c>
      <c r="J1818" s="11" t="n">
        <v>46232</v>
      </c>
      <c r="K1818" s="11" t="n"/>
      <c r="L1818" t="inlineStr">
        <is>
          <t>Não Devolve-Norte</t>
        </is>
      </c>
      <c r="M1818">
        <f>IF(L1818="","",IFERROR(VLOOKUP(L1818,mapGrupoStatus,2,0),"Outros"))</f>
        <v/>
      </c>
      <c r="N1818">
        <f>IF(O1818="","",IF(O1818&lt;=30,"0-30 dias",IF(O1818&lt;=60,"31-60 dias",IF(O1818&lt;=90,"61-90 dias","Mais de 90 dias"))))</f>
        <v/>
      </c>
      <c r="O1818">
        <f>IF(OR(M1818="Pendente",M1818="Em andamento"),IF(J1818="","",TODAY()-J1818),"")</f>
        <v/>
      </c>
      <c r="P1818" t="n">
        <v>11986</v>
      </c>
      <c r="Q1818" t="inlineStr">
        <is>
          <t>Polar Serviços (11986)</t>
        </is>
      </c>
      <c r="R1818" t="inlineStr">
        <is>
          <t>PC-0022</t>
        </is>
      </c>
      <c r="S1818" t="inlineStr">
        <is>
          <t>Controlador digital modelo 02</t>
        </is>
      </c>
      <c r="T1818" t="n">
        <v>1</v>
      </c>
      <c r="U1818" t="inlineStr"/>
      <c r="V1818">
        <f>IF(J1818="","",MONTH(J1818))</f>
        <v/>
      </c>
      <c r="W1818">
        <f>IF(J1818="","",YEAR(J1818))</f>
        <v/>
      </c>
      <c r="X1818" t="inlineStr"/>
      <c r="Y1818">
        <f>IFERROR(INDEX(Rastreio!$H$2:$H$200,MATCH(X1818&amp;"|"&amp;U1818,Rastreio!$A$2:$A$200,0)),"")</f>
        <v/>
      </c>
    </row>
    <row r="1819">
      <c r="A1819">
        <f>IFERROR(INDEX(STAs!$G$2:$G$61,MATCH(P1819,STAs!$F$2:$F$61,0))&amp;"","")</f>
        <v/>
      </c>
      <c r="B1819" t="n">
        <v>20002690</v>
      </c>
      <c r="C1819" t="inlineStr">
        <is>
          <t>Não</t>
        </is>
      </c>
      <c r="D1819" t="inlineStr">
        <is>
          <t>DF</t>
        </is>
      </c>
      <c r="E1819" t="inlineStr">
        <is>
          <t>CENTRO OESTE</t>
        </is>
      </c>
      <c r="F1819" t="inlineStr">
        <is>
          <t>Cliente B - Chopeira</t>
        </is>
      </c>
      <c r="G1819" t="inlineStr">
        <is>
          <t>Refrigeradores</t>
        </is>
      </c>
      <c r="H1819" s="10" t="n">
        <v>155</v>
      </c>
      <c r="I1819" s="10">
        <f>IFERROR(T1819*H1819,0)</f>
        <v/>
      </c>
      <c r="J1819" s="11" t="n">
        <v>46233</v>
      </c>
      <c r="K1819" s="11" t="n">
        <v>46247</v>
      </c>
      <c r="L1819" t="inlineStr">
        <is>
          <t>Ok. Devolvida</t>
        </is>
      </c>
      <c r="M1819">
        <f>IF(L1819="","",IFERROR(VLOOKUP(L1819,mapGrupoStatus,2,0),"Outros"))</f>
        <v/>
      </c>
      <c r="N1819">
        <f>IF(O1819="","",IF(O1819&lt;=30,"0-30 dias",IF(O1819&lt;=60,"31-60 dias",IF(O1819&lt;=90,"61-90 dias","Mais de 90 dias"))))</f>
        <v/>
      </c>
      <c r="O1819">
        <f>IF(OR(M1819="Pendente",M1819="Em andamento"),IF(J1819="","",TODAY()-J1819),"")</f>
        <v/>
      </c>
      <c r="P1819" t="n">
        <v>10021</v>
      </c>
      <c r="Q1819" t="inlineStr">
        <is>
          <t>Termotec Técnica (10021)</t>
        </is>
      </c>
      <c r="R1819" t="inlineStr">
        <is>
          <t>PC-0021</t>
        </is>
      </c>
      <c r="S1819" t="inlineStr">
        <is>
          <t>Controlador digital modelo 01</t>
        </is>
      </c>
      <c r="T1819" t="n">
        <v>1</v>
      </c>
      <c r="U1819" t="n">
        <v>104</v>
      </c>
      <c r="V1819">
        <f>IF(J1819="","",MONTH(J1819))</f>
        <v/>
      </c>
      <c r="W1819">
        <f>IF(J1819="","",YEAR(J1819))</f>
        <v/>
      </c>
      <c r="X1819" t="inlineStr">
        <is>
          <t>TransNorte</t>
        </is>
      </c>
      <c r="Y1819">
        <f>IFERROR(INDEX(Rastreio!$H$2:$H$200,MATCH(X1819&amp;"|"&amp;U1819,Rastreio!$A$2:$A$200,0)),"")</f>
        <v/>
      </c>
    </row>
    <row r="1820">
      <c r="A1820">
        <f>IFERROR(INDEX(STAs!$G$2:$G$61,MATCH(P1820,STAs!$F$2:$F$61,0))&amp;"","")</f>
        <v/>
      </c>
      <c r="B1820" t="n">
        <v>20006339</v>
      </c>
      <c r="C1820" t="inlineStr">
        <is>
          <t>Não</t>
        </is>
      </c>
      <c r="D1820" t="inlineStr">
        <is>
          <t>ES</t>
        </is>
      </c>
      <c r="E1820" t="inlineStr">
        <is>
          <t>SUDESTE RJ e ES</t>
        </is>
      </c>
      <c r="F1820" t="inlineStr">
        <is>
          <t>Cliente B - Chopeira</t>
        </is>
      </c>
      <c r="G1820" t="inlineStr">
        <is>
          <t>Refrigeradores</t>
        </is>
      </c>
      <c r="H1820" s="10" t="n">
        <v>185</v>
      </c>
      <c r="I1820" s="10">
        <f>IFERROR(T1820*H1820,0)</f>
        <v/>
      </c>
      <c r="J1820" s="11" t="n">
        <v>46233</v>
      </c>
      <c r="K1820" s="11" t="n">
        <v>46293</v>
      </c>
      <c r="L1820" t="inlineStr">
        <is>
          <t>Ok. Devolvida</t>
        </is>
      </c>
      <c r="M1820">
        <f>IF(L1820="","",IFERROR(VLOOKUP(L1820,mapGrupoStatus,2,0),"Outros"))</f>
        <v/>
      </c>
      <c r="N1820">
        <f>IF(O1820="","",IF(O1820&lt;=30,"0-30 dias",IF(O1820&lt;=60,"31-60 dias",IF(O1820&lt;=90,"61-90 dias","Mais de 90 dias"))))</f>
        <v/>
      </c>
      <c r="O1820">
        <f>IF(OR(M1820="Pendente",M1820="Em andamento"),IF(J1820="","",TODAY()-J1820),"")</f>
        <v/>
      </c>
      <c r="P1820" t="n">
        <v>11396</v>
      </c>
      <c r="Q1820" t="inlineStr">
        <is>
          <t>Frio Manutenção (11396)</t>
        </is>
      </c>
      <c r="R1820" t="inlineStr">
        <is>
          <t>PC-0013</t>
        </is>
      </c>
      <c r="S1820" t="inlineStr">
        <is>
          <t>Placa eletrônica modelo 03</t>
        </is>
      </c>
      <c r="T1820" t="n">
        <v>1</v>
      </c>
      <c r="U1820" t="n">
        <v>116</v>
      </c>
      <c r="V1820">
        <f>IF(J1820="","",MONTH(J1820))</f>
        <v/>
      </c>
      <c r="W1820">
        <f>IF(J1820="","",YEAR(J1820))</f>
        <v/>
      </c>
      <c r="X1820" t="inlineStr">
        <is>
          <t>ViaCargo</t>
        </is>
      </c>
      <c r="Y1820">
        <f>IFERROR(INDEX(Rastreio!$H$2:$H$200,MATCH(X1820&amp;"|"&amp;U1820,Rastreio!$A$2:$A$200,0)),"")</f>
        <v/>
      </c>
    </row>
    <row r="1821">
      <c r="A1821">
        <f>IFERROR(INDEX(STAs!$G$2:$G$61,MATCH(P1821,STAs!$F$2:$F$61,0))&amp;"","")</f>
        <v/>
      </c>
      <c r="B1821" t="n">
        <v>20006443</v>
      </c>
      <c r="C1821" t="inlineStr">
        <is>
          <t>Não</t>
        </is>
      </c>
      <c r="D1821" t="inlineStr">
        <is>
          <t>PB</t>
        </is>
      </c>
      <c r="E1821" t="inlineStr">
        <is>
          <t>NORDESTE</t>
        </is>
      </c>
      <c r="F1821" t="inlineStr">
        <is>
          <t>Cliente C - Misturador</t>
        </is>
      </c>
      <c r="G1821" t="inlineStr">
        <is>
          <t>Refrigeradores</t>
        </is>
      </c>
      <c r="H1821" s="10" t="n">
        <v>325</v>
      </c>
      <c r="I1821" s="10">
        <f>IFERROR(T1821*H1821,0)</f>
        <v/>
      </c>
      <c r="J1821" s="11" t="n">
        <v>46233</v>
      </c>
      <c r="K1821" s="11" t="n">
        <v>46260</v>
      </c>
      <c r="L1821" t="inlineStr">
        <is>
          <t>Ok. Devolvida</t>
        </is>
      </c>
      <c r="M1821">
        <f>IF(L1821="","",IFERROR(VLOOKUP(L1821,mapGrupoStatus,2,0),"Outros"))</f>
        <v/>
      </c>
      <c r="N1821">
        <f>IF(O1821="","",IF(O1821&lt;=30,"0-30 dias",IF(O1821&lt;=60,"31-60 dias",IF(O1821&lt;=90,"61-90 dias","Mais de 90 dias"))))</f>
        <v/>
      </c>
      <c r="O1821">
        <f>IF(OR(M1821="Pendente",M1821="Em andamento"),IF(J1821="","",TODAY()-J1821),"")</f>
        <v/>
      </c>
      <c r="P1821" t="n">
        <v>11741</v>
      </c>
      <c r="Q1821" t="inlineStr">
        <is>
          <t>Clima Refrigeração (11741)</t>
        </is>
      </c>
      <c r="R1821" t="inlineStr">
        <is>
          <t>PC-0001</t>
        </is>
      </c>
      <c r="S1821" t="inlineStr">
        <is>
          <t>Compressor modelo 01</t>
        </is>
      </c>
      <c r="T1821" t="n">
        <v>1</v>
      </c>
      <c r="U1821" t="n">
        <v>114</v>
      </c>
      <c r="V1821">
        <f>IF(J1821="","",MONTH(J1821))</f>
        <v/>
      </c>
      <c r="W1821">
        <f>IF(J1821="","",YEAR(J1821))</f>
        <v/>
      </c>
      <c r="X1821" t="inlineStr">
        <is>
          <t>EntregaJá</t>
        </is>
      </c>
      <c r="Y1821">
        <f>IFERROR(INDEX(Rastreio!$H$2:$H$200,MATCH(X1821&amp;"|"&amp;U1821,Rastreio!$A$2:$A$200,0)),"")</f>
        <v/>
      </c>
    </row>
    <row r="1822">
      <c r="A1822">
        <f>IFERROR(INDEX(STAs!$G$2:$G$61,MATCH(P1822,STAs!$F$2:$F$61,0))&amp;"","")</f>
        <v/>
      </c>
      <c r="B1822" t="n">
        <v>20007553</v>
      </c>
      <c r="C1822" t="inlineStr">
        <is>
          <t>Não</t>
        </is>
      </c>
      <c r="D1822" t="inlineStr">
        <is>
          <t>ES</t>
        </is>
      </c>
      <c r="E1822" t="inlineStr">
        <is>
          <t>SUDESTE RJ e ES</t>
        </is>
      </c>
      <c r="F1822" t="inlineStr">
        <is>
          <t>Cliente C - Misturador</t>
        </is>
      </c>
      <c r="G1822" t="inlineStr">
        <is>
          <t>Misturadores</t>
        </is>
      </c>
      <c r="H1822" s="10" t="n">
        <v>185</v>
      </c>
      <c r="I1822" s="10">
        <f>IFERROR(T1822*H1822,0)</f>
        <v/>
      </c>
      <c r="J1822" s="11" t="n">
        <v>46233</v>
      </c>
      <c r="K1822" s="11" t="n">
        <v>46283</v>
      </c>
      <c r="L1822" t="inlineStr">
        <is>
          <t>Ok. Devolvida</t>
        </is>
      </c>
      <c r="M1822">
        <f>IF(L1822="","",IFERROR(VLOOKUP(L1822,mapGrupoStatus,2,0),"Outros"))</f>
        <v/>
      </c>
      <c r="N1822">
        <f>IF(O1822="","",IF(O1822&lt;=30,"0-30 dias",IF(O1822&lt;=60,"31-60 dias",IF(O1822&lt;=90,"61-90 dias","Mais de 90 dias"))))</f>
        <v/>
      </c>
      <c r="O1822">
        <f>IF(OR(M1822="Pendente",M1822="Em andamento"),IF(J1822="","",TODAY()-J1822),"")</f>
        <v/>
      </c>
      <c r="P1822" t="n">
        <v>11396</v>
      </c>
      <c r="Q1822" t="inlineStr">
        <is>
          <t>Frio Manutenção (11396)</t>
        </is>
      </c>
      <c r="R1822" t="inlineStr">
        <is>
          <t>PC-0041</t>
        </is>
      </c>
      <c r="S1822" t="inlineStr">
        <is>
          <t>Motor agitador modelo 02</t>
        </is>
      </c>
      <c r="T1822" t="n">
        <v>1</v>
      </c>
      <c r="U1822" t="n">
        <v>113</v>
      </c>
      <c r="V1822">
        <f>IF(J1822="","",MONTH(J1822))</f>
        <v/>
      </c>
      <c r="W1822">
        <f>IF(J1822="","",YEAR(J1822))</f>
        <v/>
      </c>
      <c r="X1822" t="inlineStr">
        <is>
          <t>CargoMax</t>
        </is>
      </c>
      <c r="Y1822">
        <f>IFERROR(INDEX(Rastreio!$H$2:$H$200,MATCH(X1822&amp;"|"&amp;U1822,Rastreio!$A$2:$A$200,0)),"")</f>
        <v/>
      </c>
    </row>
    <row r="1823">
      <c r="A1823">
        <f>IFERROR(INDEX(STAs!$G$2:$G$61,MATCH(P1823,STAs!$F$2:$F$61,0))&amp;"","")</f>
        <v/>
      </c>
      <c r="B1823" t="n">
        <v>20011784</v>
      </c>
      <c r="C1823" t="inlineStr">
        <is>
          <t>Não</t>
        </is>
      </c>
      <c r="D1823" t="inlineStr">
        <is>
          <t>SP</t>
        </is>
      </c>
      <c r="E1823" t="inlineStr">
        <is>
          <t>SUDESTE SP</t>
        </is>
      </c>
      <c r="F1823" t="inlineStr">
        <is>
          <t>Cliente A - Refrigerador</t>
        </is>
      </c>
      <c r="G1823" t="inlineStr">
        <is>
          <t>Refrigeradores</t>
        </is>
      </c>
      <c r="H1823" s="10" t="n">
        <v>45</v>
      </c>
      <c r="I1823" s="10">
        <f>IFERROR(T1823*H1823,0)</f>
        <v/>
      </c>
      <c r="J1823" s="11" t="n">
        <v>46233</v>
      </c>
      <c r="K1823" s="11" t="n"/>
      <c r="L1823" t="inlineStr">
        <is>
          <t>Aguardando Transporte</t>
        </is>
      </c>
      <c r="M1823">
        <f>IF(L1823="","",IFERROR(VLOOKUP(L1823,mapGrupoStatus,2,0),"Outros"))</f>
        <v/>
      </c>
      <c r="N1823">
        <f>IF(O1823="","",IF(O1823&lt;=30,"0-30 dias",IF(O1823&lt;=60,"31-60 dias",IF(O1823&lt;=90,"61-90 dias","Mais de 90 dias"))))</f>
        <v/>
      </c>
      <c r="O1823">
        <f>IF(OR(M1823="Pendente",M1823="Em andamento"),IF(J1823="","",TODAY()-J1823),"")</f>
        <v/>
      </c>
      <c r="P1823" t="n">
        <v>12052</v>
      </c>
      <c r="Q1823" t="inlineStr">
        <is>
          <t>Brisa Refrigeração (12052)</t>
        </is>
      </c>
      <c r="R1823" t="inlineStr">
        <is>
          <t>PC-0018</t>
        </is>
      </c>
      <c r="S1823" t="inlineStr">
        <is>
          <t>Gaxeta da porta modelo 01</t>
        </is>
      </c>
      <c r="T1823" t="n">
        <v>1</v>
      </c>
      <c r="U1823" t="n">
        <v>125</v>
      </c>
      <c r="V1823">
        <f>IF(J1823="","",MONTH(J1823))</f>
        <v/>
      </c>
      <c r="W1823">
        <f>IF(J1823="","",YEAR(J1823))</f>
        <v/>
      </c>
      <c r="X1823" t="inlineStr">
        <is>
          <t>ViaCargo</t>
        </is>
      </c>
      <c r="Y1823">
        <f>IFERROR(INDEX(Rastreio!$H$2:$H$200,MATCH(X1823&amp;"|"&amp;U1823,Rastreio!$A$2:$A$200,0)),"")</f>
        <v/>
      </c>
    </row>
    <row r="1824">
      <c r="A1824">
        <f>IFERROR(INDEX(STAs!$G$2:$G$61,MATCH(P1824,STAs!$F$2:$F$61,0))&amp;"","")</f>
        <v/>
      </c>
      <c r="B1824" t="n">
        <v>20025836</v>
      </c>
      <c r="C1824" t="inlineStr">
        <is>
          <t>Não</t>
        </is>
      </c>
      <c r="D1824" t="inlineStr">
        <is>
          <t>AC</t>
        </is>
      </c>
      <c r="E1824" t="inlineStr">
        <is>
          <t>NORTE</t>
        </is>
      </c>
      <c r="F1824" t="inlineStr">
        <is>
          <t>Cliente B - Chopeira</t>
        </is>
      </c>
      <c r="G1824" t="inlineStr">
        <is>
          <t>Misturadores</t>
        </is>
      </c>
      <c r="H1824" s="10" t="n">
        <v>50</v>
      </c>
      <c r="I1824" s="10">
        <f>IFERROR(T1824*H1824,0)</f>
        <v/>
      </c>
      <c r="J1824" s="11" t="n">
        <v>46233</v>
      </c>
      <c r="K1824" s="11" t="n"/>
      <c r="L1824" t="inlineStr">
        <is>
          <t>Não Devolve-Norte</t>
        </is>
      </c>
      <c r="M1824">
        <f>IF(L1824="","",IFERROR(VLOOKUP(L1824,mapGrupoStatus,2,0),"Outros"))</f>
        <v/>
      </c>
      <c r="N1824">
        <f>IF(O1824="","",IF(O1824&lt;=30,"0-30 dias",IF(O1824&lt;=60,"31-60 dias",IF(O1824&lt;=90,"61-90 dias","Mais de 90 dias"))))</f>
        <v/>
      </c>
      <c r="O1824">
        <f>IF(OR(M1824="Pendente",M1824="Em andamento"),IF(J1824="","",TODAY()-J1824),"")</f>
        <v/>
      </c>
      <c r="P1824" t="n">
        <v>10372</v>
      </c>
      <c r="Q1824" t="inlineStr">
        <is>
          <t>Zero Grau ME (10372)</t>
        </is>
      </c>
      <c r="R1824" t="inlineStr">
        <is>
          <t>PC-0045</t>
        </is>
      </c>
      <c r="S1824" t="inlineStr">
        <is>
          <t>Sensor de nível modelo 01</t>
        </is>
      </c>
      <c r="T1824" t="n">
        <v>1</v>
      </c>
      <c r="U1824" t="inlineStr"/>
      <c r="V1824">
        <f>IF(J1824="","",MONTH(J1824))</f>
        <v/>
      </c>
      <c r="W1824">
        <f>IF(J1824="","",YEAR(J1824))</f>
        <v/>
      </c>
      <c r="X1824" t="inlineStr"/>
      <c r="Y1824">
        <f>IFERROR(INDEX(Rastreio!$H$2:$H$200,MATCH(X1824&amp;"|"&amp;U1824,Rastreio!$A$2:$A$200,0)),"")</f>
        <v/>
      </c>
    </row>
    <row r="1825">
      <c r="A1825">
        <f>IFERROR(INDEX(STAs!$G$2:$G$61,MATCH(P1825,STAs!$F$2:$F$61,0))&amp;"","")</f>
        <v/>
      </c>
      <c r="B1825" t="n">
        <v>20038242</v>
      </c>
      <c r="C1825" t="inlineStr">
        <is>
          <t>Não</t>
        </is>
      </c>
      <c r="D1825" t="inlineStr">
        <is>
          <t>PE</t>
        </is>
      </c>
      <c r="E1825" t="inlineStr">
        <is>
          <t>NORDESTE</t>
        </is>
      </c>
      <c r="F1825" t="inlineStr">
        <is>
          <t>Cliente B - Chopeira</t>
        </is>
      </c>
      <c r="G1825" t="inlineStr">
        <is>
          <t>Refrigeradores</t>
        </is>
      </c>
      <c r="H1825" s="10" t="n">
        <v>45</v>
      </c>
      <c r="I1825" s="10">
        <f>IFERROR(T1825*H1825,0)</f>
        <v/>
      </c>
      <c r="J1825" s="11" t="n">
        <v>46233</v>
      </c>
      <c r="K1825" s="11" t="n"/>
      <c r="L1825" t="inlineStr">
        <is>
          <t>Aguardando devolução</t>
        </is>
      </c>
      <c r="M1825">
        <f>IF(L1825="","",IFERROR(VLOOKUP(L1825,mapGrupoStatus,2,0),"Outros"))</f>
        <v/>
      </c>
      <c r="N1825">
        <f>IF(O1825="","",IF(O1825&lt;=30,"0-30 dias",IF(O1825&lt;=60,"31-60 dias",IF(O1825&lt;=90,"61-90 dias","Mais de 90 dias"))))</f>
        <v/>
      </c>
      <c r="O1825">
        <f>IF(OR(M1825="Pendente",M1825="Em andamento"),IF(J1825="","",TODAY()-J1825),"")</f>
        <v/>
      </c>
      <c r="P1825" t="n">
        <v>11352</v>
      </c>
      <c r="Q1825" t="inlineStr">
        <is>
          <t>Frio Express (11352)</t>
        </is>
      </c>
      <c r="R1825" t="inlineStr">
        <is>
          <t>PC-0018</t>
        </is>
      </c>
      <c r="S1825" t="inlineStr">
        <is>
          <t>Gaxeta da porta modelo 01</t>
        </is>
      </c>
      <c r="T1825" t="n">
        <v>1</v>
      </c>
      <c r="U1825" t="inlineStr"/>
      <c r="V1825">
        <f>IF(J1825="","",MONTH(J1825))</f>
        <v/>
      </c>
      <c r="W1825">
        <f>IF(J1825="","",YEAR(J1825))</f>
        <v/>
      </c>
      <c r="X1825" t="inlineStr"/>
      <c r="Y1825">
        <f>IFERROR(INDEX(Rastreio!$H$2:$H$200,MATCH(X1825&amp;"|"&amp;U1825,Rastreio!$A$2:$A$200,0)),"")</f>
        <v/>
      </c>
    </row>
    <row r="1826">
      <c r="A1826">
        <f>IFERROR(INDEX(STAs!$G$2:$G$61,MATCH(P1826,STAs!$F$2:$F$61,0))&amp;"","")</f>
        <v/>
      </c>
      <c r="B1826" t="n">
        <v>20039243</v>
      </c>
      <c r="C1826" t="inlineStr">
        <is>
          <t>Não</t>
        </is>
      </c>
      <c r="D1826" t="inlineStr">
        <is>
          <t>RJ</t>
        </is>
      </c>
      <c r="E1826" t="inlineStr">
        <is>
          <t>SUDESTE RJ e ES</t>
        </is>
      </c>
      <c r="F1826" t="inlineStr">
        <is>
          <t>Cliente B - Chopeira</t>
        </is>
      </c>
      <c r="G1826" t="inlineStr">
        <is>
          <t>Misturadores</t>
        </is>
      </c>
      <c r="H1826" s="10" t="n">
        <v>60</v>
      </c>
      <c r="I1826" s="10">
        <f>IFERROR(T1826*H1826,0)</f>
        <v/>
      </c>
      <c r="J1826" s="11" t="n">
        <v>46233</v>
      </c>
      <c r="K1826" s="11" t="n"/>
      <c r="L1826" t="inlineStr">
        <is>
          <t>Aguardando devolução</t>
        </is>
      </c>
      <c r="M1826">
        <f>IF(L1826="","",IFERROR(VLOOKUP(L1826,mapGrupoStatus,2,0),"Outros"))</f>
        <v/>
      </c>
      <c r="N1826">
        <f>IF(O1826="","",IF(O1826&lt;=30,"0-30 dias",IF(O1826&lt;=60,"31-60 dias",IF(O1826&lt;=90,"61-90 dias","Mais de 90 dias"))))</f>
        <v/>
      </c>
      <c r="O1826">
        <f>IF(OR(M1826="Pendente",M1826="Em andamento"),IF(J1826="","",TODAY()-J1826),"")</f>
        <v/>
      </c>
      <c r="P1826" t="n">
        <v>12336</v>
      </c>
      <c r="Q1826" t="inlineStr">
        <is>
          <t>Termotec ME (12336)</t>
        </is>
      </c>
      <c r="R1826" t="inlineStr">
        <is>
          <t>PC-0048</t>
        </is>
      </c>
      <c r="S1826" t="inlineStr">
        <is>
          <t>Sensor de nível modelo 04</t>
        </is>
      </c>
      <c r="T1826" t="n">
        <v>1</v>
      </c>
      <c r="U1826" t="inlineStr"/>
      <c r="V1826">
        <f>IF(J1826="","",MONTH(J1826))</f>
        <v/>
      </c>
      <c r="W1826">
        <f>IF(J1826="","",YEAR(J1826))</f>
        <v/>
      </c>
      <c r="X1826" t="inlineStr"/>
      <c r="Y1826">
        <f>IFERROR(INDEX(Rastreio!$H$2:$H$200,MATCH(X1826&amp;"|"&amp;U1826,Rastreio!$A$2:$A$200,0)),"")</f>
        <v/>
      </c>
    </row>
    <row r="1827">
      <c r="A1827">
        <f>IFERROR(INDEX(STAs!$G$2:$G$61,MATCH(P1827,STAs!$F$2:$F$61,0))&amp;"","")</f>
        <v/>
      </c>
      <c r="B1827" t="n">
        <v>20004029</v>
      </c>
      <c r="C1827" t="inlineStr">
        <is>
          <t>Não</t>
        </is>
      </c>
      <c r="D1827" t="inlineStr">
        <is>
          <t>PI</t>
        </is>
      </c>
      <c r="E1827" t="inlineStr">
        <is>
          <t>NORDESTE</t>
        </is>
      </c>
      <c r="F1827" t="inlineStr">
        <is>
          <t>Cliente A - Refrigerador</t>
        </is>
      </c>
      <c r="G1827" t="inlineStr">
        <is>
          <t>Chopeiras</t>
        </is>
      </c>
      <c r="H1827" s="10" t="n">
        <v>205</v>
      </c>
      <c r="I1827" s="10">
        <f>IFERROR(T1827*H1827,0)</f>
        <v/>
      </c>
      <c r="J1827" s="11" t="n">
        <v>46234</v>
      </c>
      <c r="K1827" s="11" t="n">
        <v>46257</v>
      </c>
      <c r="L1827" t="inlineStr">
        <is>
          <t>Ok. Devolvida</t>
        </is>
      </c>
      <c r="M1827">
        <f>IF(L1827="","",IFERROR(VLOOKUP(L1827,mapGrupoStatus,2,0),"Outros"))</f>
        <v/>
      </c>
      <c r="N1827">
        <f>IF(O1827="","",IF(O1827&lt;=30,"0-30 dias",IF(O1827&lt;=60,"31-60 dias",IF(O1827&lt;=90,"61-90 dias","Mais de 90 dias"))))</f>
        <v/>
      </c>
      <c r="O1827">
        <f>IF(OR(M1827="Pendente",M1827="Em andamento"),IF(J1827="","",TODAY()-J1827),"")</f>
        <v/>
      </c>
      <c r="P1827" t="n">
        <v>12936</v>
      </c>
      <c r="Q1827" t="inlineStr">
        <is>
          <t>Frigo Técnica (12936)</t>
        </is>
      </c>
      <c r="R1827" t="inlineStr">
        <is>
          <t>PC-0031</t>
        </is>
      </c>
      <c r="S1827" t="inlineStr">
        <is>
          <t>Serpentina modelo 03</t>
        </is>
      </c>
      <c r="T1827" t="n">
        <v>2</v>
      </c>
      <c r="U1827" t="n">
        <v>110</v>
      </c>
      <c r="V1827">
        <f>IF(J1827="","",MONTH(J1827))</f>
        <v/>
      </c>
      <c r="W1827">
        <f>IF(J1827="","",YEAR(J1827))</f>
        <v/>
      </c>
      <c r="X1827" t="inlineStr">
        <is>
          <t>ViaCargo</t>
        </is>
      </c>
      <c r="Y1827">
        <f>IFERROR(INDEX(Rastreio!$H$2:$H$200,MATCH(X1827&amp;"|"&amp;U1827,Rastreio!$A$2:$A$200,0)),"")</f>
        <v/>
      </c>
    </row>
    <row r="1828">
      <c r="A1828">
        <f>IFERROR(INDEX(STAs!$G$2:$G$61,MATCH(P1828,STAs!$F$2:$F$61,0))&amp;"","")</f>
        <v/>
      </c>
      <c r="B1828" t="n">
        <v>20014903</v>
      </c>
      <c r="C1828" t="inlineStr">
        <is>
          <t>Não</t>
        </is>
      </c>
      <c r="D1828" t="inlineStr">
        <is>
          <t>RS</t>
        </is>
      </c>
      <c r="E1828" t="inlineStr">
        <is>
          <t>SUL</t>
        </is>
      </c>
      <c r="F1828" t="inlineStr">
        <is>
          <t>Cliente B - Chopeira</t>
        </is>
      </c>
      <c r="G1828" t="inlineStr">
        <is>
          <t>Chopeiras</t>
        </is>
      </c>
      <c r="H1828" s="10" t="n">
        <v>85</v>
      </c>
      <c r="I1828" s="10">
        <f>IFERROR(T1828*H1828,0)</f>
        <v/>
      </c>
      <c r="J1828" s="11" t="n">
        <v>46234</v>
      </c>
      <c r="K1828" s="11" t="n"/>
      <c r="L1828" t="inlineStr">
        <is>
          <t>Aguardando devolução</t>
        </is>
      </c>
      <c r="M1828">
        <f>IF(L1828="","",IFERROR(VLOOKUP(L1828,mapGrupoStatus,2,0),"Outros"))</f>
        <v/>
      </c>
      <c r="N1828">
        <f>IF(O1828="","",IF(O1828&lt;=30,"0-30 dias",IF(O1828&lt;=60,"31-60 dias",IF(O1828&lt;=90,"61-90 dias","Mais de 90 dias"))))</f>
        <v/>
      </c>
      <c r="O1828">
        <f>IF(OR(M1828="Pendente",M1828="Em andamento"),IF(J1828="","",TODAY()-J1828),"")</f>
        <v/>
      </c>
      <c r="P1828" t="n">
        <v>12617</v>
      </c>
      <c r="Q1828" t="inlineStr">
        <is>
          <t>Gelo Manutenção (12617)</t>
        </is>
      </c>
      <c r="R1828" t="inlineStr">
        <is>
          <t>PC-0028</t>
        </is>
      </c>
      <c r="S1828" t="inlineStr">
        <is>
          <t>Torneira de chopp modelo 03</t>
        </is>
      </c>
      <c r="T1828" t="n">
        <v>1</v>
      </c>
      <c r="U1828" t="inlineStr"/>
      <c r="V1828">
        <f>IF(J1828="","",MONTH(J1828))</f>
        <v/>
      </c>
      <c r="W1828">
        <f>IF(J1828="","",YEAR(J1828))</f>
        <v/>
      </c>
      <c r="X1828" t="inlineStr"/>
      <c r="Y1828">
        <f>IFERROR(INDEX(Rastreio!$H$2:$H$200,MATCH(X1828&amp;"|"&amp;U1828,Rastreio!$A$2:$A$200,0)),"")</f>
        <v/>
      </c>
    </row>
    <row r="1829">
      <c r="A1829">
        <f>IFERROR(INDEX(STAs!$G$2:$G$61,MATCH(P1829,STAs!$F$2:$F$61,0))&amp;"","")</f>
        <v/>
      </c>
      <c r="B1829" t="n">
        <v>20026294</v>
      </c>
      <c r="C1829" t="inlineStr">
        <is>
          <t>Não</t>
        </is>
      </c>
      <c r="D1829" t="inlineStr">
        <is>
          <t>MS</t>
        </is>
      </c>
      <c r="E1829" t="inlineStr">
        <is>
          <t>CENTRO OESTE</t>
        </is>
      </c>
      <c r="F1829" t="inlineStr">
        <is>
          <t>Cliente B - Chopeira</t>
        </is>
      </c>
      <c r="G1829" t="inlineStr">
        <is>
          <t>Refrigeradores</t>
        </is>
      </c>
      <c r="H1829" s="10" t="n">
        <v>35</v>
      </c>
      <c r="I1829" s="10">
        <f>IFERROR(T1829*H1829,0)</f>
        <v/>
      </c>
      <c r="J1829" s="11" t="n">
        <v>46234</v>
      </c>
      <c r="K1829" s="11" t="n">
        <v>46286</v>
      </c>
      <c r="L1829" t="inlineStr">
        <is>
          <t>Ok. Devolvida</t>
        </is>
      </c>
      <c r="M1829">
        <f>IF(L1829="","",IFERROR(VLOOKUP(L1829,mapGrupoStatus,2,0),"Outros"))</f>
        <v/>
      </c>
      <c r="N1829">
        <f>IF(O1829="","",IF(O1829&lt;=30,"0-30 dias",IF(O1829&lt;=60,"31-60 dias",IF(O1829&lt;=90,"61-90 dias","Mais de 90 dias"))))</f>
        <v/>
      </c>
      <c r="O1829">
        <f>IF(OR(M1829="Pendente",M1829="Em andamento"),IF(J1829="","",TODAY()-J1829),"")</f>
        <v/>
      </c>
      <c r="P1829" t="n">
        <v>10302</v>
      </c>
      <c r="Q1829" t="inlineStr">
        <is>
          <t>Ice Tech Express (10302)</t>
        </is>
      </c>
      <c r="R1829" t="inlineStr">
        <is>
          <t>PC-0023</t>
        </is>
      </c>
      <c r="S1829" t="inlineStr">
        <is>
          <t>Relé de partida modelo 01</t>
        </is>
      </c>
      <c r="T1829" t="n">
        <v>2</v>
      </c>
      <c r="U1829" t="n">
        <v>146</v>
      </c>
      <c r="V1829">
        <f>IF(J1829="","",MONTH(J1829))</f>
        <v/>
      </c>
      <c r="W1829">
        <f>IF(J1829="","",YEAR(J1829))</f>
        <v/>
      </c>
      <c r="X1829" t="inlineStr">
        <is>
          <t>RotaSul</t>
        </is>
      </c>
      <c r="Y1829">
        <f>IFERROR(INDEX(Rastreio!$H$2:$H$200,MATCH(X1829&amp;"|"&amp;U1829,Rastreio!$A$2:$A$200,0)),"")</f>
        <v/>
      </c>
    </row>
    <row r="1830">
      <c r="A1830">
        <f>IFERROR(INDEX(STAs!$G$2:$G$61,MATCH(P1830,STAs!$F$2:$F$61,0))&amp;"","")</f>
        <v/>
      </c>
      <c r="B1830" t="n">
        <v>20028907</v>
      </c>
      <c r="C1830" t="inlineStr">
        <is>
          <t>Não</t>
        </is>
      </c>
      <c r="D1830" t="inlineStr">
        <is>
          <t>BA</t>
        </is>
      </c>
      <c r="E1830" t="inlineStr">
        <is>
          <t>NORDESTE</t>
        </is>
      </c>
      <c r="F1830" t="inlineStr">
        <is>
          <t>Cliente B - Chopeira</t>
        </is>
      </c>
      <c r="G1830" t="inlineStr">
        <is>
          <t>Refrigeradores</t>
        </is>
      </c>
      <c r="H1830" s="10" t="n">
        <v>155</v>
      </c>
      <c r="I1830" s="10">
        <f>IFERROR(T1830*H1830,0)</f>
        <v/>
      </c>
      <c r="J1830" s="11" t="n">
        <v>46234</v>
      </c>
      <c r="K1830" s="11" t="n">
        <v>46257</v>
      </c>
      <c r="L1830" t="inlineStr">
        <is>
          <t>Ok. Devolvida</t>
        </is>
      </c>
      <c r="M1830">
        <f>IF(L1830="","",IFERROR(VLOOKUP(L1830,mapGrupoStatus,2,0),"Outros"))</f>
        <v/>
      </c>
      <c r="N1830">
        <f>IF(O1830="","",IF(O1830&lt;=30,"0-30 dias",IF(O1830&lt;=60,"31-60 dias",IF(O1830&lt;=90,"61-90 dias","Mais de 90 dias"))))</f>
        <v/>
      </c>
      <c r="O1830">
        <f>IF(OR(M1830="Pendente",M1830="Em andamento"),IF(J1830="","",TODAY()-J1830),"")</f>
        <v/>
      </c>
      <c r="P1830" t="n">
        <v>11244</v>
      </c>
      <c r="Q1830" t="inlineStr">
        <is>
          <t>Refrigeração Manutenção (11244)</t>
        </is>
      </c>
      <c r="R1830" t="inlineStr">
        <is>
          <t>PC-0022</t>
        </is>
      </c>
      <c r="S1830" t="inlineStr">
        <is>
          <t>Controlador digital modelo 02</t>
        </is>
      </c>
      <c r="T1830" t="n">
        <v>1</v>
      </c>
      <c r="U1830" t="n">
        <v>150</v>
      </c>
      <c r="V1830">
        <f>IF(J1830="","",MONTH(J1830))</f>
        <v/>
      </c>
      <c r="W1830">
        <f>IF(J1830="","",YEAR(J1830))</f>
        <v/>
      </c>
      <c r="X1830" t="inlineStr">
        <is>
          <t>CargoMax</t>
        </is>
      </c>
      <c r="Y1830">
        <f>IFERROR(INDEX(Rastreio!$H$2:$H$200,MATCH(X1830&amp;"|"&amp;U1830,Rastreio!$A$2:$A$200,0)),"")</f>
        <v/>
      </c>
    </row>
    <row r="1831">
      <c r="A1831">
        <f>IFERROR(INDEX(STAs!$G$2:$G$61,MATCH(P1831,STAs!$F$2:$F$61,0))&amp;"","")</f>
        <v/>
      </c>
      <c r="B1831" t="n">
        <v>20037196</v>
      </c>
      <c r="C1831" t="inlineStr">
        <is>
          <t>Não</t>
        </is>
      </c>
      <c r="D1831" t="inlineStr">
        <is>
          <t>DF</t>
        </is>
      </c>
      <c r="E1831" t="inlineStr">
        <is>
          <t>CENTRO OESTE</t>
        </is>
      </c>
      <c r="F1831" t="inlineStr">
        <is>
          <t>Cliente A - Refrigerador</t>
        </is>
      </c>
      <c r="G1831" t="inlineStr">
        <is>
          <t>Chopeiras</t>
        </is>
      </c>
      <c r="H1831" s="10" t="n">
        <v>210</v>
      </c>
      <c r="I1831" s="10">
        <f>IFERROR(T1831*H1831,0)</f>
        <v/>
      </c>
      <c r="J1831" s="11" t="n">
        <v>46234</v>
      </c>
      <c r="K1831" s="11" t="n"/>
      <c r="L1831" t="inlineStr">
        <is>
          <t>Em andamento</t>
        </is>
      </c>
      <c r="M1831">
        <f>IF(L1831="","",IFERROR(VLOOKUP(L1831,mapGrupoStatus,2,0),"Outros"))</f>
        <v/>
      </c>
      <c r="N1831">
        <f>IF(O1831="","",IF(O1831&lt;=30,"0-30 dias",IF(O1831&lt;=60,"31-60 dias",IF(O1831&lt;=90,"61-90 dias","Mais de 90 dias"))))</f>
        <v/>
      </c>
      <c r="O1831">
        <f>IF(OR(M1831="Pendente",M1831="Em andamento"),IF(J1831="","",TODAY()-J1831),"")</f>
        <v/>
      </c>
      <c r="P1831" t="n">
        <v>10021</v>
      </c>
      <c r="Q1831" t="inlineStr">
        <is>
          <t>Termotec Técnica (10021)</t>
        </is>
      </c>
      <c r="R1831" t="inlineStr">
        <is>
          <t>PC-0029</t>
        </is>
      </c>
      <c r="S1831" t="inlineStr">
        <is>
          <t>Serpentina modelo 01</t>
        </is>
      </c>
      <c r="T1831" t="n">
        <v>1</v>
      </c>
      <c r="U1831" t="n">
        <v>171</v>
      </c>
      <c r="V1831">
        <f>IF(J1831="","",MONTH(J1831))</f>
        <v/>
      </c>
      <c r="W1831">
        <f>IF(J1831="","",YEAR(J1831))</f>
        <v/>
      </c>
      <c r="X1831" t="inlineStr">
        <is>
          <t>RotaSul</t>
        </is>
      </c>
      <c r="Y1831">
        <f>IFERROR(INDEX(Rastreio!$H$2:$H$200,MATCH(X1831&amp;"|"&amp;U1831,Rastreio!$A$2:$A$200,0)),"")</f>
        <v/>
      </c>
    </row>
    <row r="1832">
      <c r="A1832">
        <f>IFERROR(INDEX(STAs!$G$2:$G$61,MATCH(P1832,STAs!$F$2:$F$61,0))&amp;"","")</f>
        <v/>
      </c>
      <c r="B1832" t="n">
        <v>20004189</v>
      </c>
      <c r="C1832" t="inlineStr">
        <is>
          <t>Não</t>
        </is>
      </c>
      <c r="D1832" t="inlineStr">
        <is>
          <t>PB</t>
        </is>
      </c>
      <c r="E1832" t="inlineStr">
        <is>
          <t>NORDESTE</t>
        </is>
      </c>
      <c r="F1832" t="inlineStr">
        <is>
          <t>Cliente B - Chopeira</t>
        </is>
      </c>
      <c r="G1832" t="inlineStr">
        <is>
          <t>Refrigeradores</t>
        </is>
      </c>
      <c r="H1832" s="10" t="n">
        <v>325</v>
      </c>
      <c r="I1832" s="10">
        <f>IFERROR(T1832*H1832,0)</f>
        <v/>
      </c>
      <c r="J1832" s="11" t="n">
        <v>46235</v>
      </c>
      <c r="K1832" s="11" t="n">
        <v>46255</v>
      </c>
      <c r="L1832" t="inlineStr">
        <is>
          <t>Ok. Devolvida</t>
        </is>
      </c>
      <c r="M1832">
        <f>IF(L1832="","",IFERROR(VLOOKUP(L1832,mapGrupoStatus,2,0),"Outros"))</f>
        <v/>
      </c>
      <c r="N1832">
        <f>IF(O1832="","",IF(O1832&lt;=30,"0-30 dias",IF(O1832&lt;=60,"31-60 dias",IF(O1832&lt;=90,"61-90 dias","Mais de 90 dias"))))</f>
        <v/>
      </c>
      <c r="O1832">
        <f>IF(OR(M1832="Pendente",M1832="Em andamento"),IF(J1832="","",TODAY()-J1832),"")</f>
        <v/>
      </c>
      <c r="P1832" t="n">
        <v>11741</v>
      </c>
      <c r="Q1832" t="inlineStr">
        <is>
          <t>Clima Refrigeração (11741)</t>
        </is>
      </c>
      <c r="R1832" t="inlineStr">
        <is>
          <t>PC-0001</t>
        </is>
      </c>
      <c r="S1832" t="inlineStr">
        <is>
          <t>Compressor modelo 01</t>
        </is>
      </c>
      <c r="T1832" t="n">
        <v>1</v>
      </c>
      <c r="U1832" t="n">
        <v>106</v>
      </c>
      <c r="V1832">
        <f>IF(J1832="","",MONTH(J1832))</f>
        <v/>
      </c>
      <c r="W1832">
        <f>IF(J1832="","",YEAR(J1832))</f>
        <v/>
      </c>
      <c r="X1832" t="inlineStr">
        <is>
          <t>LogExpress</t>
        </is>
      </c>
      <c r="Y1832">
        <f>IFERROR(INDEX(Rastreio!$H$2:$H$200,MATCH(X1832&amp;"|"&amp;U1832,Rastreio!$A$2:$A$200,0)),"")</f>
        <v/>
      </c>
    </row>
    <row r="1833">
      <c r="A1833">
        <f>IFERROR(INDEX(STAs!$G$2:$G$61,MATCH(P1833,STAs!$F$2:$F$61,0))&amp;"","")</f>
        <v/>
      </c>
      <c r="B1833" t="n">
        <v>20022099</v>
      </c>
      <c r="C1833" t="inlineStr">
        <is>
          <t>Não</t>
        </is>
      </c>
      <c r="D1833" t="inlineStr">
        <is>
          <t>SP</t>
        </is>
      </c>
      <c r="E1833" t="inlineStr">
        <is>
          <t>SUDESTE SP</t>
        </is>
      </c>
      <c r="F1833" t="inlineStr">
        <is>
          <t>Cliente A - Refrigerador</t>
        </is>
      </c>
      <c r="G1833" t="inlineStr">
        <is>
          <t>Refrigeradores</t>
        </is>
      </c>
      <c r="H1833" s="10" t="n">
        <v>325</v>
      </c>
      <c r="I1833" s="10">
        <f>IFERROR(T1833*H1833,0)</f>
        <v/>
      </c>
      <c r="J1833" s="11" t="n">
        <v>46235</v>
      </c>
      <c r="K1833" s="11" t="n">
        <v>46264</v>
      </c>
      <c r="L1833" t="inlineStr">
        <is>
          <t>Ok. Devolvida</t>
        </is>
      </c>
      <c r="M1833">
        <f>IF(L1833="","",IFERROR(VLOOKUP(L1833,mapGrupoStatus,2,0),"Outros"))</f>
        <v/>
      </c>
      <c r="N1833">
        <f>IF(O1833="","",IF(O1833&lt;=30,"0-30 dias",IF(O1833&lt;=60,"31-60 dias",IF(O1833&lt;=90,"61-90 dias","Mais de 90 dias"))))</f>
        <v/>
      </c>
      <c r="O1833">
        <f>IF(OR(M1833="Pendente",M1833="Em andamento"),IF(J1833="","",TODAY()-J1833),"")</f>
        <v/>
      </c>
      <c r="P1833" t="n">
        <v>10538</v>
      </c>
      <c r="Q1833" t="inlineStr">
        <is>
          <t>Frio Refrigeração (10538)</t>
        </is>
      </c>
      <c r="R1833" t="inlineStr">
        <is>
          <t>PC-0001</t>
        </is>
      </c>
      <c r="S1833" t="inlineStr">
        <is>
          <t>Compressor modelo 01</t>
        </is>
      </c>
      <c r="T1833" t="n">
        <v>1</v>
      </c>
      <c r="U1833" t="n">
        <v>134</v>
      </c>
      <c r="V1833">
        <f>IF(J1833="","",MONTH(J1833))</f>
        <v/>
      </c>
      <c r="W1833">
        <f>IF(J1833="","",YEAR(J1833))</f>
        <v/>
      </c>
      <c r="X1833" t="inlineStr">
        <is>
          <t>TransNorte</t>
        </is>
      </c>
      <c r="Y1833">
        <f>IFERROR(INDEX(Rastreio!$H$2:$H$200,MATCH(X1833&amp;"|"&amp;U1833,Rastreio!$A$2:$A$200,0)),"")</f>
        <v/>
      </c>
    </row>
    <row r="1834">
      <c r="A1834">
        <f>IFERROR(INDEX(STAs!$G$2:$G$61,MATCH(P1834,STAs!$F$2:$F$61,0))&amp;"","")</f>
        <v/>
      </c>
      <c r="B1834" t="n">
        <v>20024647</v>
      </c>
      <c r="C1834" t="inlineStr">
        <is>
          <t>Não</t>
        </is>
      </c>
      <c r="D1834" t="inlineStr">
        <is>
          <t>BA</t>
        </is>
      </c>
      <c r="E1834" t="inlineStr">
        <is>
          <t>NORDESTE</t>
        </is>
      </c>
      <c r="F1834" t="inlineStr">
        <is>
          <t>Cliente A - Refrigerador</t>
        </is>
      </c>
      <c r="G1834" t="inlineStr">
        <is>
          <t>Misturadores</t>
        </is>
      </c>
      <c r="H1834" s="10" t="n">
        <v>50</v>
      </c>
      <c r="I1834" s="10">
        <f>IFERROR(T1834*H1834,0)</f>
        <v/>
      </c>
      <c r="J1834" s="11" t="n">
        <v>46235</v>
      </c>
      <c r="K1834" s="11" t="n">
        <v>46280</v>
      </c>
      <c r="L1834" t="inlineStr">
        <is>
          <t>Ok. Devolvida</t>
        </is>
      </c>
      <c r="M1834">
        <f>IF(L1834="","",IFERROR(VLOOKUP(L1834,mapGrupoStatus,2,0),"Outros"))</f>
        <v/>
      </c>
      <c r="N1834">
        <f>IF(O1834="","",IF(O1834&lt;=30,"0-30 dias",IF(O1834&lt;=60,"31-60 dias",IF(O1834&lt;=90,"61-90 dias","Mais de 90 dias"))))</f>
        <v/>
      </c>
      <c r="O1834">
        <f>IF(OR(M1834="Pendente",M1834="Em andamento"),IF(J1834="","",TODAY()-J1834),"")</f>
        <v/>
      </c>
      <c r="P1834" t="n">
        <v>12194</v>
      </c>
      <c r="Q1834" t="inlineStr">
        <is>
          <t>Polar &amp; Cia (12194)</t>
        </is>
      </c>
      <c r="R1834" t="inlineStr">
        <is>
          <t>PC-0045</t>
        </is>
      </c>
      <c r="S1834" t="inlineStr">
        <is>
          <t>Sensor de nível modelo 01</t>
        </is>
      </c>
      <c r="T1834" t="n">
        <v>2</v>
      </c>
      <c r="U1834" t="n">
        <v>136</v>
      </c>
      <c r="V1834">
        <f>IF(J1834="","",MONTH(J1834))</f>
        <v/>
      </c>
      <c r="W1834">
        <f>IF(J1834="","",YEAR(J1834))</f>
        <v/>
      </c>
      <c r="X1834" t="inlineStr">
        <is>
          <t>EntregaJá</t>
        </is>
      </c>
      <c r="Y1834">
        <f>IFERROR(INDEX(Rastreio!$H$2:$H$200,MATCH(X1834&amp;"|"&amp;U1834,Rastreio!$A$2:$A$200,0)),"")</f>
        <v/>
      </c>
    </row>
    <row r="1835">
      <c r="A1835">
        <f>IFERROR(INDEX(STAs!$G$2:$G$61,MATCH(P1835,STAs!$F$2:$F$61,0))&amp;"","")</f>
        <v/>
      </c>
      <c r="B1835" t="n">
        <v>20024876</v>
      </c>
      <c r="C1835" t="inlineStr">
        <is>
          <t>Não</t>
        </is>
      </c>
      <c r="D1835" t="inlineStr">
        <is>
          <t>PA</t>
        </is>
      </c>
      <c r="E1835" t="inlineStr">
        <is>
          <t>NORTE</t>
        </is>
      </c>
      <c r="F1835" t="inlineStr">
        <is>
          <t>Cliente C - Misturador</t>
        </is>
      </c>
      <c r="G1835" t="inlineStr">
        <is>
          <t>Refrigeradores</t>
        </is>
      </c>
      <c r="H1835" s="10" t="n">
        <v>155</v>
      </c>
      <c r="I1835" s="10">
        <f>IFERROR(T1835*H1835,0)</f>
        <v/>
      </c>
      <c r="J1835" s="11" t="n">
        <v>46235</v>
      </c>
      <c r="K1835" s="11" t="n"/>
      <c r="L1835" t="inlineStr">
        <is>
          <t>Não Devolve-Norte</t>
        </is>
      </c>
      <c r="M1835">
        <f>IF(L1835="","",IFERROR(VLOOKUP(L1835,mapGrupoStatus,2,0),"Outros"))</f>
        <v/>
      </c>
      <c r="N1835">
        <f>IF(O1835="","",IF(O1835&lt;=30,"0-30 dias",IF(O1835&lt;=60,"31-60 dias",IF(O1835&lt;=90,"61-90 dias","Mais de 90 dias"))))</f>
        <v/>
      </c>
      <c r="O1835">
        <f>IF(OR(M1835="Pendente",M1835="Em andamento"),IF(J1835="","",TODAY()-J1835),"")</f>
        <v/>
      </c>
      <c r="P1835" t="n">
        <v>11986</v>
      </c>
      <c r="Q1835" t="inlineStr">
        <is>
          <t>Polar Serviços (11986)</t>
        </is>
      </c>
      <c r="R1835" t="inlineStr">
        <is>
          <t>PC-0022</t>
        </is>
      </c>
      <c r="S1835" t="inlineStr">
        <is>
          <t>Controlador digital modelo 02</t>
        </is>
      </c>
      <c r="T1835" t="n">
        <v>1</v>
      </c>
      <c r="U1835" t="inlineStr"/>
      <c r="V1835">
        <f>IF(J1835="","",MONTH(J1835))</f>
        <v/>
      </c>
      <c r="W1835">
        <f>IF(J1835="","",YEAR(J1835))</f>
        <v/>
      </c>
      <c r="X1835" t="inlineStr"/>
      <c r="Y1835">
        <f>IFERROR(INDEX(Rastreio!$H$2:$H$200,MATCH(X1835&amp;"|"&amp;U1835,Rastreio!$A$2:$A$200,0)),"")</f>
        <v/>
      </c>
    </row>
    <row r="1836">
      <c r="A1836">
        <f>IFERROR(INDEX(STAs!$G$2:$G$61,MATCH(P1836,STAs!$F$2:$F$61,0))&amp;"","")</f>
        <v/>
      </c>
      <c r="B1836" t="n">
        <v>20028254</v>
      </c>
      <c r="C1836" t="inlineStr">
        <is>
          <t>Não</t>
        </is>
      </c>
      <c r="D1836" t="inlineStr">
        <is>
          <t>RR</t>
        </is>
      </c>
      <c r="E1836" t="inlineStr">
        <is>
          <t>NORTE</t>
        </is>
      </c>
      <c r="F1836" t="inlineStr">
        <is>
          <t>Cliente B - Chopeira</t>
        </is>
      </c>
      <c r="G1836" t="inlineStr">
        <is>
          <t>Chopeiras</t>
        </is>
      </c>
      <c r="H1836" s="10" t="n">
        <v>205</v>
      </c>
      <c r="I1836" s="10">
        <f>IFERROR(T1836*H1836,0)</f>
        <v/>
      </c>
      <c r="J1836" s="11" t="n">
        <v>46235</v>
      </c>
      <c r="K1836" s="11" t="n"/>
      <c r="L1836" t="inlineStr">
        <is>
          <t>Não Devolve-Norte</t>
        </is>
      </c>
      <c r="M1836">
        <f>IF(L1836="","",IFERROR(VLOOKUP(L1836,mapGrupoStatus,2,0),"Outros"))</f>
        <v/>
      </c>
      <c r="N1836">
        <f>IF(O1836="","",IF(O1836&lt;=30,"0-30 dias",IF(O1836&lt;=60,"31-60 dias",IF(O1836&lt;=90,"61-90 dias","Mais de 90 dias"))))</f>
        <v/>
      </c>
      <c r="O1836">
        <f>IF(OR(M1836="Pendente",M1836="Em andamento"),IF(J1836="","",TODAY()-J1836),"")</f>
        <v/>
      </c>
      <c r="P1836" t="n">
        <v>11818</v>
      </c>
      <c r="Q1836" t="inlineStr">
        <is>
          <t>Termotec Ltda (11818)</t>
        </is>
      </c>
      <c r="R1836" t="inlineStr">
        <is>
          <t>PC-0031</t>
        </is>
      </c>
      <c r="S1836" t="inlineStr">
        <is>
          <t>Serpentina modelo 03</t>
        </is>
      </c>
      <c r="T1836" t="n">
        <v>1</v>
      </c>
      <c r="U1836" t="inlineStr"/>
      <c r="V1836">
        <f>IF(J1836="","",MONTH(J1836))</f>
        <v/>
      </c>
      <c r="W1836">
        <f>IF(J1836="","",YEAR(J1836))</f>
        <v/>
      </c>
      <c r="X1836" t="inlineStr"/>
      <c r="Y1836">
        <f>IFERROR(INDEX(Rastreio!$H$2:$H$200,MATCH(X1836&amp;"|"&amp;U1836,Rastreio!$A$2:$A$200,0)),"")</f>
        <v/>
      </c>
    </row>
    <row r="1837">
      <c r="A1837">
        <f>IFERROR(INDEX(STAs!$G$2:$G$61,MATCH(P1837,STAs!$F$2:$F$61,0))&amp;"","")</f>
        <v/>
      </c>
      <c r="B1837" t="n">
        <v>20028530</v>
      </c>
      <c r="C1837" t="inlineStr">
        <is>
          <t>Não</t>
        </is>
      </c>
      <c r="D1837" t="inlineStr">
        <is>
          <t>MS</t>
        </is>
      </c>
      <c r="E1837" t="inlineStr">
        <is>
          <t>CENTRO OESTE</t>
        </is>
      </c>
      <c r="F1837" t="inlineStr">
        <is>
          <t>Cliente C - Misturador</t>
        </is>
      </c>
      <c r="G1837" t="inlineStr">
        <is>
          <t>Chopeiras</t>
        </is>
      </c>
      <c r="H1837" s="10" t="n">
        <v>85</v>
      </c>
      <c r="I1837" s="10">
        <f>IFERROR(T1837*H1837,0)</f>
        <v/>
      </c>
      <c r="J1837" s="11" t="n">
        <v>46235</v>
      </c>
      <c r="K1837" s="11" t="n">
        <v>46257</v>
      </c>
      <c r="L1837" t="inlineStr">
        <is>
          <t>Ok. Devolvida</t>
        </is>
      </c>
      <c r="M1837">
        <f>IF(L1837="","",IFERROR(VLOOKUP(L1837,mapGrupoStatus,2,0),"Outros"))</f>
        <v/>
      </c>
      <c r="N1837">
        <f>IF(O1837="","",IF(O1837&lt;=30,"0-30 dias",IF(O1837&lt;=60,"31-60 dias",IF(O1837&lt;=90,"61-90 dias","Mais de 90 dias"))))</f>
        <v/>
      </c>
      <c r="O1837">
        <f>IF(OR(M1837="Pendente",M1837="Em andamento"),IF(J1837="","",TODAY()-J1837),"")</f>
        <v/>
      </c>
      <c r="P1837" t="n">
        <v>12280</v>
      </c>
      <c r="Q1837" t="inlineStr">
        <is>
          <t>Termotec &amp; Cia (12280)</t>
        </is>
      </c>
      <c r="R1837" t="inlineStr">
        <is>
          <t>PC-0036</t>
        </is>
      </c>
      <c r="S1837" t="inlineStr">
        <is>
          <t>Válvula extratora modelo 02</t>
        </is>
      </c>
      <c r="T1837" t="n">
        <v>1</v>
      </c>
      <c r="U1837" t="n">
        <v>143</v>
      </c>
      <c r="V1837">
        <f>IF(J1837="","",MONTH(J1837))</f>
        <v/>
      </c>
      <c r="W1837">
        <f>IF(J1837="","",YEAR(J1837))</f>
        <v/>
      </c>
      <c r="X1837" t="inlineStr">
        <is>
          <t>ViaCargo</t>
        </is>
      </c>
      <c r="Y1837">
        <f>IFERROR(INDEX(Rastreio!$H$2:$H$200,MATCH(X1837&amp;"|"&amp;U1837,Rastreio!$A$2:$A$200,0)),"")</f>
        <v/>
      </c>
    </row>
    <row r="1838">
      <c r="A1838">
        <f>IFERROR(INDEX(STAs!$G$2:$G$61,MATCH(P1838,STAs!$F$2:$F$61,0))&amp;"","")</f>
        <v/>
      </c>
      <c r="B1838" t="n">
        <v>20014920</v>
      </c>
      <c r="C1838" t="inlineStr">
        <is>
          <t>Não</t>
        </is>
      </c>
      <c r="D1838" t="inlineStr">
        <is>
          <t>RR</t>
        </is>
      </c>
      <c r="E1838" t="inlineStr">
        <is>
          <t>NORTE</t>
        </is>
      </c>
      <c r="F1838" t="inlineStr">
        <is>
          <t>Cliente C - Misturador</t>
        </is>
      </c>
      <c r="G1838" t="inlineStr">
        <is>
          <t>Refrigeradores</t>
        </is>
      </c>
      <c r="H1838" s="10" t="n">
        <v>55</v>
      </c>
      <c r="I1838" s="10">
        <f>IFERROR(T1838*H1838,0)</f>
        <v/>
      </c>
      <c r="J1838" s="11" t="n">
        <v>46236</v>
      </c>
      <c r="K1838" s="11" t="n"/>
      <c r="L1838" t="inlineStr">
        <is>
          <t>Não Devolve-Norte</t>
        </is>
      </c>
      <c r="M1838">
        <f>IF(L1838="","",IFERROR(VLOOKUP(L1838,mapGrupoStatus,2,0),"Outros"))</f>
        <v/>
      </c>
      <c r="N1838">
        <f>IF(O1838="","",IF(O1838&lt;=30,"0-30 dias",IF(O1838&lt;=60,"31-60 dias",IF(O1838&lt;=90,"61-90 dias","Mais de 90 dias"))))</f>
        <v/>
      </c>
      <c r="O1838">
        <f>IF(OR(M1838="Pendente",M1838="Em andamento"),IF(J1838="","",TODAY()-J1838),"")</f>
        <v/>
      </c>
      <c r="P1838" t="n">
        <v>12422</v>
      </c>
      <c r="Q1838" t="inlineStr">
        <is>
          <t>Assistência Técnica Refrigeração (12422)</t>
        </is>
      </c>
      <c r="R1838" t="inlineStr">
        <is>
          <t>PC-0007</t>
        </is>
      </c>
      <c r="S1838" t="inlineStr">
        <is>
          <t>Ventilador modelo 01</t>
        </is>
      </c>
      <c r="T1838" t="n">
        <v>1</v>
      </c>
      <c r="U1838" t="inlineStr"/>
      <c r="V1838">
        <f>IF(J1838="","",MONTH(J1838))</f>
        <v/>
      </c>
      <c r="W1838">
        <f>IF(J1838="","",YEAR(J1838))</f>
        <v/>
      </c>
      <c r="X1838" t="inlineStr"/>
      <c r="Y1838">
        <f>IFERROR(INDEX(Rastreio!$H$2:$H$200,MATCH(X1838&amp;"|"&amp;U1838,Rastreio!$A$2:$A$200,0)),"")</f>
        <v/>
      </c>
    </row>
    <row r="1839">
      <c r="A1839">
        <f>IFERROR(INDEX(STAs!$G$2:$G$61,MATCH(P1839,STAs!$F$2:$F$61,0))&amp;"","")</f>
        <v/>
      </c>
      <c r="B1839" t="n">
        <v>20022681</v>
      </c>
      <c r="C1839" t="inlineStr">
        <is>
          <t>Não</t>
        </is>
      </c>
      <c r="D1839" t="inlineStr">
        <is>
          <t>SP</t>
        </is>
      </c>
      <c r="E1839" t="inlineStr">
        <is>
          <t>SUDESTE SP</t>
        </is>
      </c>
      <c r="F1839" t="inlineStr">
        <is>
          <t>Cliente A - Refrigerador</t>
        </is>
      </c>
      <c r="G1839" t="inlineStr">
        <is>
          <t>Chopeiras</t>
        </is>
      </c>
      <c r="H1839" s="10" t="n">
        <v>115</v>
      </c>
      <c r="I1839" s="10">
        <f>IFERROR(T1839*H1839,0)</f>
        <v/>
      </c>
      <c r="J1839" s="11" t="n">
        <v>46236</v>
      </c>
      <c r="K1839" s="11" t="n">
        <v>46268</v>
      </c>
      <c r="L1839" t="inlineStr">
        <is>
          <t>Ok. Devolvida</t>
        </is>
      </c>
      <c r="M1839">
        <f>IF(L1839="","",IFERROR(VLOOKUP(L1839,mapGrupoStatus,2,0),"Outros"))</f>
        <v/>
      </c>
      <c r="N1839">
        <f>IF(O1839="","",IF(O1839&lt;=30,"0-30 dias",IF(O1839&lt;=60,"31-60 dias",IF(O1839&lt;=90,"61-90 dias","Mais de 90 dias"))))</f>
        <v/>
      </c>
      <c r="O1839">
        <f>IF(OR(M1839="Pendente",M1839="Em andamento"),IF(J1839="","",TODAY()-J1839),"")</f>
        <v/>
      </c>
      <c r="P1839" t="n">
        <v>11365</v>
      </c>
      <c r="Q1839" t="inlineStr">
        <is>
          <t>Ártico Express (11365)</t>
        </is>
      </c>
      <c r="R1839" t="inlineStr">
        <is>
          <t>PC-0034</t>
        </is>
      </c>
      <c r="S1839" t="inlineStr">
        <is>
          <t>Regulador de pressão modelo 03</t>
        </is>
      </c>
      <c r="T1839" t="n">
        <v>1</v>
      </c>
      <c r="U1839" t="n">
        <v>137</v>
      </c>
      <c r="V1839">
        <f>IF(J1839="","",MONTH(J1839))</f>
        <v/>
      </c>
      <c r="W1839">
        <f>IF(J1839="","",YEAR(J1839))</f>
        <v/>
      </c>
      <c r="X1839" t="inlineStr">
        <is>
          <t>TransNorte</t>
        </is>
      </c>
      <c r="Y1839">
        <f>IFERROR(INDEX(Rastreio!$H$2:$H$200,MATCH(X1839&amp;"|"&amp;U1839,Rastreio!$A$2:$A$200,0)),"")</f>
        <v/>
      </c>
    </row>
    <row r="1840">
      <c r="A1840">
        <f>IFERROR(INDEX(STAs!$G$2:$G$61,MATCH(P1840,STAs!$F$2:$F$61,0))&amp;"","")</f>
        <v/>
      </c>
      <c r="B1840" t="n">
        <v>20026814</v>
      </c>
      <c r="C1840" t="inlineStr">
        <is>
          <t>Não</t>
        </is>
      </c>
      <c r="D1840" t="inlineStr">
        <is>
          <t>AM</t>
        </is>
      </c>
      <c r="E1840" t="inlineStr">
        <is>
          <t>NORTE</t>
        </is>
      </c>
      <c r="F1840" t="inlineStr">
        <is>
          <t>Cliente B - Chopeira</t>
        </is>
      </c>
      <c r="G1840" t="inlineStr">
        <is>
          <t>Refrigeradores</t>
        </is>
      </c>
      <c r="H1840" s="10" t="n">
        <v>35</v>
      </c>
      <c r="I1840" s="10">
        <f>IFERROR(T1840*H1840,0)</f>
        <v/>
      </c>
      <c r="J1840" s="11" t="n">
        <v>46236</v>
      </c>
      <c r="K1840" s="11" t="n">
        <v>46249</v>
      </c>
      <c r="L1840" t="inlineStr">
        <is>
          <t>Ok. Devolvida</t>
        </is>
      </c>
      <c r="M1840">
        <f>IF(L1840="","",IFERROR(VLOOKUP(L1840,mapGrupoStatus,2,0),"Outros"))</f>
        <v/>
      </c>
      <c r="N1840">
        <f>IF(O1840="","",IF(O1840&lt;=30,"0-30 dias",IF(O1840&lt;=60,"31-60 dias",IF(O1840&lt;=90,"61-90 dias","Mais de 90 dias"))))</f>
        <v/>
      </c>
      <c r="O1840">
        <f>IF(OR(M1840="Pendente",M1840="Em andamento"),IF(J1840="","",TODAY()-J1840),"")</f>
        <v/>
      </c>
      <c r="P1840" t="n">
        <v>12269</v>
      </c>
      <c r="Q1840" t="inlineStr">
        <is>
          <t>Polar Técnica (12269)</t>
        </is>
      </c>
      <c r="R1840" t="inlineStr">
        <is>
          <t>PC-0020</t>
        </is>
      </c>
      <c r="S1840" t="inlineStr">
        <is>
          <t>Gaxeta da porta modelo 03</t>
        </is>
      </c>
      <c r="T1840" t="n">
        <v>3</v>
      </c>
      <c r="U1840" t="n">
        <v>148</v>
      </c>
      <c r="V1840">
        <f>IF(J1840="","",MONTH(J1840))</f>
        <v/>
      </c>
      <c r="W1840">
        <f>IF(J1840="","",YEAR(J1840))</f>
        <v/>
      </c>
      <c r="X1840" t="inlineStr">
        <is>
          <t>TransNorte</t>
        </is>
      </c>
      <c r="Y1840">
        <f>IFERROR(INDEX(Rastreio!$H$2:$H$200,MATCH(X1840&amp;"|"&amp;U1840,Rastreio!$A$2:$A$200,0)),"")</f>
        <v/>
      </c>
    </row>
    <row r="1841">
      <c r="A1841">
        <f>IFERROR(INDEX(STAs!$G$2:$G$61,MATCH(P1841,STAs!$F$2:$F$61,0))&amp;"","")</f>
        <v/>
      </c>
      <c r="B1841" t="n">
        <v>20040295</v>
      </c>
      <c r="C1841" t="inlineStr">
        <is>
          <t>Não</t>
        </is>
      </c>
      <c r="D1841" t="inlineStr">
        <is>
          <t>ES</t>
        </is>
      </c>
      <c r="E1841" t="inlineStr">
        <is>
          <t>SUDESTE RJ e ES</t>
        </is>
      </c>
      <c r="F1841" t="inlineStr">
        <is>
          <t>Cliente C - Misturador</t>
        </is>
      </c>
      <c r="G1841" t="inlineStr">
        <is>
          <t>Refrigeradores</t>
        </is>
      </c>
      <c r="H1841" s="10" t="n">
        <v>175</v>
      </c>
      <c r="I1841" s="10">
        <f>IFERROR(T1841*H1841,0)</f>
        <v/>
      </c>
      <c r="J1841" s="11" t="n">
        <v>46236</v>
      </c>
      <c r="K1841" s="11" t="n">
        <v>46284</v>
      </c>
      <c r="L1841" t="inlineStr">
        <is>
          <t>Ok. Devolvida</t>
        </is>
      </c>
      <c r="M1841">
        <f>IF(L1841="","",IFERROR(VLOOKUP(L1841,mapGrupoStatus,2,0),"Outros"))</f>
        <v/>
      </c>
      <c r="N1841">
        <f>IF(O1841="","",IF(O1841&lt;=30,"0-30 dias",IF(O1841&lt;=60,"31-60 dias",IF(O1841&lt;=90,"61-90 dias","Mais de 90 dias"))))</f>
        <v/>
      </c>
      <c r="O1841">
        <f>IF(OR(M1841="Pendente",M1841="Em andamento"),IF(J1841="","",TODAY()-J1841),"")</f>
        <v/>
      </c>
      <c r="P1841" t="n">
        <v>11099</v>
      </c>
      <c r="Q1841" t="inlineStr">
        <is>
          <t>Refrigel Serviços (11099)</t>
        </is>
      </c>
      <c r="R1841" t="inlineStr">
        <is>
          <t>PC-0012</t>
        </is>
      </c>
      <c r="S1841" t="inlineStr">
        <is>
          <t>Placa eletrônica modelo 02</t>
        </is>
      </c>
      <c r="T1841" t="n">
        <v>1</v>
      </c>
      <c r="U1841" t="n">
        <v>176</v>
      </c>
      <c r="V1841">
        <f>IF(J1841="","",MONTH(J1841))</f>
        <v/>
      </c>
      <c r="W1841">
        <f>IF(J1841="","",YEAR(J1841))</f>
        <v/>
      </c>
      <c r="X1841" t="inlineStr">
        <is>
          <t>RotaSul</t>
        </is>
      </c>
      <c r="Y1841">
        <f>IFERROR(INDEX(Rastreio!$H$2:$H$200,MATCH(X1841&amp;"|"&amp;U1841,Rastreio!$A$2:$A$200,0)),"")</f>
        <v/>
      </c>
    </row>
    <row r="1842">
      <c r="A1842">
        <f>IFERROR(INDEX(STAs!$G$2:$G$61,MATCH(P1842,STAs!$F$2:$F$61,0))&amp;"","")</f>
        <v/>
      </c>
      <c r="B1842" t="n">
        <v>20001910</v>
      </c>
      <c r="C1842" t="inlineStr">
        <is>
          <t>Não</t>
        </is>
      </c>
      <c r="D1842" t="inlineStr">
        <is>
          <t>MG</t>
        </is>
      </c>
      <c r="E1842" t="inlineStr">
        <is>
          <t>SUDESTE MG</t>
        </is>
      </c>
      <c r="F1842" t="inlineStr">
        <is>
          <t>Cliente A - Refrigerador</t>
        </is>
      </c>
      <c r="G1842" t="inlineStr">
        <is>
          <t>Refrigeradores</t>
        </is>
      </c>
      <c r="H1842" s="10" t="n">
        <v>65</v>
      </c>
      <c r="I1842" s="10">
        <f>IFERROR(T1842*H1842,0)</f>
        <v/>
      </c>
      <c r="J1842" s="11" t="n">
        <v>46237</v>
      </c>
      <c r="K1842" s="11" t="n">
        <v>46251</v>
      </c>
      <c r="L1842" t="inlineStr">
        <is>
          <t>Ok. Devolvida</t>
        </is>
      </c>
      <c r="M1842">
        <f>IF(L1842="","",IFERROR(VLOOKUP(L1842,mapGrupoStatus,2,0),"Outros"))</f>
        <v/>
      </c>
      <c r="N1842">
        <f>IF(O1842="","",IF(O1842&lt;=30,"0-30 dias",IF(O1842&lt;=60,"31-60 dias",IF(O1842&lt;=90,"61-90 dias","Mais de 90 dias"))))</f>
        <v/>
      </c>
      <c r="O1842">
        <f>IF(OR(M1842="Pendente",M1842="Em andamento"),IF(J1842="","",TODAY()-J1842),"")</f>
        <v/>
      </c>
      <c r="P1842" t="n">
        <v>12689</v>
      </c>
      <c r="Q1842" t="inlineStr">
        <is>
          <t>Norte Frio Manutenção (12689)</t>
        </is>
      </c>
      <c r="R1842" t="inlineStr">
        <is>
          <t>PC-0010</t>
        </is>
      </c>
      <c r="S1842" t="inlineStr">
        <is>
          <t>Ventilador modelo 04</t>
        </is>
      </c>
      <c r="T1842" t="n">
        <v>1</v>
      </c>
      <c r="U1842" t="n">
        <v>105</v>
      </c>
      <c r="V1842">
        <f>IF(J1842="","",MONTH(J1842))</f>
        <v/>
      </c>
      <c r="W1842">
        <f>IF(J1842="","",YEAR(J1842))</f>
        <v/>
      </c>
      <c r="X1842" t="inlineStr">
        <is>
          <t>EntregaJá</t>
        </is>
      </c>
      <c r="Y1842">
        <f>IFERROR(INDEX(Rastreio!$H$2:$H$200,MATCH(X1842&amp;"|"&amp;U1842,Rastreio!$A$2:$A$200,0)),"")</f>
        <v/>
      </c>
    </row>
    <row r="1843">
      <c r="A1843">
        <f>IFERROR(INDEX(STAs!$G$2:$G$61,MATCH(P1843,STAs!$F$2:$F$61,0))&amp;"","")</f>
        <v/>
      </c>
      <c r="B1843" t="n">
        <v>20009132</v>
      </c>
      <c r="C1843" t="inlineStr">
        <is>
          <t>Não</t>
        </is>
      </c>
      <c r="D1843" t="inlineStr">
        <is>
          <t>PR</t>
        </is>
      </c>
      <c r="E1843" t="inlineStr">
        <is>
          <t>SUL</t>
        </is>
      </c>
      <c r="F1843" t="inlineStr">
        <is>
          <t>Cliente C - Misturador</t>
        </is>
      </c>
      <c r="G1843" t="inlineStr">
        <is>
          <t>Misturadores</t>
        </is>
      </c>
      <c r="H1843" s="10" t="n">
        <v>255</v>
      </c>
      <c r="I1843" s="10">
        <f>IFERROR(T1843*H1843,0)</f>
        <v/>
      </c>
      <c r="J1843" s="11" t="n">
        <v>46237</v>
      </c>
      <c r="K1843" s="11" t="n">
        <v>46270</v>
      </c>
      <c r="L1843" t="inlineStr">
        <is>
          <t>Ok. Devolvida</t>
        </is>
      </c>
      <c r="M1843">
        <f>IF(L1843="","",IFERROR(VLOOKUP(L1843,mapGrupoStatus,2,0),"Outros"))</f>
        <v/>
      </c>
      <c r="N1843">
        <f>IF(O1843="","",IF(O1843&lt;=30,"0-30 dias",IF(O1843&lt;=60,"31-60 dias",IF(O1843&lt;=90,"61-90 dias","Mais de 90 dias"))))</f>
        <v/>
      </c>
      <c r="O1843">
        <f>IF(OR(M1843="Pendente",M1843="Em andamento"),IF(J1843="","",TODAY()-J1843),"")</f>
        <v/>
      </c>
      <c r="P1843" t="n">
        <v>11898</v>
      </c>
      <c r="Q1843" t="inlineStr">
        <is>
          <t>Refrigel Express (11898)</t>
        </is>
      </c>
      <c r="R1843" t="inlineStr">
        <is>
          <t>PC-0039</t>
        </is>
      </c>
      <c r="S1843" t="inlineStr">
        <is>
          <t>Bomba de recirculação modelo 03</t>
        </is>
      </c>
      <c r="T1843" t="n">
        <v>1</v>
      </c>
      <c r="U1843" t="n">
        <v>116</v>
      </c>
      <c r="V1843">
        <f>IF(J1843="","",MONTH(J1843))</f>
        <v/>
      </c>
      <c r="W1843">
        <f>IF(J1843="","",YEAR(J1843))</f>
        <v/>
      </c>
      <c r="X1843" t="inlineStr">
        <is>
          <t>LogExpress</t>
        </is>
      </c>
      <c r="Y1843">
        <f>IFERROR(INDEX(Rastreio!$H$2:$H$200,MATCH(X1843&amp;"|"&amp;U1843,Rastreio!$A$2:$A$200,0)),"")</f>
        <v/>
      </c>
    </row>
    <row r="1844">
      <c r="A1844">
        <f>IFERROR(INDEX(STAs!$G$2:$G$61,MATCH(P1844,STAs!$F$2:$F$61,0))&amp;"","")</f>
        <v/>
      </c>
      <c r="B1844" t="n">
        <v>20019223</v>
      </c>
      <c r="C1844" t="inlineStr">
        <is>
          <t>Não</t>
        </is>
      </c>
      <c r="D1844" t="inlineStr">
        <is>
          <t>SP</t>
        </is>
      </c>
      <c r="E1844" t="inlineStr">
        <is>
          <t>SUDESTE SP</t>
        </is>
      </c>
      <c r="F1844" t="inlineStr">
        <is>
          <t>Cliente B - Chopeira</t>
        </is>
      </c>
      <c r="G1844" t="inlineStr">
        <is>
          <t>Refrigeradores</t>
        </is>
      </c>
      <c r="H1844" s="10" t="n">
        <v>155</v>
      </c>
      <c r="I1844" s="10">
        <f>IFERROR(T1844*H1844,0)</f>
        <v/>
      </c>
      <c r="J1844" s="11" t="n">
        <v>46237</v>
      </c>
      <c r="K1844" s="11" t="n">
        <v>46260</v>
      </c>
      <c r="L1844" t="inlineStr">
        <is>
          <t>Ok. Devolvida</t>
        </is>
      </c>
      <c r="M1844">
        <f>IF(L1844="","",IFERROR(VLOOKUP(L1844,mapGrupoStatus,2,0),"Outros"))</f>
        <v/>
      </c>
      <c r="N1844">
        <f>IF(O1844="","",IF(O1844&lt;=30,"0-30 dias",IF(O1844&lt;=60,"31-60 dias",IF(O1844&lt;=90,"61-90 dias","Mais de 90 dias"))))</f>
        <v/>
      </c>
      <c r="O1844">
        <f>IF(OR(M1844="Pendente",M1844="Em andamento"),IF(J1844="","",TODAY()-J1844),"")</f>
        <v/>
      </c>
      <c r="P1844" t="n">
        <v>12052</v>
      </c>
      <c r="Q1844" t="inlineStr">
        <is>
          <t>Brisa Refrigeração (12052)</t>
        </is>
      </c>
      <c r="R1844" t="inlineStr">
        <is>
          <t>PC-0022</t>
        </is>
      </c>
      <c r="S1844" t="inlineStr">
        <is>
          <t>Controlador digital modelo 02</t>
        </is>
      </c>
      <c r="T1844" t="n">
        <v>2</v>
      </c>
      <c r="U1844" t="n">
        <v>128</v>
      </c>
      <c r="V1844">
        <f>IF(J1844="","",MONTH(J1844))</f>
        <v/>
      </c>
      <c r="W1844">
        <f>IF(J1844="","",YEAR(J1844))</f>
        <v/>
      </c>
      <c r="X1844" t="inlineStr">
        <is>
          <t>EntregaJá</t>
        </is>
      </c>
      <c r="Y1844">
        <f>IFERROR(INDEX(Rastreio!$H$2:$H$200,MATCH(X1844&amp;"|"&amp;U1844,Rastreio!$A$2:$A$200,0)),"")</f>
        <v/>
      </c>
    </row>
    <row r="1845">
      <c r="A1845">
        <f>IFERROR(INDEX(STAs!$G$2:$G$61,MATCH(P1845,STAs!$F$2:$F$61,0))&amp;"","")</f>
        <v/>
      </c>
      <c r="B1845" t="n">
        <v>20027744</v>
      </c>
      <c r="C1845" t="inlineStr">
        <is>
          <t>Não</t>
        </is>
      </c>
      <c r="D1845" t="inlineStr">
        <is>
          <t>PR</t>
        </is>
      </c>
      <c r="E1845" t="inlineStr">
        <is>
          <t>SUL</t>
        </is>
      </c>
      <c r="F1845" t="inlineStr">
        <is>
          <t>Cliente A - Refrigerador</t>
        </is>
      </c>
      <c r="G1845" t="inlineStr">
        <is>
          <t>Misturadores</t>
        </is>
      </c>
      <c r="H1845" s="10" t="n">
        <v>50</v>
      </c>
      <c r="I1845" s="10">
        <f>IFERROR(T1845*H1845,0)</f>
        <v/>
      </c>
      <c r="J1845" s="11" t="n">
        <v>46237</v>
      </c>
      <c r="K1845" s="11" t="n"/>
      <c r="L1845" t="inlineStr">
        <is>
          <t>Em transporte</t>
        </is>
      </c>
      <c r="M1845">
        <f>IF(L1845="","",IFERROR(VLOOKUP(L1845,mapGrupoStatus,2,0),"Outros"))</f>
        <v/>
      </c>
      <c r="N1845">
        <f>IF(O1845="","",IF(O1845&lt;=30,"0-30 dias",IF(O1845&lt;=60,"31-60 dias",IF(O1845&lt;=90,"61-90 dias","Mais de 90 dias"))))</f>
        <v/>
      </c>
      <c r="O1845">
        <f>IF(OR(M1845="Pendente",M1845="Em andamento"),IF(J1845="","",TODAY()-J1845),"")</f>
        <v/>
      </c>
      <c r="P1845" t="n">
        <v>11898</v>
      </c>
      <c r="Q1845" t="inlineStr">
        <is>
          <t>Refrigel Express (11898)</t>
        </is>
      </c>
      <c r="R1845" t="inlineStr">
        <is>
          <t>PC-0044</t>
        </is>
      </c>
      <c r="S1845" t="inlineStr">
        <is>
          <t>Bico dosador modelo 03</t>
        </is>
      </c>
      <c r="T1845" t="n">
        <v>1</v>
      </c>
      <c r="U1845" t="n">
        <v>148</v>
      </c>
      <c r="V1845">
        <f>IF(J1845="","",MONTH(J1845))</f>
        <v/>
      </c>
      <c r="W1845">
        <f>IF(J1845="","",YEAR(J1845))</f>
        <v/>
      </c>
      <c r="X1845" t="inlineStr">
        <is>
          <t>RotaSul</t>
        </is>
      </c>
      <c r="Y1845">
        <f>IFERROR(INDEX(Rastreio!$H$2:$H$200,MATCH(X1845&amp;"|"&amp;U1845,Rastreio!$A$2:$A$200,0)),"")</f>
        <v/>
      </c>
    </row>
    <row r="1846">
      <c r="A1846">
        <f>IFERROR(INDEX(STAs!$G$2:$G$61,MATCH(P1846,STAs!$F$2:$F$61,0))&amp;"","")</f>
        <v/>
      </c>
      <c r="B1846" t="n">
        <v>20029561</v>
      </c>
      <c r="C1846" t="inlineStr">
        <is>
          <t>Não</t>
        </is>
      </c>
      <c r="D1846" t="inlineStr">
        <is>
          <t>ES</t>
        </is>
      </c>
      <c r="E1846" t="inlineStr">
        <is>
          <t>SUDESTE RJ e ES</t>
        </is>
      </c>
      <c r="F1846" t="inlineStr">
        <is>
          <t>Cliente B - Chopeira</t>
        </is>
      </c>
      <c r="G1846" t="inlineStr">
        <is>
          <t>Chopeiras</t>
        </is>
      </c>
      <c r="H1846" s="10" t="n">
        <v>205</v>
      </c>
      <c r="I1846" s="10">
        <f>IFERROR(T1846*H1846,0)</f>
        <v/>
      </c>
      <c r="J1846" s="11" t="n">
        <v>46237</v>
      </c>
      <c r="K1846" s="11" t="n"/>
      <c r="L1846" t="inlineStr">
        <is>
          <t>Debitar do STA</t>
        </is>
      </c>
      <c r="M1846">
        <f>IF(L1846="","",IFERROR(VLOOKUP(L1846,mapGrupoStatus,2,0),"Outros"))</f>
        <v/>
      </c>
      <c r="N1846">
        <f>IF(O1846="","",IF(O1846&lt;=30,"0-30 dias",IF(O1846&lt;=60,"31-60 dias",IF(O1846&lt;=90,"61-90 dias","Mais de 90 dias"))))</f>
        <v/>
      </c>
      <c r="O1846">
        <f>IF(OR(M1846="Pendente",M1846="Em andamento"),IF(J1846="","",TODAY()-J1846),"")</f>
        <v/>
      </c>
      <c r="P1846" t="n">
        <v>11162</v>
      </c>
      <c r="Q1846" t="inlineStr">
        <is>
          <t>Ártico Refrigeração (11162)</t>
        </is>
      </c>
      <c r="R1846" t="inlineStr">
        <is>
          <t>PC-0031</t>
        </is>
      </c>
      <c r="S1846" t="inlineStr">
        <is>
          <t>Serpentina modelo 03</t>
        </is>
      </c>
      <c r="T1846" t="n">
        <v>2</v>
      </c>
      <c r="U1846" t="inlineStr"/>
      <c r="V1846">
        <f>IF(J1846="","",MONTH(J1846))</f>
        <v/>
      </c>
      <c r="W1846">
        <f>IF(J1846="","",YEAR(J1846))</f>
        <v/>
      </c>
      <c r="X1846" t="inlineStr"/>
      <c r="Y1846">
        <f>IFERROR(INDEX(Rastreio!$H$2:$H$200,MATCH(X1846&amp;"|"&amp;U1846,Rastreio!$A$2:$A$200,0)),"")</f>
        <v/>
      </c>
    </row>
    <row r="1847">
      <c r="A1847">
        <f>IFERROR(INDEX(STAs!$G$2:$G$61,MATCH(P1847,STAs!$F$2:$F$61,0))&amp;"","")</f>
        <v/>
      </c>
      <c r="B1847" t="n">
        <v>20036089</v>
      </c>
      <c r="C1847" t="inlineStr">
        <is>
          <t>Não</t>
        </is>
      </c>
      <c r="D1847" t="inlineStr">
        <is>
          <t>ES</t>
        </is>
      </c>
      <c r="E1847" t="inlineStr">
        <is>
          <t>SUDESTE RJ e ES</t>
        </is>
      </c>
      <c r="F1847" t="inlineStr">
        <is>
          <t>Cliente A - Refrigerador</t>
        </is>
      </c>
      <c r="G1847" t="inlineStr">
        <is>
          <t>Refrigeradores</t>
        </is>
      </c>
      <c r="H1847" s="10" t="n">
        <v>330</v>
      </c>
      <c r="I1847" s="10">
        <f>IFERROR(T1847*H1847,0)</f>
        <v/>
      </c>
      <c r="J1847" s="11" t="n">
        <v>46237</v>
      </c>
      <c r="K1847" s="11" t="n">
        <v>46247</v>
      </c>
      <c r="L1847" t="inlineStr">
        <is>
          <t>Ok. Devolvida</t>
        </is>
      </c>
      <c r="M1847">
        <f>IF(L1847="","",IFERROR(VLOOKUP(L1847,mapGrupoStatus,2,0),"Outros"))</f>
        <v/>
      </c>
      <c r="N1847">
        <f>IF(O1847="","",IF(O1847&lt;=30,"0-30 dias",IF(O1847&lt;=60,"31-60 dias",IF(O1847&lt;=90,"61-90 dias","Mais de 90 dias"))))</f>
        <v/>
      </c>
      <c r="O1847">
        <f>IF(OR(M1847="Pendente",M1847="Em andamento"),IF(J1847="","",TODAY()-J1847),"")</f>
        <v/>
      </c>
      <c r="P1847" t="n">
        <v>11099</v>
      </c>
      <c r="Q1847" t="inlineStr">
        <is>
          <t>Refrigel Serviços (11099)</t>
        </is>
      </c>
      <c r="R1847" t="inlineStr">
        <is>
          <t>PC-0003</t>
        </is>
      </c>
      <c r="S1847" t="inlineStr">
        <is>
          <t>Compressor modelo 03</t>
        </is>
      </c>
      <c r="T1847" t="n">
        <v>2</v>
      </c>
      <c r="U1847" t="n">
        <v>156</v>
      </c>
      <c r="V1847">
        <f>IF(J1847="","",MONTH(J1847))</f>
        <v/>
      </c>
      <c r="W1847">
        <f>IF(J1847="","",YEAR(J1847))</f>
        <v/>
      </c>
      <c r="X1847" t="inlineStr">
        <is>
          <t>ViaCargo</t>
        </is>
      </c>
      <c r="Y1847">
        <f>IFERROR(INDEX(Rastreio!$H$2:$H$200,MATCH(X1847&amp;"|"&amp;U1847,Rastreio!$A$2:$A$200,0)),"")</f>
        <v/>
      </c>
    </row>
    <row r="1848">
      <c r="A1848">
        <f>IFERROR(INDEX(STAs!$G$2:$G$61,MATCH(P1848,STAs!$F$2:$F$61,0))&amp;"","")</f>
        <v/>
      </c>
      <c r="B1848" t="n">
        <v>20003340</v>
      </c>
      <c r="C1848" t="inlineStr">
        <is>
          <t>Não</t>
        </is>
      </c>
      <c r="D1848" t="inlineStr">
        <is>
          <t>RR</t>
        </is>
      </c>
      <c r="E1848" t="inlineStr">
        <is>
          <t>NORTE</t>
        </is>
      </c>
      <c r="F1848" t="inlineStr">
        <is>
          <t>Cliente C - Misturador</t>
        </is>
      </c>
      <c r="G1848" t="inlineStr">
        <is>
          <t>Refrigeradores</t>
        </is>
      </c>
      <c r="H1848" s="10" t="n">
        <v>65</v>
      </c>
      <c r="I1848" s="10">
        <f>IFERROR(T1848*H1848,0)</f>
        <v/>
      </c>
      <c r="J1848" s="11" t="n">
        <v>46238</v>
      </c>
      <c r="K1848" s="11" t="n"/>
      <c r="L1848" t="inlineStr">
        <is>
          <t>Em transporte</t>
        </is>
      </c>
      <c r="M1848">
        <f>IF(L1848="","",IFERROR(VLOOKUP(L1848,mapGrupoStatus,2,0),"Outros"))</f>
        <v/>
      </c>
      <c r="N1848">
        <f>IF(O1848="","",IF(O1848&lt;=30,"0-30 dias",IF(O1848&lt;=60,"31-60 dias",IF(O1848&lt;=90,"61-90 dias","Mais de 90 dias"))))</f>
        <v/>
      </c>
      <c r="O1848">
        <f>IF(OR(M1848="Pendente",M1848="Em andamento"),IF(J1848="","",TODAY()-J1848),"")</f>
        <v/>
      </c>
      <c r="P1848" t="n">
        <v>11818</v>
      </c>
      <c r="Q1848" t="inlineStr">
        <is>
          <t>Termotec Ltda (11818)</t>
        </is>
      </c>
      <c r="R1848" t="inlineStr">
        <is>
          <t>PC-0010</t>
        </is>
      </c>
      <c r="S1848" t="inlineStr">
        <is>
          <t>Ventilador modelo 04</t>
        </is>
      </c>
      <c r="T1848" t="n">
        <v>1</v>
      </c>
      <c r="U1848" t="n">
        <v>109</v>
      </c>
      <c r="V1848">
        <f>IF(J1848="","",MONTH(J1848))</f>
        <v/>
      </c>
      <c r="W1848">
        <f>IF(J1848="","",YEAR(J1848))</f>
        <v/>
      </c>
      <c r="X1848" t="inlineStr">
        <is>
          <t>ViaCargo</t>
        </is>
      </c>
      <c r="Y1848">
        <f>IFERROR(INDEX(Rastreio!$H$2:$H$200,MATCH(X1848&amp;"|"&amp;U1848,Rastreio!$A$2:$A$200,0)),"")</f>
        <v/>
      </c>
    </row>
    <row r="1849">
      <c r="A1849">
        <f>IFERROR(INDEX(STAs!$G$2:$G$61,MATCH(P1849,STAs!$F$2:$F$61,0))&amp;"","")</f>
        <v/>
      </c>
      <c r="B1849" t="n">
        <v>20006495</v>
      </c>
      <c r="C1849" t="inlineStr">
        <is>
          <t>Não</t>
        </is>
      </c>
      <c r="D1849" t="inlineStr">
        <is>
          <t>AP</t>
        </is>
      </c>
      <c r="E1849" t="inlineStr">
        <is>
          <t>NORTE</t>
        </is>
      </c>
      <c r="F1849" t="inlineStr">
        <is>
          <t>Cliente C - Misturador</t>
        </is>
      </c>
      <c r="G1849" t="inlineStr">
        <is>
          <t>Refrigeradores</t>
        </is>
      </c>
      <c r="H1849" s="10" t="n">
        <v>45</v>
      </c>
      <c r="I1849" s="10">
        <f>IFERROR(T1849*H1849,0)</f>
        <v/>
      </c>
      <c r="J1849" s="11" t="n">
        <v>46238</v>
      </c>
      <c r="K1849" s="11" t="n"/>
      <c r="L1849" t="inlineStr">
        <is>
          <t>Não Devolve-Norte</t>
        </is>
      </c>
      <c r="M1849">
        <f>IF(L1849="","",IFERROR(VLOOKUP(L1849,mapGrupoStatus,2,0),"Outros"))</f>
        <v/>
      </c>
      <c r="N1849">
        <f>IF(O1849="","",IF(O1849&lt;=30,"0-30 dias",IF(O1849&lt;=60,"31-60 dias",IF(O1849&lt;=90,"61-90 dias","Mais de 90 dias"))))</f>
        <v/>
      </c>
      <c r="O1849">
        <f>IF(OR(M1849="Pendente",M1849="Em andamento"),IF(J1849="","",TODAY()-J1849),"")</f>
        <v/>
      </c>
      <c r="P1849" t="n">
        <v>11859</v>
      </c>
      <c r="Q1849" t="inlineStr">
        <is>
          <t>Ice Tech Serviços (11859)</t>
        </is>
      </c>
      <c r="R1849" t="inlineStr">
        <is>
          <t>PC-0019</t>
        </is>
      </c>
      <c r="S1849" t="inlineStr">
        <is>
          <t>Gaxeta da porta modelo 02</t>
        </is>
      </c>
      <c r="T1849" t="n">
        <v>1</v>
      </c>
      <c r="U1849" t="inlineStr"/>
      <c r="V1849">
        <f>IF(J1849="","",MONTH(J1849))</f>
        <v/>
      </c>
      <c r="W1849">
        <f>IF(J1849="","",YEAR(J1849))</f>
        <v/>
      </c>
      <c r="X1849" t="inlineStr"/>
      <c r="Y1849">
        <f>IFERROR(INDEX(Rastreio!$H$2:$H$200,MATCH(X1849&amp;"|"&amp;U1849,Rastreio!$A$2:$A$200,0)),"")</f>
        <v/>
      </c>
    </row>
    <row r="1850">
      <c r="A1850">
        <f>IFERROR(INDEX(STAs!$G$2:$G$61,MATCH(P1850,STAs!$F$2:$F$61,0))&amp;"","")</f>
        <v/>
      </c>
      <c r="B1850" t="n">
        <v>20010137</v>
      </c>
      <c r="C1850" t="inlineStr">
        <is>
          <t>Não</t>
        </is>
      </c>
      <c r="D1850" t="inlineStr">
        <is>
          <t>RS</t>
        </is>
      </c>
      <c r="E1850" t="inlineStr">
        <is>
          <t>SUL</t>
        </is>
      </c>
      <c r="F1850" t="inlineStr">
        <is>
          <t>Cliente B - Chopeira</t>
        </is>
      </c>
      <c r="G1850" t="inlineStr">
        <is>
          <t>Refrigeradores</t>
        </is>
      </c>
      <c r="H1850" s="10" t="n">
        <v>155</v>
      </c>
      <c r="I1850" s="10">
        <f>IFERROR(T1850*H1850,0)</f>
        <v/>
      </c>
      <c r="J1850" s="11" t="n">
        <v>46238</v>
      </c>
      <c r="K1850" s="11" t="n">
        <v>46280</v>
      </c>
      <c r="L1850" t="inlineStr">
        <is>
          <t>Ok. Devolvida</t>
        </is>
      </c>
      <c r="M1850">
        <f>IF(L1850="","",IFERROR(VLOOKUP(L1850,mapGrupoStatus,2,0),"Outros"))</f>
        <v/>
      </c>
      <c r="N1850">
        <f>IF(O1850="","",IF(O1850&lt;=30,"0-30 dias",IF(O1850&lt;=60,"31-60 dias",IF(O1850&lt;=90,"61-90 dias","Mais de 90 dias"))))</f>
        <v/>
      </c>
      <c r="O1850">
        <f>IF(OR(M1850="Pendente",M1850="Em andamento"),IF(J1850="","",TODAY()-J1850),"")</f>
        <v/>
      </c>
      <c r="P1850" t="n">
        <v>11459</v>
      </c>
      <c r="Q1850" t="inlineStr">
        <is>
          <t>Frio ME (11459)</t>
        </is>
      </c>
      <c r="R1850" t="inlineStr">
        <is>
          <t>PC-0022</t>
        </is>
      </c>
      <c r="S1850" t="inlineStr">
        <is>
          <t>Controlador digital modelo 02</t>
        </is>
      </c>
      <c r="T1850" t="n">
        <v>2</v>
      </c>
      <c r="U1850" t="n">
        <v>117</v>
      </c>
      <c r="V1850">
        <f>IF(J1850="","",MONTH(J1850))</f>
        <v/>
      </c>
      <c r="W1850">
        <f>IF(J1850="","",YEAR(J1850))</f>
        <v/>
      </c>
      <c r="X1850" t="inlineStr">
        <is>
          <t>TransNorte</t>
        </is>
      </c>
      <c r="Y1850">
        <f>IFERROR(INDEX(Rastreio!$H$2:$H$200,MATCH(X1850&amp;"|"&amp;U1850,Rastreio!$A$2:$A$200,0)),"")</f>
        <v/>
      </c>
    </row>
    <row r="1851">
      <c r="A1851">
        <f>IFERROR(INDEX(STAs!$G$2:$G$61,MATCH(P1851,STAs!$F$2:$F$61,0))&amp;"","")</f>
        <v/>
      </c>
      <c r="B1851" t="n">
        <v>20012151</v>
      </c>
      <c r="C1851" t="inlineStr">
        <is>
          <t>Sim</t>
        </is>
      </c>
      <c r="D1851" t="inlineStr">
        <is>
          <t>PR</t>
        </is>
      </c>
      <c r="E1851" t="inlineStr">
        <is>
          <t>SUL</t>
        </is>
      </c>
      <c r="F1851" t="inlineStr">
        <is>
          <t>Cliente B - Chopeira</t>
        </is>
      </c>
      <c r="G1851" t="inlineStr">
        <is>
          <t>Refrigeradores</t>
        </is>
      </c>
      <c r="H1851" s="10" t="n">
        <v>155</v>
      </c>
      <c r="I1851" s="10">
        <f>IFERROR(T1851*H1851,0)</f>
        <v/>
      </c>
      <c r="J1851" s="11" t="n">
        <v>46238</v>
      </c>
      <c r="K1851" s="11" t="n"/>
      <c r="L1851" t="inlineStr">
        <is>
          <t>Não Devolve-Norte</t>
        </is>
      </c>
      <c r="M1851">
        <f>IF(L1851="","",IFERROR(VLOOKUP(L1851,mapGrupoStatus,2,0),"Outros"))</f>
        <v/>
      </c>
      <c r="N1851">
        <f>IF(O1851="","",IF(O1851&lt;=30,"0-30 dias",IF(O1851&lt;=60,"31-60 dias",IF(O1851&lt;=90,"61-90 dias","Mais de 90 dias"))))</f>
        <v/>
      </c>
      <c r="O1851">
        <f>IF(OR(M1851="Pendente",M1851="Em andamento"),IF(J1851="","",TODAY()-J1851),"")</f>
        <v/>
      </c>
      <c r="P1851" t="n">
        <v>10753</v>
      </c>
      <c r="Q1851" t="inlineStr">
        <is>
          <t>Refrigel &amp; Cia (10753)</t>
        </is>
      </c>
      <c r="R1851" t="inlineStr">
        <is>
          <t>PC-0021</t>
        </is>
      </c>
      <c r="S1851" t="inlineStr">
        <is>
          <t>Controlador digital modelo 01</t>
        </is>
      </c>
      <c r="T1851" t="n">
        <v>1</v>
      </c>
      <c r="U1851" t="inlineStr"/>
      <c r="V1851">
        <f>IF(J1851="","",MONTH(J1851))</f>
        <v/>
      </c>
      <c r="W1851">
        <f>IF(J1851="","",YEAR(J1851))</f>
        <v/>
      </c>
      <c r="X1851" t="inlineStr"/>
      <c r="Y1851">
        <f>IFERROR(INDEX(Rastreio!$H$2:$H$200,MATCH(X1851&amp;"|"&amp;U1851,Rastreio!$A$2:$A$200,0)),"")</f>
        <v/>
      </c>
    </row>
    <row r="1852">
      <c r="A1852">
        <f>IFERROR(INDEX(STAs!$G$2:$G$61,MATCH(P1852,STAs!$F$2:$F$61,0))&amp;"","")</f>
        <v/>
      </c>
      <c r="B1852" t="n">
        <v>20020543</v>
      </c>
      <c r="C1852" t="inlineStr">
        <is>
          <t>Não</t>
        </is>
      </c>
      <c r="D1852" t="inlineStr">
        <is>
          <t>PR</t>
        </is>
      </c>
      <c r="E1852" t="inlineStr">
        <is>
          <t>SUL</t>
        </is>
      </c>
      <c r="F1852" t="inlineStr">
        <is>
          <t>Cliente C - Misturador</t>
        </is>
      </c>
      <c r="G1852" t="inlineStr">
        <is>
          <t>Chopeiras</t>
        </is>
      </c>
      <c r="H1852" s="10" t="n">
        <v>85</v>
      </c>
      <c r="I1852" s="10">
        <f>IFERROR(T1852*H1852,0)</f>
        <v/>
      </c>
      <c r="J1852" s="11" t="n">
        <v>46238</v>
      </c>
      <c r="K1852" s="11" t="n"/>
      <c r="L1852" t="inlineStr">
        <is>
          <t>Aguardando Transporte</t>
        </is>
      </c>
      <c r="M1852">
        <f>IF(L1852="","",IFERROR(VLOOKUP(L1852,mapGrupoStatus,2,0),"Outros"))</f>
        <v/>
      </c>
      <c r="N1852">
        <f>IF(O1852="","",IF(O1852&lt;=30,"0-30 dias",IF(O1852&lt;=60,"31-60 dias",IF(O1852&lt;=90,"61-90 dias","Mais de 90 dias"))))</f>
        <v/>
      </c>
      <c r="O1852">
        <f>IF(OR(M1852="Pendente",M1852="Em andamento"),IF(J1852="","",TODAY()-J1852),"")</f>
        <v/>
      </c>
      <c r="P1852" t="n">
        <v>10504</v>
      </c>
      <c r="Q1852" t="inlineStr">
        <is>
          <t>Zero Grau Ltda (10504)</t>
        </is>
      </c>
      <c r="R1852" t="inlineStr">
        <is>
          <t>PC-0036</t>
        </is>
      </c>
      <c r="S1852" t="inlineStr">
        <is>
          <t>Válvula extratora modelo 02</t>
        </is>
      </c>
      <c r="T1852" t="n">
        <v>1</v>
      </c>
      <c r="U1852" t="n">
        <v>132</v>
      </c>
      <c r="V1852">
        <f>IF(J1852="","",MONTH(J1852))</f>
        <v/>
      </c>
      <c r="W1852">
        <f>IF(J1852="","",YEAR(J1852))</f>
        <v/>
      </c>
      <c r="X1852" t="inlineStr">
        <is>
          <t>EntregaJá</t>
        </is>
      </c>
      <c r="Y1852">
        <f>IFERROR(INDEX(Rastreio!$H$2:$H$200,MATCH(X1852&amp;"|"&amp;U1852,Rastreio!$A$2:$A$200,0)),"")</f>
        <v/>
      </c>
    </row>
    <row r="1853">
      <c r="A1853">
        <f>IFERROR(INDEX(STAs!$G$2:$G$61,MATCH(P1853,STAs!$F$2:$F$61,0))&amp;"","")</f>
        <v/>
      </c>
      <c r="B1853" t="n">
        <v>20022622</v>
      </c>
      <c r="C1853" t="inlineStr">
        <is>
          <t>Não</t>
        </is>
      </c>
      <c r="D1853" t="inlineStr">
        <is>
          <t>AC</t>
        </is>
      </c>
      <c r="E1853" t="inlineStr">
        <is>
          <t>NORTE</t>
        </is>
      </c>
      <c r="F1853" t="inlineStr">
        <is>
          <t>Cliente C - Misturador</t>
        </is>
      </c>
      <c r="G1853" t="inlineStr">
        <is>
          <t>Chopeiras</t>
        </is>
      </c>
      <c r="H1853" s="10" t="n">
        <v>115</v>
      </c>
      <c r="I1853" s="10">
        <f>IFERROR(T1853*H1853,0)</f>
        <v/>
      </c>
      <c r="J1853" s="11" t="n">
        <v>46238</v>
      </c>
      <c r="K1853" s="11" t="n"/>
      <c r="L1853" t="inlineStr">
        <is>
          <t>NF Vencida</t>
        </is>
      </c>
      <c r="M1853">
        <f>IF(L1853="","",IFERROR(VLOOKUP(L1853,mapGrupoStatus,2,0),"Outros"))</f>
        <v/>
      </c>
      <c r="N1853">
        <f>IF(O1853="","",IF(O1853&lt;=30,"0-30 dias",IF(O1853&lt;=60,"31-60 dias",IF(O1853&lt;=90,"61-90 dias","Mais de 90 dias"))))</f>
        <v/>
      </c>
      <c r="O1853">
        <f>IF(OR(M1853="Pendente",M1853="Em andamento"),IF(J1853="","",TODAY()-J1853),"")</f>
        <v/>
      </c>
      <c r="P1853" t="n">
        <v>11022</v>
      </c>
      <c r="Q1853" t="inlineStr">
        <is>
          <t>Brisa Ltda (11022)</t>
        </is>
      </c>
      <c r="R1853" t="inlineStr">
        <is>
          <t>PC-0033</t>
        </is>
      </c>
      <c r="S1853" t="inlineStr">
        <is>
          <t>Regulador de pressão modelo 02</t>
        </is>
      </c>
      <c r="T1853" t="n">
        <v>1</v>
      </c>
      <c r="U1853" t="inlineStr"/>
      <c r="V1853">
        <f>IF(J1853="","",MONTH(J1853))</f>
        <v/>
      </c>
      <c r="W1853">
        <f>IF(J1853="","",YEAR(J1853))</f>
        <v/>
      </c>
      <c r="X1853" t="inlineStr"/>
      <c r="Y1853">
        <f>IFERROR(INDEX(Rastreio!$H$2:$H$200,MATCH(X1853&amp;"|"&amp;U1853,Rastreio!$A$2:$A$200,0)),"")</f>
        <v/>
      </c>
    </row>
    <row r="1854">
      <c r="A1854">
        <f>IFERROR(INDEX(STAs!$G$2:$G$61,MATCH(P1854,STAs!$F$2:$F$61,0))&amp;"","")</f>
        <v/>
      </c>
      <c r="B1854" t="n">
        <v>20026020</v>
      </c>
      <c r="C1854" t="inlineStr">
        <is>
          <t>Não</t>
        </is>
      </c>
      <c r="D1854" t="inlineStr">
        <is>
          <t>MG</t>
        </is>
      </c>
      <c r="E1854" t="inlineStr">
        <is>
          <t>SUDESTE MG</t>
        </is>
      </c>
      <c r="F1854" t="inlineStr">
        <is>
          <t>Cliente A - Refrigerador</t>
        </is>
      </c>
      <c r="G1854" t="inlineStr">
        <is>
          <t>Refrigeradores</t>
        </is>
      </c>
      <c r="H1854" s="10" t="n">
        <v>45</v>
      </c>
      <c r="I1854" s="10">
        <f>IFERROR(T1854*H1854,0)</f>
        <v/>
      </c>
      <c r="J1854" s="11" t="n">
        <v>46238</v>
      </c>
      <c r="K1854" s="11" t="n">
        <v>46296</v>
      </c>
      <c r="L1854" t="inlineStr">
        <is>
          <t>Ok. Devolvida</t>
        </is>
      </c>
      <c r="M1854">
        <f>IF(L1854="","",IFERROR(VLOOKUP(L1854,mapGrupoStatus,2,0),"Outros"))</f>
        <v/>
      </c>
      <c r="N1854">
        <f>IF(O1854="","",IF(O1854&lt;=30,"0-30 dias",IF(O1854&lt;=60,"31-60 dias",IF(O1854&lt;=90,"61-90 dias","Mais de 90 dias"))))</f>
        <v/>
      </c>
      <c r="O1854">
        <f>IF(OR(M1854="Pendente",M1854="Em andamento"),IF(J1854="","",TODAY()-J1854),"")</f>
        <v/>
      </c>
      <c r="P1854" t="n">
        <v>11619</v>
      </c>
      <c r="Q1854" t="inlineStr">
        <is>
          <t>Refrigeração Ltda (11619)</t>
        </is>
      </c>
      <c r="R1854" t="inlineStr">
        <is>
          <t>PC-0019</t>
        </is>
      </c>
      <c r="S1854" t="inlineStr">
        <is>
          <t>Gaxeta da porta modelo 02</t>
        </is>
      </c>
      <c r="T1854" t="n">
        <v>2</v>
      </c>
      <c r="U1854" t="n">
        <v>145</v>
      </c>
      <c r="V1854">
        <f>IF(J1854="","",MONTH(J1854))</f>
        <v/>
      </c>
      <c r="W1854">
        <f>IF(J1854="","",YEAR(J1854))</f>
        <v/>
      </c>
      <c r="X1854" t="inlineStr">
        <is>
          <t>RotaSul</t>
        </is>
      </c>
      <c r="Y1854">
        <f>IFERROR(INDEX(Rastreio!$H$2:$H$200,MATCH(X1854&amp;"|"&amp;U1854,Rastreio!$A$2:$A$200,0)),"")</f>
        <v/>
      </c>
    </row>
    <row r="1855">
      <c r="A1855">
        <f>IFERROR(INDEX(STAs!$G$2:$G$61,MATCH(P1855,STAs!$F$2:$F$61,0))&amp;"","")</f>
        <v/>
      </c>
      <c r="B1855" t="n">
        <v>20026178</v>
      </c>
      <c r="C1855" t="inlineStr">
        <is>
          <t>Não</t>
        </is>
      </c>
      <c r="D1855" t="inlineStr">
        <is>
          <t>RR</t>
        </is>
      </c>
      <c r="E1855" t="inlineStr">
        <is>
          <t>NORTE</t>
        </is>
      </c>
      <c r="F1855" t="inlineStr">
        <is>
          <t>Cliente A - Refrigerador</t>
        </is>
      </c>
      <c r="G1855" t="inlineStr">
        <is>
          <t>Refrigeradores</t>
        </is>
      </c>
      <c r="H1855" s="10" t="n">
        <v>30</v>
      </c>
      <c r="I1855" s="10">
        <f>IFERROR(T1855*H1855,0)</f>
        <v/>
      </c>
      <c r="J1855" s="11" t="n">
        <v>46238</v>
      </c>
      <c r="K1855" s="11" t="n"/>
      <c r="L1855" t="inlineStr">
        <is>
          <t>Não Devolve-Norte</t>
        </is>
      </c>
      <c r="M1855">
        <f>IF(L1855="","",IFERROR(VLOOKUP(L1855,mapGrupoStatus,2,0),"Outros"))</f>
        <v/>
      </c>
      <c r="N1855">
        <f>IF(O1855="","",IF(O1855&lt;=30,"0-30 dias",IF(O1855&lt;=60,"31-60 dias",IF(O1855&lt;=90,"61-90 dias","Mais de 90 dias"))))</f>
        <v/>
      </c>
      <c r="O1855">
        <f>IF(OR(M1855="Pendente",M1855="Em andamento"),IF(J1855="","",TODAY()-J1855),"")</f>
        <v/>
      </c>
      <c r="P1855" t="n">
        <v>12422</v>
      </c>
      <c r="Q1855" t="inlineStr">
        <is>
          <t>Assistência Técnica Refrigeração (12422)</t>
        </is>
      </c>
      <c r="R1855" t="inlineStr">
        <is>
          <t>PC-0025</t>
        </is>
      </c>
      <c r="S1855" t="inlineStr">
        <is>
          <t>Relé de partida modelo 03</t>
        </is>
      </c>
      <c r="T1855" t="n">
        <v>1</v>
      </c>
      <c r="U1855" t="inlineStr"/>
      <c r="V1855">
        <f>IF(J1855="","",MONTH(J1855))</f>
        <v/>
      </c>
      <c r="W1855">
        <f>IF(J1855="","",YEAR(J1855))</f>
        <v/>
      </c>
      <c r="X1855" t="inlineStr"/>
      <c r="Y1855">
        <f>IFERROR(INDEX(Rastreio!$H$2:$H$200,MATCH(X1855&amp;"|"&amp;U1855,Rastreio!$A$2:$A$200,0)),"")</f>
        <v/>
      </c>
    </row>
    <row r="1856">
      <c r="A1856">
        <f>IFERROR(INDEX(STAs!$G$2:$G$61,MATCH(P1856,STAs!$F$2:$F$61,0))&amp;"","")</f>
        <v/>
      </c>
      <c r="B1856" t="n">
        <v>20027999</v>
      </c>
      <c r="C1856" t="inlineStr">
        <is>
          <t>Não</t>
        </is>
      </c>
      <c r="D1856" t="inlineStr">
        <is>
          <t>PB</t>
        </is>
      </c>
      <c r="E1856" t="inlineStr">
        <is>
          <t>NORDESTE</t>
        </is>
      </c>
      <c r="F1856" t="inlineStr">
        <is>
          <t>Cliente C - Misturador</t>
        </is>
      </c>
      <c r="G1856" t="inlineStr">
        <is>
          <t>Misturadores</t>
        </is>
      </c>
      <c r="H1856" s="10" t="n">
        <v>60</v>
      </c>
      <c r="I1856" s="10">
        <f>IFERROR(T1856*H1856,0)</f>
        <v/>
      </c>
      <c r="J1856" s="11" t="n">
        <v>46238</v>
      </c>
      <c r="K1856" s="11" t="n">
        <v>46251</v>
      </c>
      <c r="L1856" t="inlineStr">
        <is>
          <t>Ok. Devolvida</t>
        </is>
      </c>
      <c r="M1856">
        <f>IF(L1856="","",IFERROR(VLOOKUP(L1856,mapGrupoStatus,2,0),"Outros"))</f>
        <v/>
      </c>
      <c r="N1856">
        <f>IF(O1856="","",IF(O1856&lt;=30,"0-30 dias",IF(O1856&lt;=60,"31-60 dias",IF(O1856&lt;=90,"61-90 dias","Mais de 90 dias"))))</f>
        <v/>
      </c>
      <c r="O1856">
        <f>IF(OR(M1856="Pendente",M1856="Em andamento"),IF(J1856="","",TODAY()-J1856),"")</f>
        <v/>
      </c>
      <c r="P1856" t="n">
        <v>11741</v>
      </c>
      <c r="Q1856" t="inlineStr">
        <is>
          <t>Clima Refrigeração (11741)</t>
        </is>
      </c>
      <c r="R1856" t="inlineStr">
        <is>
          <t>PC-0046</t>
        </is>
      </c>
      <c r="S1856" t="inlineStr">
        <is>
          <t>Sensor de nível modelo 02</t>
        </is>
      </c>
      <c r="T1856" t="n">
        <v>1</v>
      </c>
      <c r="U1856" t="n">
        <v>138</v>
      </c>
      <c r="V1856">
        <f>IF(J1856="","",MONTH(J1856))</f>
        <v/>
      </c>
      <c r="W1856">
        <f>IF(J1856="","",YEAR(J1856))</f>
        <v/>
      </c>
      <c r="X1856" t="inlineStr">
        <is>
          <t>EntregaJá</t>
        </is>
      </c>
      <c r="Y1856">
        <f>IFERROR(INDEX(Rastreio!$H$2:$H$200,MATCH(X1856&amp;"|"&amp;U1856,Rastreio!$A$2:$A$200,0)),"")</f>
        <v/>
      </c>
    </row>
    <row r="1857">
      <c r="A1857">
        <f>IFERROR(INDEX(STAs!$G$2:$G$61,MATCH(P1857,STAs!$F$2:$F$61,0))&amp;"","")</f>
        <v/>
      </c>
      <c r="B1857" t="n">
        <v>20033483</v>
      </c>
      <c r="C1857" t="inlineStr">
        <is>
          <t>Não</t>
        </is>
      </c>
      <c r="D1857" t="inlineStr">
        <is>
          <t>RR</t>
        </is>
      </c>
      <c r="E1857" t="inlineStr">
        <is>
          <t>NORTE</t>
        </is>
      </c>
      <c r="F1857" t="inlineStr">
        <is>
          <t>Cliente B - Chopeira</t>
        </is>
      </c>
      <c r="G1857" t="inlineStr">
        <is>
          <t>Refrigeradores</t>
        </is>
      </c>
      <c r="H1857" s="10" t="n">
        <v>65</v>
      </c>
      <c r="I1857" s="10">
        <f>IFERROR(T1857*H1857,0)</f>
        <v/>
      </c>
      <c r="J1857" s="11" t="n">
        <v>46238</v>
      </c>
      <c r="K1857" s="11" t="n"/>
      <c r="L1857" t="inlineStr">
        <is>
          <t>Não Devolve-Norte</t>
        </is>
      </c>
      <c r="M1857">
        <f>IF(L1857="","",IFERROR(VLOOKUP(L1857,mapGrupoStatus,2,0),"Outros"))</f>
        <v/>
      </c>
      <c r="N1857">
        <f>IF(O1857="","",IF(O1857&lt;=30,"0-30 dias",IF(O1857&lt;=60,"31-60 dias",IF(O1857&lt;=90,"61-90 dias","Mais de 90 dias"))))</f>
        <v/>
      </c>
      <c r="O1857">
        <f>IF(OR(M1857="Pendente",M1857="Em andamento"),IF(J1857="","",TODAY()-J1857),"")</f>
        <v/>
      </c>
      <c r="P1857" t="n">
        <v>12422</v>
      </c>
      <c r="Q1857" t="inlineStr">
        <is>
          <t>Assistência Técnica Refrigeração (12422)</t>
        </is>
      </c>
      <c r="R1857" t="inlineStr">
        <is>
          <t>PC-0010</t>
        </is>
      </c>
      <c r="S1857" t="inlineStr">
        <is>
          <t>Ventilador modelo 04</t>
        </is>
      </c>
      <c r="T1857" t="n">
        <v>1</v>
      </c>
      <c r="U1857" t="inlineStr"/>
      <c r="V1857">
        <f>IF(J1857="","",MONTH(J1857))</f>
        <v/>
      </c>
      <c r="W1857">
        <f>IF(J1857="","",YEAR(J1857))</f>
        <v/>
      </c>
      <c r="X1857" t="inlineStr"/>
      <c r="Y1857">
        <f>IFERROR(INDEX(Rastreio!$H$2:$H$200,MATCH(X1857&amp;"|"&amp;U1857,Rastreio!$A$2:$A$200,0)),"")</f>
        <v/>
      </c>
    </row>
    <row r="1858">
      <c r="A1858">
        <f>IFERROR(INDEX(STAs!$G$2:$G$61,MATCH(P1858,STAs!$F$2:$F$61,0))&amp;"","")</f>
        <v/>
      </c>
      <c r="B1858" t="n">
        <v>20034948</v>
      </c>
      <c r="C1858" t="inlineStr">
        <is>
          <t>Não</t>
        </is>
      </c>
      <c r="D1858" t="inlineStr">
        <is>
          <t>SP</t>
        </is>
      </c>
      <c r="E1858" t="inlineStr">
        <is>
          <t>SUDESTE SP</t>
        </is>
      </c>
      <c r="F1858" t="inlineStr">
        <is>
          <t>Cliente C - Misturador</t>
        </is>
      </c>
      <c r="G1858" t="inlineStr">
        <is>
          <t>Refrigeradores</t>
        </is>
      </c>
      <c r="H1858" s="10" t="n">
        <v>155</v>
      </c>
      <c r="I1858" s="10">
        <f>IFERROR(T1858*H1858,0)</f>
        <v/>
      </c>
      <c r="J1858" s="11" t="n">
        <v>46238</v>
      </c>
      <c r="K1858" s="11" t="n">
        <v>46267</v>
      </c>
      <c r="L1858" t="inlineStr">
        <is>
          <t>Ok. Devolvida</t>
        </is>
      </c>
      <c r="M1858">
        <f>IF(L1858="","",IFERROR(VLOOKUP(L1858,mapGrupoStatus,2,0),"Outros"))</f>
        <v/>
      </c>
      <c r="N1858">
        <f>IF(O1858="","",IF(O1858&lt;=30,"0-30 dias",IF(O1858&lt;=60,"31-60 dias",IF(O1858&lt;=90,"61-90 dias","Mais de 90 dias"))))</f>
        <v/>
      </c>
      <c r="O1858">
        <f>IF(OR(M1858="Pendente",M1858="Em andamento"),IF(J1858="","",TODAY()-J1858),"")</f>
        <v/>
      </c>
      <c r="P1858" t="n">
        <v>12901</v>
      </c>
      <c r="Q1858" t="inlineStr">
        <is>
          <t>Frio Serviços (12901)</t>
        </is>
      </c>
      <c r="R1858" t="inlineStr">
        <is>
          <t>PC-0022</t>
        </is>
      </c>
      <c r="S1858" t="inlineStr">
        <is>
          <t>Controlador digital modelo 02</t>
        </is>
      </c>
      <c r="T1858" t="n">
        <v>1</v>
      </c>
      <c r="U1858" t="n">
        <v>160</v>
      </c>
      <c r="V1858">
        <f>IF(J1858="","",MONTH(J1858))</f>
        <v/>
      </c>
      <c r="W1858">
        <f>IF(J1858="","",YEAR(J1858))</f>
        <v/>
      </c>
      <c r="X1858" t="inlineStr">
        <is>
          <t>RotaSul</t>
        </is>
      </c>
      <c r="Y1858">
        <f>IFERROR(INDEX(Rastreio!$H$2:$H$200,MATCH(X1858&amp;"|"&amp;U1858,Rastreio!$A$2:$A$200,0)),"")</f>
        <v/>
      </c>
    </row>
    <row r="1859">
      <c r="A1859">
        <f>IFERROR(INDEX(STAs!$G$2:$G$61,MATCH(P1859,STAs!$F$2:$F$61,0))&amp;"","")</f>
        <v/>
      </c>
      <c r="B1859" t="n">
        <v>20033326</v>
      </c>
      <c r="C1859" t="inlineStr">
        <is>
          <t>Não</t>
        </is>
      </c>
      <c r="D1859" t="inlineStr">
        <is>
          <t>RO</t>
        </is>
      </c>
      <c r="E1859" t="inlineStr">
        <is>
          <t>NORTE</t>
        </is>
      </c>
      <c r="F1859" t="inlineStr">
        <is>
          <t>Cliente A - Refrigerador</t>
        </is>
      </c>
      <c r="G1859" t="inlineStr">
        <is>
          <t>Misturadores</t>
        </is>
      </c>
      <c r="H1859" s="10" t="n">
        <v>255</v>
      </c>
      <c r="I1859" s="10">
        <f>IFERROR(T1859*H1859,0)</f>
        <v/>
      </c>
      <c r="J1859" s="11" t="n">
        <v>46239</v>
      </c>
      <c r="K1859" s="11" t="n">
        <v>46296</v>
      </c>
      <c r="L1859" t="inlineStr">
        <is>
          <t>Ok. Devolvida</t>
        </is>
      </c>
      <c r="M1859">
        <f>IF(L1859="","",IFERROR(VLOOKUP(L1859,mapGrupoStatus,2,0),"Outros"))</f>
        <v/>
      </c>
      <c r="N1859">
        <f>IF(O1859="","",IF(O1859&lt;=30,"0-30 dias",IF(O1859&lt;=60,"31-60 dias",IF(O1859&lt;=90,"61-90 dias","Mais de 90 dias"))))</f>
        <v/>
      </c>
      <c r="O1859">
        <f>IF(OR(M1859="Pendente",M1859="Em andamento"),IF(J1859="","",TODAY()-J1859),"")</f>
        <v/>
      </c>
      <c r="P1859" t="n">
        <v>10172</v>
      </c>
      <c r="Q1859" t="inlineStr">
        <is>
          <t>Frigo Serviços (10172)</t>
        </is>
      </c>
      <c r="R1859" t="inlineStr">
        <is>
          <t>PC-0039</t>
        </is>
      </c>
      <c r="S1859" t="inlineStr">
        <is>
          <t>Bomba de recirculação modelo 03</t>
        </is>
      </c>
      <c r="T1859" t="n">
        <v>2</v>
      </c>
      <c r="U1859" t="n">
        <v>160</v>
      </c>
      <c r="V1859">
        <f>IF(J1859="","",MONTH(J1859))</f>
        <v/>
      </c>
      <c r="W1859">
        <f>IF(J1859="","",YEAR(J1859))</f>
        <v/>
      </c>
      <c r="X1859" t="inlineStr">
        <is>
          <t>TransNorte</t>
        </is>
      </c>
      <c r="Y1859">
        <f>IFERROR(INDEX(Rastreio!$H$2:$H$200,MATCH(X1859&amp;"|"&amp;U1859,Rastreio!$A$2:$A$200,0)),"")</f>
        <v/>
      </c>
    </row>
    <row r="1860">
      <c r="A1860">
        <f>IFERROR(INDEX(STAs!$G$2:$G$61,MATCH(P1860,STAs!$F$2:$F$61,0))&amp;"","")</f>
        <v/>
      </c>
      <c r="B1860" t="n">
        <v>20039450</v>
      </c>
      <c r="C1860" t="inlineStr">
        <is>
          <t>Não</t>
        </is>
      </c>
      <c r="D1860" t="inlineStr">
        <is>
          <t>RR</t>
        </is>
      </c>
      <c r="E1860" t="inlineStr">
        <is>
          <t>NORTE</t>
        </is>
      </c>
      <c r="F1860" t="inlineStr">
        <is>
          <t>Cliente A - Refrigerador</t>
        </is>
      </c>
      <c r="G1860" t="inlineStr">
        <is>
          <t>Refrigeradores</t>
        </is>
      </c>
      <c r="H1860" s="10" t="n">
        <v>30</v>
      </c>
      <c r="I1860" s="10">
        <f>IFERROR(T1860*H1860,0)</f>
        <v/>
      </c>
      <c r="J1860" s="11" t="n">
        <v>46239</v>
      </c>
      <c r="K1860" s="11" t="n"/>
      <c r="L1860" t="inlineStr">
        <is>
          <t>Aguardando Transporte</t>
        </is>
      </c>
      <c r="M1860">
        <f>IF(L1860="","",IFERROR(VLOOKUP(L1860,mapGrupoStatus,2,0),"Outros"))</f>
        <v/>
      </c>
      <c r="N1860">
        <f>IF(O1860="","",IF(O1860&lt;=30,"0-30 dias",IF(O1860&lt;=60,"31-60 dias",IF(O1860&lt;=90,"61-90 dias","Mais de 90 dias"))))</f>
        <v/>
      </c>
      <c r="O1860">
        <f>IF(OR(M1860="Pendente",M1860="Em andamento"),IF(J1860="","",TODAY()-J1860),"")</f>
        <v/>
      </c>
      <c r="P1860" t="n">
        <v>10468</v>
      </c>
      <c r="Q1860" t="inlineStr">
        <is>
          <t>Clima Express (10468)</t>
        </is>
      </c>
      <c r="R1860" t="inlineStr">
        <is>
          <t>PC-0025</t>
        </is>
      </c>
      <c r="S1860" t="inlineStr">
        <is>
          <t>Relé de partida modelo 03</t>
        </is>
      </c>
      <c r="T1860" t="n">
        <v>1</v>
      </c>
      <c r="U1860" t="n">
        <v>157</v>
      </c>
      <c r="V1860">
        <f>IF(J1860="","",MONTH(J1860))</f>
        <v/>
      </c>
      <c r="W1860">
        <f>IF(J1860="","",YEAR(J1860))</f>
        <v/>
      </c>
      <c r="X1860" t="inlineStr">
        <is>
          <t>EntregaJá</t>
        </is>
      </c>
      <c r="Y1860">
        <f>IFERROR(INDEX(Rastreio!$H$2:$H$200,MATCH(X1860&amp;"|"&amp;U1860,Rastreio!$A$2:$A$200,0)),"")</f>
        <v/>
      </c>
    </row>
    <row r="1861">
      <c r="A1861">
        <f>IFERROR(INDEX(STAs!$G$2:$G$61,MATCH(P1861,STAs!$F$2:$F$61,0))&amp;"","")</f>
        <v/>
      </c>
      <c r="B1861" t="n">
        <v>20001013</v>
      </c>
      <c r="C1861" t="inlineStr">
        <is>
          <t>Não</t>
        </is>
      </c>
      <c r="D1861" t="inlineStr">
        <is>
          <t>SP</t>
        </is>
      </c>
      <c r="E1861" t="inlineStr">
        <is>
          <t>SUDESTE SP</t>
        </is>
      </c>
      <c r="F1861" t="inlineStr">
        <is>
          <t>Cliente C - Misturador</t>
        </is>
      </c>
      <c r="G1861" t="inlineStr">
        <is>
          <t>Refrigeradores</t>
        </is>
      </c>
      <c r="H1861" s="10" t="n">
        <v>30</v>
      </c>
      <c r="I1861" s="10">
        <f>IFERROR(T1861*H1861,0)</f>
        <v/>
      </c>
      <c r="J1861" s="11" t="n">
        <v>46240</v>
      </c>
      <c r="K1861" s="11" t="n"/>
      <c r="L1861" t="inlineStr">
        <is>
          <t>Aguardando devolução</t>
        </is>
      </c>
      <c r="M1861">
        <f>IF(L1861="","",IFERROR(VLOOKUP(L1861,mapGrupoStatus,2,0),"Outros"))</f>
        <v/>
      </c>
      <c r="N1861">
        <f>IF(O1861="","",IF(O1861&lt;=30,"0-30 dias",IF(O1861&lt;=60,"31-60 dias",IF(O1861&lt;=90,"61-90 dias","Mais de 90 dias"))))</f>
        <v/>
      </c>
      <c r="O1861">
        <f>IF(OR(M1861="Pendente",M1861="Em andamento"),IF(J1861="","",TODAY()-J1861),"")</f>
        <v/>
      </c>
      <c r="P1861" t="n">
        <v>12901</v>
      </c>
      <c r="Q1861" t="inlineStr">
        <is>
          <t>Frio Serviços (12901)</t>
        </is>
      </c>
      <c r="R1861" t="inlineStr">
        <is>
          <t>PC-0025</t>
        </is>
      </c>
      <c r="S1861" t="inlineStr">
        <is>
          <t>Relé de partida modelo 03</t>
        </is>
      </c>
      <c r="T1861" t="n">
        <v>3</v>
      </c>
      <c r="U1861" t="inlineStr"/>
      <c r="V1861">
        <f>IF(J1861="","",MONTH(J1861))</f>
        <v/>
      </c>
      <c r="W1861">
        <f>IF(J1861="","",YEAR(J1861))</f>
        <v/>
      </c>
      <c r="X1861" t="inlineStr"/>
      <c r="Y1861">
        <f>IFERROR(INDEX(Rastreio!$H$2:$H$200,MATCH(X1861&amp;"|"&amp;U1861,Rastreio!$A$2:$A$200,0)),"")</f>
        <v/>
      </c>
    </row>
    <row r="1862">
      <c r="A1862">
        <f>IFERROR(INDEX(STAs!$G$2:$G$61,MATCH(P1862,STAs!$F$2:$F$61,0))&amp;"","")</f>
        <v/>
      </c>
      <c r="B1862" t="n">
        <v>20006980</v>
      </c>
      <c r="C1862" t="inlineStr">
        <is>
          <t>Não</t>
        </is>
      </c>
      <c r="D1862" t="inlineStr">
        <is>
          <t>PB</t>
        </is>
      </c>
      <c r="E1862" t="inlineStr">
        <is>
          <t>NORDESTE</t>
        </is>
      </c>
      <c r="F1862" t="inlineStr">
        <is>
          <t>Cliente A - Refrigerador</t>
        </is>
      </c>
      <c r="G1862" t="inlineStr">
        <is>
          <t>Refrigeradores</t>
        </is>
      </c>
      <c r="H1862" s="10" t="n">
        <v>40</v>
      </c>
      <c r="I1862" s="10">
        <f>IFERROR(T1862*H1862,0)</f>
        <v/>
      </c>
      <c r="J1862" s="11" t="n">
        <v>46240</v>
      </c>
      <c r="K1862" s="11" t="n"/>
      <c r="L1862" t="inlineStr">
        <is>
          <t>Não Devolve-Norte</t>
        </is>
      </c>
      <c r="M1862">
        <f>IF(L1862="","",IFERROR(VLOOKUP(L1862,mapGrupoStatus,2,0),"Outros"))</f>
        <v/>
      </c>
      <c r="N1862">
        <f>IF(O1862="","",IF(O1862&lt;=30,"0-30 dias",IF(O1862&lt;=60,"31-60 dias",IF(O1862&lt;=90,"61-90 dias","Mais de 90 dias"))))</f>
        <v/>
      </c>
      <c r="O1862">
        <f>IF(OR(M1862="Pendente",M1862="Em andamento"),IF(J1862="","",TODAY()-J1862),"")</f>
        <v/>
      </c>
      <c r="P1862" t="n">
        <v>11741</v>
      </c>
      <c r="Q1862" t="inlineStr">
        <is>
          <t>Clima Refrigeração (11741)</t>
        </is>
      </c>
      <c r="R1862" t="inlineStr">
        <is>
          <t>PC-0004</t>
        </is>
      </c>
      <c r="S1862" t="inlineStr">
        <is>
          <t>Termostato modelo 01</t>
        </is>
      </c>
      <c r="T1862" t="n">
        <v>1</v>
      </c>
      <c r="U1862" t="inlineStr"/>
      <c r="V1862">
        <f>IF(J1862="","",MONTH(J1862))</f>
        <v/>
      </c>
      <c r="W1862">
        <f>IF(J1862="","",YEAR(J1862))</f>
        <v/>
      </c>
      <c r="X1862" t="inlineStr"/>
      <c r="Y1862">
        <f>IFERROR(INDEX(Rastreio!$H$2:$H$200,MATCH(X1862&amp;"|"&amp;U1862,Rastreio!$A$2:$A$200,0)),"")</f>
        <v/>
      </c>
    </row>
    <row r="1863">
      <c r="A1863">
        <f>IFERROR(INDEX(STAs!$G$2:$G$61,MATCH(P1863,STAs!$F$2:$F$61,0))&amp;"","")</f>
        <v/>
      </c>
      <c r="B1863" t="n">
        <v>20023525</v>
      </c>
      <c r="C1863" t="inlineStr">
        <is>
          <t>Não</t>
        </is>
      </c>
      <c r="D1863" t="inlineStr">
        <is>
          <t>MG</t>
        </is>
      </c>
      <c r="E1863" t="inlineStr">
        <is>
          <t>SUDESTE MG</t>
        </is>
      </c>
      <c r="F1863" t="inlineStr">
        <is>
          <t>Cliente A - Refrigerador</t>
        </is>
      </c>
      <c r="G1863" t="inlineStr">
        <is>
          <t>Refrigeradores</t>
        </is>
      </c>
      <c r="H1863" s="10" t="n">
        <v>190</v>
      </c>
      <c r="I1863" s="10">
        <f>IFERROR(T1863*H1863,0)</f>
        <v/>
      </c>
      <c r="J1863" s="11" t="n">
        <v>46240</v>
      </c>
      <c r="K1863" s="11" t="n"/>
      <c r="L1863" t="inlineStr">
        <is>
          <t>Aguardando devolução</t>
        </is>
      </c>
      <c r="M1863">
        <f>IF(L1863="","",IFERROR(VLOOKUP(L1863,mapGrupoStatus,2,0),"Outros"))</f>
        <v/>
      </c>
      <c r="N1863">
        <f>IF(O1863="","",IF(O1863&lt;=30,"0-30 dias",IF(O1863&lt;=60,"31-60 dias",IF(O1863&lt;=90,"61-90 dias","Mais de 90 dias"))))</f>
        <v/>
      </c>
      <c r="O1863">
        <f>IF(OR(M1863="Pendente",M1863="Em andamento"),IF(J1863="","",TODAY()-J1863),"")</f>
        <v/>
      </c>
      <c r="P1863" t="n">
        <v>11619</v>
      </c>
      <c r="Q1863" t="inlineStr">
        <is>
          <t>Refrigeração Ltda (11619)</t>
        </is>
      </c>
      <c r="R1863" t="inlineStr">
        <is>
          <t>PC-0014</t>
        </is>
      </c>
      <c r="S1863" t="inlineStr">
        <is>
          <t>Placa eletrônica modelo 04</t>
        </is>
      </c>
      <c r="T1863" t="n">
        <v>1</v>
      </c>
      <c r="U1863" t="inlineStr"/>
      <c r="V1863">
        <f>IF(J1863="","",MONTH(J1863))</f>
        <v/>
      </c>
      <c r="W1863">
        <f>IF(J1863="","",YEAR(J1863))</f>
        <v/>
      </c>
      <c r="X1863" t="inlineStr"/>
      <c r="Y1863">
        <f>IFERROR(INDEX(Rastreio!$H$2:$H$200,MATCH(X1863&amp;"|"&amp;U1863,Rastreio!$A$2:$A$200,0)),"")</f>
        <v/>
      </c>
    </row>
    <row r="1864">
      <c r="A1864">
        <f>IFERROR(INDEX(STAs!$G$2:$G$61,MATCH(P1864,STAs!$F$2:$F$61,0))&amp;"","")</f>
        <v/>
      </c>
      <c r="B1864" t="n">
        <v>20030977</v>
      </c>
      <c r="C1864" t="inlineStr">
        <is>
          <t>Não</t>
        </is>
      </c>
      <c r="D1864" t="inlineStr">
        <is>
          <t>PB</t>
        </is>
      </c>
      <c r="E1864" t="inlineStr">
        <is>
          <t>NORDESTE</t>
        </is>
      </c>
      <c r="F1864" t="inlineStr">
        <is>
          <t>Cliente A - Refrigerador</t>
        </is>
      </c>
      <c r="G1864" t="inlineStr">
        <is>
          <t>Refrigeradores</t>
        </is>
      </c>
      <c r="H1864" s="10" t="n">
        <v>70</v>
      </c>
      <c r="I1864" s="10">
        <f>IFERROR(T1864*H1864,0)</f>
        <v/>
      </c>
      <c r="J1864" s="11" t="n">
        <v>46240</v>
      </c>
      <c r="K1864" s="11" t="n">
        <v>46248</v>
      </c>
      <c r="L1864" t="inlineStr">
        <is>
          <t>Ok. Devolvida</t>
        </is>
      </c>
      <c r="M1864">
        <f>IF(L1864="","",IFERROR(VLOOKUP(L1864,mapGrupoStatus,2,0),"Outros"))</f>
        <v/>
      </c>
      <c r="N1864">
        <f>IF(O1864="","",IF(O1864&lt;=30,"0-30 dias",IF(O1864&lt;=60,"31-60 dias",IF(O1864&lt;=90,"61-90 dias","Mais de 90 dias"))))</f>
        <v/>
      </c>
      <c r="O1864">
        <f>IF(OR(M1864="Pendente",M1864="Em andamento"),IF(J1864="","",TODAY()-J1864),"")</f>
        <v/>
      </c>
      <c r="P1864" t="n">
        <v>11741</v>
      </c>
      <c r="Q1864" t="inlineStr">
        <is>
          <t>Clima Refrigeração (11741)</t>
        </is>
      </c>
      <c r="R1864" t="inlineStr">
        <is>
          <t>PC-0009</t>
        </is>
      </c>
      <c r="S1864" t="inlineStr">
        <is>
          <t>Ventilador modelo 03</t>
        </is>
      </c>
      <c r="T1864" t="n">
        <v>2</v>
      </c>
      <c r="U1864" t="n">
        <v>158</v>
      </c>
      <c r="V1864">
        <f>IF(J1864="","",MONTH(J1864))</f>
        <v/>
      </c>
      <c r="W1864">
        <f>IF(J1864="","",YEAR(J1864))</f>
        <v/>
      </c>
      <c r="X1864" t="inlineStr">
        <is>
          <t>LogExpress</t>
        </is>
      </c>
      <c r="Y1864">
        <f>IFERROR(INDEX(Rastreio!$H$2:$H$200,MATCH(X1864&amp;"|"&amp;U1864,Rastreio!$A$2:$A$200,0)),"")</f>
        <v/>
      </c>
    </row>
    <row r="1865">
      <c r="A1865">
        <f>IFERROR(INDEX(STAs!$G$2:$G$61,MATCH(P1865,STAs!$F$2:$F$61,0))&amp;"","")</f>
        <v/>
      </c>
      <c r="B1865" t="n">
        <v>20016285</v>
      </c>
      <c r="C1865" t="inlineStr">
        <is>
          <t>Sim</t>
        </is>
      </c>
      <c r="D1865" t="inlineStr">
        <is>
          <t>CE</t>
        </is>
      </c>
      <c r="E1865" t="inlineStr">
        <is>
          <t>NORDESTE</t>
        </is>
      </c>
      <c r="F1865" t="inlineStr">
        <is>
          <t>Cliente C - Misturador</t>
        </is>
      </c>
      <c r="G1865" t="inlineStr">
        <is>
          <t>Chopeiras</t>
        </is>
      </c>
      <c r="H1865" s="10" t="n">
        <v>85</v>
      </c>
      <c r="I1865" s="10">
        <f>IFERROR(T1865*H1865,0)</f>
        <v/>
      </c>
      <c r="J1865" s="11" t="n">
        <v>46241</v>
      </c>
      <c r="K1865" s="11" t="n">
        <v>46268</v>
      </c>
      <c r="L1865" t="inlineStr">
        <is>
          <t>Ok. Devolvida</t>
        </is>
      </c>
      <c r="M1865">
        <f>IF(L1865="","",IFERROR(VLOOKUP(L1865,mapGrupoStatus,2,0),"Outros"))</f>
        <v/>
      </c>
      <c r="N1865">
        <f>IF(O1865="","",IF(O1865&lt;=30,"0-30 dias",IF(O1865&lt;=60,"31-60 dias",IF(O1865&lt;=90,"61-90 dias","Mais de 90 dias"))))</f>
        <v/>
      </c>
      <c r="O1865">
        <f>IF(OR(M1865="Pendente",M1865="Em andamento"),IF(J1865="","",TODAY()-J1865),"")</f>
        <v/>
      </c>
      <c r="P1865" t="n">
        <v>10615</v>
      </c>
      <c r="Q1865" t="inlineStr">
        <is>
          <t>Brisa Técnica (10615)</t>
        </is>
      </c>
      <c r="R1865" t="inlineStr">
        <is>
          <t>PC-0036</t>
        </is>
      </c>
      <c r="S1865" t="inlineStr">
        <is>
          <t>Válvula extratora modelo 02</t>
        </is>
      </c>
      <c r="T1865" t="n">
        <v>3</v>
      </c>
      <c r="U1865" t="n">
        <v>125</v>
      </c>
      <c r="V1865">
        <f>IF(J1865="","",MONTH(J1865))</f>
        <v/>
      </c>
      <c r="W1865">
        <f>IF(J1865="","",YEAR(J1865))</f>
        <v/>
      </c>
      <c r="X1865" t="inlineStr">
        <is>
          <t>TransNorte</t>
        </is>
      </c>
      <c r="Y1865">
        <f>IFERROR(INDEX(Rastreio!$H$2:$H$200,MATCH(X1865&amp;"|"&amp;U1865,Rastreio!$A$2:$A$200,0)),"")</f>
        <v/>
      </c>
    </row>
    <row r="1866">
      <c r="A1866">
        <f>IFERROR(INDEX(STAs!$G$2:$G$61,MATCH(P1866,STAs!$F$2:$F$61,0))&amp;"","")</f>
        <v/>
      </c>
      <c r="B1866" t="n">
        <v>20018743</v>
      </c>
      <c r="C1866" t="inlineStr">
        <is>
          <t>Não</t>
        </is>
      </c>
      <c r="D1866" t="inlineStr">
        <is>
          <t>AP</t>
        </is>
      </c>
      <c r="E1866" t="inlineStr">
        <is>
          <t>NORTE</t>
        </is>
      </c>
      <c r="F1866" t="inlineStr">
        <is>
          <t>Cliente A - Refrigerador</t>
        </is>
      </c>
      <c r="G1866" t="inlineStr">
        <is>
          <t>Refrigeradores</t>
        </is>
      </c>
      <c r="H1866" s="10" t="n">
        <v>70</v>
      </c>
      <c r="I1866" s="10">
        <f>IFERROR(T1866*H1866,0)</f>
        <v/>
      </c>
      <c r="J1866" s="11" t="n">
        <v>46241</v>
      </c>
      <c r="K1866" s="11" t="n"/>
      <c r="L1866" t="inlineStr">
        <is>
          <t>Não Devolve-Norte</t>
        </is>
      </c>
      <c r="M1866">
        <f>IF(L1866="","",IFERROR(VLOOKUP(L1866,mapGrupoStatus,2,0),"Outros"))</f>
        <v/>
      </c>
      <c r="N1866">
        <f>IF(O1866="","",IF(O1866&lt;=30,"0-30 dias",IF(O1866&lt;=60,"31-60 dias",IF(O1866&lt;=90,"61-90 dias","Mais de 90 dias"))))</f>
        <v/>
      </c>
      <c r="O1866">
        <f>IF(OR(M1866="Pendente",M1866="Em andamento"),IF(J1866="","",TODAY()-J1866),"")</f>
        <v/>
      </c>
      <c r="P1866" t="n">
        <v>11859</v>
      </c>
      <c r="Q1866" t="inlineStr">
        <is>
          <t>Ice Tech Serviços (11859)</t>
        </is>
      </c>
      <c r="R1866" t="inlineStr">
        <is>
          <t>PC-0009</t>
        </is>
      </c>
      <c r="S1866" t="inlineStr">
        <is>
          <t>Ventilador modelo 03</t>
        </is>
      </c>
      <c r="T1866" t="n">
        <v>1</v>
      </c>
      <c r="U1866" t="inlineStr"/>
      <c r="V1866">
        <f>IF(J1866="","",MONTH(J1866))</f>
        <v/>
      </c>
      <c r="W1866">
        <f>IF(J1866="","",YEAR(J1866))</f>
        <v/>
      </c>
      <c r="X1866" t="inlineStr"/>
      <c r="Y1866">
        <f>IFERROR(INDEX(Rastreio!$H$2:$H$200,MATCH(X1866&amp;"|"&amp;U1866,Rastreio!$A$2:$A$200,0)),"")</f>
        <v/>
      </c>
    </row>
    <row r="1867">
      <c r="A1867">
        <f>IFERROR(INDEX(STAs!$G$2:$G$61,MATCH(P1867,STAs!$F$2:$F$61,0))&amp;"","")</f>
        <v/>
      </c>
      <c r="B1867" t="n">
        <v>20029155</v>
      </c>
      <c r="C1867" t="inlineStr">
        <is>
          <t>Não</t>
        </is>
      </c>
      <c r="D1867" t="inlineStr">
        <is>
          <t>SP</t>
        </is>
      </c>
      <c r="E1867" t="inlineStr">
        <is>
          <t>SUDESTE SP</t>
        </is>
      </c>
      <c r="F1867" t="inlineStr">
        <is>
          <t>Cliente A - Refrigerador</t>
        </is>
      </c>
      <c r="G1867" t="inlineStr">
        <is>
          <t>Misturadores</t>
        </is>
      </c>
      <c r="H1867" s="10" t="n">
        <v>50</v>
      </c>
      <c r="I1867" s="10">
        <f>IFERROR(T1867*H1867,0)</f>
        <v/>
      </c>
      <c r="J1867" s="11" t="n">
        <v>46241</v>
      </c>
      <c r="K1867" s="11" t="n">
        <v>46262</v>
      </c>
      <c r="L1867" t="inlineStr">
        <is>
          <t>Ok. Devolvida</t>
        </is>
      </c>
      <c r="M1867">
        <f>IF(L1867="","",IFERROR(VLOOKUP(L1867,mapGrupoStatus,2,0),"Outros"))</f>
        <v/>
      </c>
      <c r="N1867">
        <f>IF(O1867="","",IF(O1867&lt;=30,"0-30 dias",IF(O1867&lt;=60,"31-60 dias",IF(O1867&lt;=90,"61-90 dias","Mais de 90 dias"))))</f>
        <v/>
      </c>
      <c r="O1867">
        <f>IF(OR(M1867="Pendente",M1867="Em andamento"),IF(J1867="","",TODAY()-J1867),"")</f>
        <v/>
      </c>
      <c r="P1867" t="n">
        <v>11365</v>
      </c>
      <c r="Q1867" t="inlineStr">
        <is>
          <t>Ártico Express (11365)</t>
        </is>
      </c>
      <c r="R1867" t="inlineStr">
        <is>
          <t>PC-0044</t>
        </is>
      </c>
      <c r="S1867" t="inlineStr">
        <is>
          <t>Bico dosador modelo 03</t>
        </is>
      </c>
      <c r="T1867" t="n">
        <v>1</v>
      </c>
      <c r="U1867" t="n">
        <v>145</v>
      </c>
      <c r="V1867">
        <f>IF(J1867="","",MONTH(J1867))</f>
        <v/>
      </c>
      <c r="W1867">
        <f>IF(J1867="","",YEAR(J1867))</f>
        <v/>
      </c>
      <c r="X1867" t="inlineStr">
        <is>
          <t>ViaCargo</t>
        </is>
      </c>
      <c r="Y1867">
        <f>IFERROR(INDEX(Rastreio!$H$2:$H$200,MATCH(X1867&amp;"|"&amp;U1867,Rastreio!$A$2:$A$200,0)),"")</f>
        <v/>
      </c>
    </row>
    <row r="1868">
      <c r="A1868">
        <f>IFERROR(INDEX(STAs!$G$2:$G$61,MATCH(P1868,STAs!$F$2:$F$61,0))&amp;"","")</f>
        <v/>
      </c>
      <c r="B1868" t="n">
        <v>20030379</v>
      </c>
      <c r="C1868" t="inlineStr">
        <is>
          <t>Não</t>
        </is>
      </c>
      <c r="D1868" t="inlineStr">
        <is>
          <t>RR</t>
        </is>
      </c>
      <c r="E1868" t="inlineStr">
        <is>
          <t>NORTE</t>
        </is>
      </c>
      <c r="F1868" t="inlineStr">
        <is>
          <t>Cliente A - Refrigerador</t>
        </is>
      </c>
      <c r="G1868" t="inlineStr">
        <is>
          <t>Chopeiras</t>
        </is>
      </c>
      <c r="H1868" s="10" t="n">
        <v>210</v>
      </c>
      <c r="I1868" s="10">
        <f>IFERROR(T1868*H1868,0)</f>
        <v/>
      </c>
      <c r="J1868" s="11" t="n">
        <v>46241</v>
      </c>
      <c r="K1868" s="11" t="n"/>
      <c r="L1868" t="inlineStr">
        <is>
          <t>Não Devolve-Norte</t>
        </is>
      </c>
      <c r="M1868">
        <f>IF(L1868="","",IFERROR(VLOOKUP(L1868,mapGrupoStatus,2,0),"Outros"))</f>
        <v/>
      </c>
      <c r="N1868">
        <f>IF(O1868="","",IF(O1868&lt;=30,"0-30 dias",IF(O1868&lt;=60,"31-60 dias",IF(O1868&lt;=90,"61-90 dias","Mais de 90 dias"))))</f>
        <v/>
      </c>
      <c r="O1868">
        <f>IF(OR(M1868="Pendente",M1868="Em andamento"),IF(J1868="","",TODAY()-J1868),"")</f>
        <v/>
      </c>
      <c r="P1868" t="n">
        <v>12422</v>
      </c>
      <c r="Q1868" t="inlineStr">
        <is>
          <t>Assistência Técnica Refrigeração (12422)</t>
        </is>
      </c>
      <c r="R1868" t="inlineStr">
        <is>
          <t>PC-0029</t>
        </is>
      </c>
      <c r="S1868" t="inlineStr">
        <is>
          <t>Serpentina modelo 01</t>
        </is>
      </c>
      <c r="T1868" t="n">
        <v>1</v>
      </c>
      <c r="U1868" t="inlineStr"/>
      <c r="V1868">
        <f>IF(J1868="","",MONTH(J1868))</f>
        <v/>
      </c>
      <c r="W1868">
        <f>IF(J1868="","",YEAR(J1868))</f>
        <v/>
      </c>
      <c r="X1868" t="inlineStr"/>
      <c r="Y1868">
        <f>IFERROR(INDEX(Rastreio!$H$2:$H$200,MATCH(X1868&amp;"|"&amp;U1868,Rastreio!$A$2:$A$200,0)),"")</f>
        <v/>
      </c>
    </row>
    <row r="1869">
      <c r="A1869">
        <f>IFERROR(INDEX(STAs!$G$2:$G$61,MATCH(P1869,STAs!$F$2:$F$61,0))&amp;"","")</f>
        <v/>
      </c>
      <c r="B1869" t="n">
        <v>20031754</v>
      </c>
      <c r="C1869" t="inlineStr">
        <is>
          <t>Não</t>
        </is>
      </c>
      <c r="D1869" t="inlineStr">
        <is>
          <t>BA</t>
        </is>
      </c>
      <c r="E1869" t="inlineStr">
        <is>
          <t>NORDESTE</t>
        </is>
      </c>
      <c r="F1869" t="inlineStr">
        <is>
          <t>Cliente C - Misturador</t>
        </is>
      </c>
      <c r="G1869" t="inlineStr">
        <is>
          <t>Misturadores</t>
        </is>
      </c>
      <c r="H1869" s="10" t="n">
        <v>185</v>
      </c>
      <c r="I1869" s="10">
        <f>IFERROR(T1869*H1869,0)</f>
        <v/>
      </c>
      <c r="J1869" s="11" t="n">
        <v>46241</v>
      </c>
      <c r="K1869" s="11" t="n"/>
      <c r="L1869" t="inlineStr">
        <is>
          <t>NF Vencida</t>
        </is>
      </c>
      <c r="M1869">
        <f>IF(L1869="","",IFERROR(VLOOKUP(L1869,mapGrupoStatus,2,0),"Outros"))</f>
        <v/>
      </c>
      <c r="N1869">
        <f>IF(O1869="","",IF(O1869&lt;=30,"0-30 dias",IF(O1869&lt;=60,"31-60 dias",IF(O1869&lt;=90,"61-90 dias","Mais de 90 dias"))))</f>
        <v/>
      </c>
      <c r="O1869">
        <f>IF(OR(M1869="Pendente",M1869="Em andamento"),IF(J1869="","",TODAY()-J1869),"")</f>
        <v/>
      </c>
      <c r="P1869" t="n">
        <v>11244</v>
      </c>
      <c r="Q1869" t="inlineStr">
        <is>
          <t>Refrigeração Manutenção (11244)</t>
        </is>
      </c>
      <c r="R1869" t="inlineStr">
        <is>
          <t>PC-0041</t>
        </is>
      </c>
      <c r="S1869" t="inlineStr">
        <is>
          <t>Motor agitador modelo 02</t>
        </is>
      </c>
      <c r="T1869" t="n">
        <v>1</v>
      </c>
      <c r="U1869" t="inlineStr"/>
      <c r="V1869">
        <f>IF(J1869="","",MONTH(J1869))</f>
        <v/>
      </c>
      <c r="W1869">
        <f>IF(J1869="","",YEAR(J1869))</f>
        <v/>
      </c>
      <c r="X1869" t="inlineStr"/>
      <c r="Y1869">
        <f>IFERROR(INDEX(Rastreio!$H$2:$H$200,MATCH(X1869&amp;"|"&amp;U1869,Rastreio!$A$2:$A$200,0)),"")</f>
        <v/>
      </c>
    </row>
    <row r="1870">
      <c r="A1870">
        <f>IFERROR(INDEX(STAs!$G$2:$G$61,MATCH(P1870,STAs!$F$2:$F$61,0))&amp;"","")</f>
        <v/>
      </c>
      <c r="B1870" t="n">
        <v>20036606</v>
      </c>
      <c r="C1870" t="inlineStr">
        <is>
          <t>Não</t>
        </is>
      </c>
      <c r="D1870" t="inlineStr">
        <is>
          <t>RS</t>
        </is>
      </c>
      <c r="E1870" t="inlineStr">
        <is>
          <t>SUL</t>
        </is>
      </c>
      <c r="F1870" t="inlineStr">
        <is>
          <t>Cliente C - Misturador</t>
        </is>
      </c>
      <c r="G1870" t="inlineStr">
        <is>
          <t>Refrigeradores</t>
        </is>
      </c>
      <c r="H1870" s="10" t="n">
        <v>190</v>
      </c>
      <c r="I1870" s="10">
        <f>IFERROR(T1870*H1870,0)</f>
        <v/>
      </c>
      <c r="J1870" s="11" t="n">
        <v>46241</v>
      </c>
      <c r="K1870" s="11" t="n">
        <v>46252</v>
      </c>
      <c r="L1870" t="inlineStr">
        <is>
          <t>Ok. Devolvida</t>
        </is>
      </c>
      <c r="M1870">
        <f>IF(L1870="","",IFERROR(VLOOKUP(L1870,mapGrupoStatus,2,0),"Outros"))</f>
        <v/>
      </c>
      <c r="N1870">
        <f>IF(O1870="","",IF(O1870&lt;=30,"0-30 dias",IF(O1870&lt;=60,"31-60 dias",IF(O1870&lt;=90,"61-90 dias","Mais de 90 dias"))))</f>
        <v/>
      </c>
      <c r="O1870">
        <f>IF(OR(M1870="Pendente",M1870="Em andamento"),IF(J1870="","",TODAY()-J1870),"")</f>
        <v/>
      </c>
      <c r="P1870" t="n">
        <v>12617</v>
      </c>
      <c r="Q1870" t="inlineStr">
        <is>
          <t>Gelo Manutenção (12617)</t>
        </is>
      </c>
      <c r="R1870" t="inlineStr">
        <is>
          <t>PC-0011</t>
        </is>
      </c>
      <c r="S1870" t="inlineStr">
        <is>
          <t>Placa eletrônica modelo 01</t>
        </is>
      </c>
      <c r="T1870" t="n">
        <v>1</v>
      </c>
      <c r="U1870" t="n">
        <v>165</v>
      </c>
      <c r="V1870">
        <f>IF(J1870="","",MONTH(J1870))</f>
        <v/>
      </c>
      <c r="W1870">
        <f>IF(J1870="","",YEAR(J1870))</f>
        <v/>
      </c>
      <c r="X1870" t="inlineStr">
        <is>
          <t>LogExpress</t>
        </is>
      </c>
      <c r="Y1870">
        <f>IFERROR(INDEX(Rastreio!$H$2:$H$200,MATCH(X1870&amp;"|"&amp;U1870,Rastreio!$A$2:$A$200,0)),"")</f>
        <v/>
      </c>
    </row>
    <row r="1871">
      <c r="A1871">
        <f>IFERROR(INDEX(STAs!$G$2:$G$61,MATCH(P1871,STAs!$F$2:$F$61,0))&amp;"","")</f>
        <v/>
      </c>
      <c r="B1871" t="n">
        <v>20003208</v>
      </c>
      <c r="C1871" t="inlineStr">
        <is>
          <t>Não</t>
        </is>
      </c>
      <c r="D1871" t="inlineStr">
        <is>
          <t>RR</t>
        </is>
      </c>
      <c r="E1871" t="inlineStr">
        <is>
          <t>NORTE</t>
        </is>
      </c>
      <c r="F1871" t="inlineStr">
        <is>
          <t>Cliente C - Misturador</t>
        </is>
      </c>
      <c r="G1871" t="inlineStr">
        <is>
          <t>Misturadores</t>
        </is>
      </c>
      <c r="H1871" s="10" t="n">
        <v>50</v>
      </c>
      <c r="I1871" s="10">
        <f>IFERROR(T1871*H1871,0)</f>
        <v/>
      </c>
      <c r="J1871" s="11" t="n">
        <v>46242</v>
      </c>
      <c r="K1871" s="11" t="n"/>
      <c r="L1871" t="inlineStr">
        <is>
          <t>Não Devolve-Norte</t>
        </is>
      </c>
      <c r="M1871">
        <f>IF(L1871="","",IFERROR(VLOOKUP(L1871,mapGrupoStatus,2,0),"Outros"))</f>
        <v/>
      </c>
      <c r="N1871">
        <f>IF(O1871="","",IF(O1871&lt;=30,"0-30 dias",IF(O1871&lt;=60,"31-60 dias",IF(O1871&lt;=90,"61-90 dias","Mais de 90 dias"))))</f>
        <v/>
      </c>
      <c r="O1871">
        <f>IF(OR(M1871="Pendente",M1871="Em andamento"),IF(J1871="","",TODAY()-J1871),"")</f>
        <v/>
      </c>
      <c r="P1871" t="n">
        <v>12422</v>
      </c>
      <c r="Q1871" t="inlineStr">
        <is>
          <t>Assistência Técnica Refrigeração (12422)</t>
        </is>
      </c>
      <c r="R1871" t="inlineStr">
        <is>
          <t>PC-0044</t>
        </is>
      </c>
      <c r="S1871" t="inlineStr">
        <is>
          <t>Bico dosador modelo 03</t>
        </is>
      </c>
      <c r="T1871" t="n">
        <v>1</v>
      </c>
      <c r="U1871" t="inlineStr"/>
      <c r="V1871">
        <f>IF(J1871="","",MONTH(J1871))</f>
        <v/>
      </c>
      <c r="W1871">
        <f>IF(J1871="","",YEAR(J1871))</f>
        <v/>
      </c>
      <c r="X1871" t="inlineStr"/>
      <c r="Y1871">
        <f>IFERROR(INDEX(Rastreio!$H$2:$H$200,MATCH(X1871&amp;"|"&amp;U1871,Rastreio!$A$2:$A$200,0)),"")</f>
        <v/>
      </c>
    </row>
    <row r="1872">
      <c r="A1872">
        <f>IFERROR(INDEX(STAs!$G$2:$G$61,MATCH(P1872,STAs!$F$2:$F$61,0))&amp;"","")</f>
        <v/>
      </c>
      <c r="B1872" t="n">
        <v>20019253</v>
      </c>
      <c r="C1872" t="inlineStr">
        <is>
          <t>Não</t>
        </is>
      </c>
      <c r="D1872" t="inlineStr">
        <is>
          <t>TO</t>
        </is>
      </c>
      <c r="E1872" t="inlineStr">
        <is>
          <t>NORTE</t>
        </is>
      </c>
      <c r="F1872" t="inlineStr">
        <is>
          <t>Cliente A - Refrigerador</t>
        </is>
      </c>
      <c r="G1872" t="inlineStr">
        <is>
          <t>Misturadores</t>
        </is>
      </c>
      <c r="H1872" s="10" t="n">
        <v>50</v>
      </c>
      <c r="I1872" s="10">
        <f>IFERROR(T1872*H1872,0)</f>
        <v/>
      </c>
      <c r="J1872" s="11" t="n">
        <v>46242</v>
      </c>
      <c r="K1872" s="11" t="n"/>
      <c r="L1872" t="inlineStr">
        <is>
          <t>Não Devolve-Norte</t>
        </is>
      </c>
      <c r="M1872">
        <f>IF(L1872="","",IFERROR(VLOOKUP(L1872,mapGrupoStatus,2,0),"Outros"))</f>
        <v/>
      </c>
      <c r="N1872">
        <f>IF(O1872="","",IF(O1872&lt;=30,"0-30 dias",IF(O1872&lt;=60,"31-60 dias",IF(O1872&lt;=90,"61-90 dias","Mais de 90 dias"))))</f>
        <v/>
      </c>
      <c r="O1872">
        <f>IF(OR(M1872="Pendente",M1872="Em andamento"),IF(J1872="","",TODAY()-J1872),"")</f>
        <v/>
      </c>
      <c r="P1872" t="n">
        <v>10939</v>
      </c>
      <c r="Q1872" t="inlineStr">
        <is>
          <t>Zero Grau Manutenção (10939)</t>
        </is>
      </c>
      <c r="R1872" t="inlineStr">
        <is>
          <t>PC-0045</t>
        </is>
      </c>
      <c r="S1872" t="inlineStr">
        <is>
          <t>Sensor de nível modelo 01</t>
        </is>
      </c>
      <c r="T1872" t="n">
        <v>1</v>
      </c>
      <c r="U1872" t="inlineStr"/>
      <c r="V1872">
        <f>IF(J1872="","",MONTH(J1872))</f>
        <v/>
      </c>
      <c r="W1872">
        <f>IF(J1872="","",YEAR(J1872))</f>
        <v/>
      </c>
      <c r="X1872" t="inlineStr"/>
      <c r="Y1872">
        <f>IFERROR(INDEX(Rastreio!$H$2:$H$200,MATCH(X1872&amp;"|"&amp;U1872,Rastreio!$A$2:$A$200,0)),"")</f>
        <v/>
      </c>
    </row>
    <row r="1873">
      <c r="A1873">
        <f>IFERROR(INDEX(STAs!$G$2:$G$61,MATCH(P1873,STAs!$F$2:$F$61,0))&amp;"","")</f>
        <v/>
      </c>
      <c r="B1873" t="n">
        <v>20021835</v>
      </c>
      <c r="C1873" t="inlineStr">
        <is>
          <t>Não</t>
        </is>
      </c>
      <c r="D1873" t="inlineStr">
        <is>
          <t>PA</t>
        </is>
      </c>
      <c r="E1873" t="inlineStr">
        <is>
          <t>NORTE</t>
        </is>
      </c>
      <c r="F1873" t="inlineStr">
        <is>
          <t>Cliente C - Misturador</t>
        </is>
      </c>
      <c r="G1873" t="inlineStr">
        <is>
          <t>Chopeiras</t>
        </is>
      </c>
      <c r="H1873" s="10" t="n">
        <v>85</v>
      </c>
      <c r="I1873" s="10">
        <f>IFERROR(T1873*H1873,0)</f>
        <v/>
      </c>
      <c r="J1873" s="11" t="n">
        <v>46242</v>
      </c>
      <c r="K1873" s="11" t="n"/>
      <c r="L1873" t="inlineStr">
        <is>
          <t>Debitar do STA</t>
        </is>
      </c>
      <c r="M1873">
        <f>IF(L1873="","",IFERROR(VLOOKUP(L1873,mapGrupoStatus,2,0),"Outros"))</f>
        <v/>
      </c>
      <c r="N1873">
        <f>IF(O1873="","",IF(O1873&lt;=30,"0-30 dias",IF(O1873&lt;=60,"31-60 dias",IF(O1873&lt;=90,"61-90 dias","Mais de 90 dias"))))</f>
        <v/>
      </c>
      <c r="O1873">
        <f>IF(OR(M1873="Pendente",M1873="Em andamento"),IF(J1873="","",TODAY()-J1873),"")</f>
        <v/>
      </c>
      <c r="P1873" t="n">
        <v>11986</v>
      </c>
      <c r="Q1873" t="inlineStr">
        <is>
          <t>Polar Serviços (11986)</t>
        </is>
      </c>
      <c r="R1873" t="inlineStr">
        <is>
          <t>PC-0035</t>
        </is>
      </c>
      <c r="S1873" t="inlineStr">
        <is>
          <t>Válvula extratora modelo 01</t>
        </is>
      </c>
      <c r="T1873" t="n">
        <v>2</v>
      </c>
      <c r="U1873" t="inlineStr"/>
      <c r="V1873">
        <f>IF(J1873="","",MONTH(J1873))</f>
        <v/>
      </c>
      <c r="W1873">
        <f>IF(J1873="","",YEAR(J1873))</f>
        <v/>
      </c>
      <c r="X1873" t="inlineStr"/>
      <c r="Y1873">
        <f>IFERROR(INDEX(Rastreio!$H$2:$H$200,MATCH(X1873&amp;"|"&amp;U1873,Rastreio!$A$2:$A$200,0)),"")</f>
        <v/>
      </c>
    </row>
    <row r="1874">
      <c r="A1874">
        <f>IFERROR(INDEX(STAs!$G$2:$G$61,MATCH(P1874,STAs!$F$2:$F$61,0))&amp;"","")</f>
        <v/>
      </c>
      <c r="B1874" t="n">
        <v>20030655</v>
      </c>
      <c r="C1874" t="inlineStr">
        <is>
          <t>Não</t>
        </is>
      </c>
      <c r="D1874" t="inlineStr">
        <is>
          <t>RO</t>
        </is>
      </c>
      <c r="E1874" t="inlineStr">
        <is>
          <t>NORTE</t>
        </is>
      </c>
      <c r="F1874" t="inlineStr">
        <is>
          <t>Cliente C - Misturador</t>
        </is>
      </c>
      <c r="G1874" t="inlineStr">
        <is>
          <t>Chopeiras</t>
        </is>
      </c>
      <c r="H1874" s="10" t="n">
        <v>85</v>
      </c>
      <c r="I1874" s="10">
        <f>IFERROR(T1874*H1874,0)</f>
        <v/>
      </c>
      <c r="J1874" s="11" t="n">
        <v>46242</v>
      </c>
      <c r="K1874" s="11" t="n"/>
      <c r="L1874" t="inlineStr">
        <is>
          <t>Não Devolve-Norte</t>
        </is>
      </c>
      <c r="M1874">
        <f>IF(L1874="","",IFERROR(VLOOKUP(L1874,mapGrupoStatus,2,0),"Outros"))</f>
        <v/>
      </c>
      <c r="N1874">
        <f>IF(O1874="","",IF(O1874&lt;=30,"0-30 dias",IF(O1874&lt;=60,"31-60 dias",IF(O1874&lt;=90,"61-90 dias","Mais de 90 dias"))))</f>
        <v/>
      </c>
      <c r="O1874">
        <f>IF(OR(M1874="Pendente",M1874="Em andamento"),IF(J1874="","",TODAY()-J1874),"")</f>
        <v/>
      </c>
      <c r="P1874" t="n">
        <v>12019</v>
      </c>
      <c r="Q1874" t="inlineStr">
        <is>
          <t>Ártico Serviços (12019)</t>
        </is>
      </c>
      <c r="R1874" t="inlineStr">
        <is>
          <t>PC-0026</t>
        </is>
      </c>
      <c r="S1874" t="inlineStr">
        <is>
          <t>Torneira de chopp modelo 01</t>
        </is>
      </c>
      <c r="T1874" t="n">
        <v>1</v>
      </c>
      <c r="U1874" t="inlineStr"/>
      <c r="V1874">
        <f>IF(J1874="","",MONTH(J1874))</f>
        <v/>
      </c>
      <c r="W1874">
        <f>IF(J1874="","",YEAR(J1874))</f>
        <v/>
      </c>
      <c r="X1874" t="inlineStr"/>
      <c r="Y1874">
        <f>IFERROR(INDEX(Rastreio!$H$2:$H$200,MATCH(X1874&amp;"|"&amp;U1874,Rastreio!$A$2:$A$200,0)),"")</f>
        <v/>
      </c>
    </row>
    <row r="1875">
      <c r="A1875">
        <f>IFERROR(INDEX(STAs!$G$2:$G$61,MATCH(P1875,STAs!$F$2:$F$61,0))&amp;"","")</f>
        <v/>
      </c>
      <c r="B1875" t="n">
        <v>20036137</v>
      </c>
      <c r="C1875" t="inlineStr">
        <is>
          <t>Não</t>
        </is>
      </c>
      <c r="D1875" t="inlineStr">
        <is>
          <t>SP</t>
        </is>
      </c>
      <c r="E1875" t="inlineStr">
        <is>
          <t>SUDESTE SP</t>
        </is>
      </c>
      <c r="F1875" t="inlineStr">
        <is>
          <t>Cliente C - Misturador</t>
        </is>
      </c>
      <c r="G1875" t="inlineStr">
        <is>
          <t>Misturadores</t>
        </is>
      </c>
      <c r="H1875" s="10" t="n">
        <v>35</v>
      </c>
      <c r="I1875" s="10">
        <f>IFERROR(T1875*H1875,0)</f>
        <v/>
      </c>
      <c r="J1875" s="11" t="n">
        <v>46242</v>
      </c>
      <c r="K1875" s="11" t="n"/>
      <c r="L1875" t="inlineStr">
        <is>
          <t>Debitar do STA</t>
        </is>
      </c>
      <c r="M1875">
        <f>IF(L1875="","",IFERROR(VLOOKUP(L1875,mapGrupoStatus,2,0),"Outros"))</f>
        <v/>
      </c>
      <c r="N1875">
        <f>IF(O1875="","",IF(O1875&lt;=30,"0-30 dias",IF(O1875&lt;=60,"31-60 dias",IF(O1875&lt;=90,"61-90 dias","Mais de 90 dias"))))</f>
        <v/>
      </c>
      <c r="O1875">
        <f>IF(OR(M1875="Pendente",M1875="Em andamento"),IF(J1875="","",TODAY()-J1875),"")</f>
        <v/>
      </c>
      <c r="P1875" t="n">
        <v>12901</v>
      </c>
      <c r="Q1875" t="inlineStr">
        <is>
          <t>Frio Serviços (12901)</t>
        </is>
      </c>
      <c r="R1875" t="inlineStr">
        <is>
          <t>PC-0043</t>
        </is>
      </c>
      <c r="S1875" t="inlineStr">
        <is>
          <t>Bico dosador modelo 02</t>
        </is>
      </c>
      <c r="T1875" t="n">
        <v>2</v>
      </c>
      <c r="U1875" t="inlineStr"/>
      <c r="V1875">
        <f>IF(J1875="","",MONTH(J1875))</f>
        <v/>
      </c>
      <c r="W1875">
        <f>IF(J1875="","",YEAR(J1875))</f>
        <v/>
      </c>
      <c r="X1875" t="inlineStr"/>
      <c r="Y1875">
        <f>IFERROR(INDEX(Rastreio!$H$2:$H$200,MATCH(X1875&amp;"|"&amp;U1875,Rastreio!$A$2:$A$200,0)),"")</f>
        <v/>
      </c>
    </row>
    <row r="1876">
      <c r="A1876">
        <f>IFERROR(INDEX(STAs!$G$2:$G$61,MATCH(P1876,STAs!$F$2:$F$61,0))&amp;"","")</f>
        <v/>
      </c>
      <c r="B1876" t="n">
        <v>20039606</v>
      </c>
      <c r="C1876" t="inlineStr">
        <is>
          <t>Não</t>
        </is>
      </c>
      <c r="D1876" t="inlineStr">
        <is>
          <t>RJ</t>
        </is>
      </c>
      <c r="E1876" t="inlineStr">
        <is>
          <t>SUDESTE RJ e ES</t>
        </is>
      </c>
      <c r="F1876" t="inlineStr">
        <is>
          <t>Cliente C - Misturador</t>
        </is>
      </c>
      <c r="G1876" t="inlineStr">
        <is>
          <t>Chopeiras</t>
        </is>
      </c>
      <c r="H1876" s="10" t="n">
        <v>115</v>
      </c>
      <c r="I1876" s="10">
        <f>IFERROR(T1876*H1876,0)</f>
        <v/>
      </c>
      <c r="J1876" s="11" t="n">
        <v>46242</v>
      </c>
      <c r="K1876" s="11" t="n"/>
      <c r="L1876" t="inlineStr">
        <is>
          <t>Em andamento</t>
        </is>
      </c>
      <c r="M1876">
        <f>IF(L1876="","",IFERROR(VLOOKUP(L1876,mapGrupoStatus,2,0),"Outros"))</f>
        <v/>
      </c>
      <c r="N1876">
        <f>IF(O1876="","",IF(O1876&lt;=30,"0-30 dias",IF(O1876&lt;=60,"31-60 dias",IF(O1876&lt;=90,"61-90 dias","Mais de 90 dias"))))</f>
        <v/>
      </c>
      <c r="O1876">
        <f>IF(OR(M1876="Pendente",M1876="Em andamento"),IF(J1876="","",TODAY()-J1876),"")</f>
        <v/>
      </c>
      <c r="P1876" t="n">
        <v>11059</v>
      </c>
      <c r="Q1876" t="inlineStr">
        <is>
          <t>Frio Ltda (11059)</t>
        </is>
      </c>
      <c r="R1876" t="inlineStr">
        <is>
          <t>PC-0034</t>
        </is>
      </c>
      <c r="S1876" t="inlineStr">
        <is>
          <t>Regulador de pressão modelo 03</t>
        </is>
      </c>
      <c r="T1876" t="n">
        <v>1</v>
      </c>
      <c r="U1876" t="n">
        <v>157</v>
      </c>
      <c r="V1876">
        <f>IF(J1876="","",MONTH(J1876))</f>
        <v/>
      </c>
      <c r="W1876">
        <f>IF(J1876="","",YEAR(J1876))</f>
        <v/>
      </c>
      <c r="X1876" t="inlineStr">
        <is>
          <t>EntregaJá</t>
        </is>
      </c>
      <c r="Y1876">
        <f>IFERROR(INDEX(Rastreio!$H$2:$H$200,MATCH(X1876&amp;"|"&amp;U1876,Rastreio!$A$2:$A$200,0)),"")</f>
        <v/>
      </c>
    </row>
    <row r="1877">
      <c r="A1877">
        <f>IFERROR(INDEX(STAs!$G$2:$G$61,MATCH(P1877,STAs!$F$2:$F$61,0))&amp;"","")</f>
        <v/>
      </c>
      <c r="B1877" t="n">
        <v>20039815</v>
      </c>
      <c r="C1877" t="inlineStr">
        <is>
          <t>Não</t>
        </is>
      </c>
      <c r="D1877" t="inlineStr">
        <is>
          <t>SP</t>
        </is>
      </c>
      <c r="E1877" t="inlineStr">
        <is>
          <t>SUDESTE SP</t>
        </is>
      </c>
      <c r="F1877" t="inlineStr">
        <is>
          <t>Cliente B - Chopeira</t>
        </is>
      </c>
      <c r="G1877" t="inlineStr">
        <is>
          <t>Misturadores</t>
        </is>
      </c>
      <c r="H1877" s="10" t="n">
        <v>50</v>
      </c>
      <c r="I1877" s="10">
        <f>IFERROR(T1877*H1877,0)</f>
        <v/>
      </c>
      <c r="J1877" s="11" t="n">
        <v>46242</v>
      </c>
      <c r="K1877" s="11" t="n"/>
      <c r="L1877" t="inlineStr">
        <is>
          <t>Em transporte</t>
        </is>
      </c>
      <c r="M1877">
        <f>IF(L1877="","",IFERROR(VLOOKUP(L1877,mapGrupoStatus,2,0),"Outros"))</f>
        <v/>
      </c>
      <c r="N1877">
        <f>IF(O1877="","",IF(O1877&lt;=30,"0-30 dias",IF(O1877&lt;=60,"31-60 dias",IF(O1877&lt;=90,"61-90 dias","Mais de 90 dias"))))</f>
        <v/>
      </c>
      <c r="O1877">
        <f>IF(OR(M1877="Pendente",M1877="Em andamento"),IF(J1877="","",TODAY()-J1877),"")</f>
        <v/>
      </c>
      <c r="P1877" t="n">
        <v>12901</v>
      </c>
      <c r="Q1877" t="inlineStr">
        <is>
          <t>Frio Serviços (12901)</t>
        </is>
      </c>
      <c r="R1877" t="inlineStr">
        <is>
          <t>PC-0045</t>
        </is>
      </c>
      <c r="S1877" t="inlineStr">
        <is>
          <t>Sensor de nível modelo 01</t>
        </is>
      </c>
      <c r="T1877" t="n">
        <v>1</v>
      </c>
      <c r="U1877" t="n">
        <v>174</v>
      </c>
      <c r="V1877">
        <f>IF(J1877="","",MONTH(J1877))</f>
        <v/>
      </c>
      <c r="W1877">
        <f>IF(J1877="","",YEAR(J1877))</f>
        <v/>
      </c>
      <c r="X1877" t="inlineStr">
        <is>
          <t>LogExpress</t>
        </is>
      </c>
      <c r="Y1877">
        <f>IFERROR(INDEX(Rastreio!$H$2:$H$200,MATCH(X1877&amp;"|"&amp;U1877,Rastreio!$A$2:$A$200,0)),"")</f>
        <v/>
      </c>
    </row>
    <row r="1878">
      <c r="A1878">
        <f>IFERROR(INDEX(STAs!$G$2:$G$61,MATCH(P1878,STAs!$F$2:$F$61,0))&amp;"","")</f>
        <v/>
      </c>
      <c r="B1878" t="n">
        <v>20000231</v>
      </c>
      <c r="C1878" t="inlineStr">
        <is>
          <t>Não</t>
        </is>
      </c>
      <c r="D1878" t="inlineStr">
        <is>
          <t>MG</t>
        </is>
      </c>
      <c r="E1878" t="inlineStr">
        <is>
          <t>SUDESTE MG</t>
        </is>
      </c>
      <c r="F1878" t="inlineStr">
        <is>
          <t>Cliente A - Refrigerador</t>
        </is>
      </c>
      <c r="G1878" t="inlineStr">
        <is>
          <t>Misturadores</t>
        </is>
      </c>
      <c r="H1878" s="10" t="n">
        <v>255</v>
      </c>
      <c r="I1878" s="10">
        <f>IFERROR(T1878*H1878,0)</f>
        <v/>
      </c>
      <c r="J1878" s="11" t="n">
        <v>46243</v>
      </c>
      <c r="K1878" s="11" t="n">
        <v>46249</v>
      </c>
      <c r="L1878" t="inlineStr">
        <is>
          <t>Ok. Devolvida</t>
        </is>
      </c>
      <c r="M1878">
        <f>IF(L1878="","",IFERROR(VLOOKUP(L1878,mapGrupoStatus,2,0),"Outros"))</f>
        <v/>
      </c>
      <c r="N1878">
        <f>IF(O1878="","",IF(O1878&lt;=30,"0-30 dias",IF(O1878&lt;=60,"31-60 dias",IF(O1878&lt;=90,"61-90 dias","Mais de 90 dias"))))</f>
        <v/>
      </c>
      <c r="O1878">
        <f>IF(OR(M1878="Pendente",M1878="Em andamento"),IF(J1878="","",TODAY()-J1878),"")</f>
        <v/>
      </c>
      <c r="P1878" t="n">
        <v>11487</v>
      </c>
      <c r="Q1878" t="inlineStr">
        <is>
          <t>Assistência Técnica Manutenção (11487)</t>
        </is>
      </c>
      <c r="R1878" t="inlineStr">
        <is>
          <t>PC-0037</t>
        </is>
      </c>
      <c r="S1878" t="inlineStr">
        <is>
          <t>Bomba de recirculação modelo 01</t>
        </is>
      </c>
      <c r="T1878" t="n">
        <v>1</v>
      </c>
      <c r="U1878" t="n">
        <v>100</v>
      </c>
      <c r="V1878">
        <f>IF(J1878="","",MONTH(J1878))</f>
        <v/>
      </c>
      <c r="W1878">
        <f>IF(J1878="","",YEAR(J1878))</f>
        <v/>
      </c>
      <c r="X1878" t="inlineStr">
        <is>
          <t>RotaSul</t>
        </is>
      </c>
      <c r="Y1878">
        <f>IFERROR(INDEX(Rastreio!$H$2:$H$200,MATCH(X1878&amp;"|"&amp;U1878,Rastreio!$A$2:$A$200,0)),"")</f>
        <v/>
      </c>
    </row>
    <row r="1879">
      <c r="A1879">
        <f>IFERROR(INDEX(STAs!$G$2:$G$61,MATCH(P1879,STAs!$F$2:$F$61,0))&amp;"","")</f>
        <v/>
      </c>
      <c r="B1879" t="n">
        <v>20007816</v>
      </c>
      <c r="C1879" t="inlineStr">
        <is>
          <t>Não</t>
        </is>
      </c>
      <c r="D1879" t="inlineStr">
        <is>
          <t>RO</t>
        </is>
      </c>
      <c r="E1879" t="inlineStr">
        <is>
          <t>NORTE</t>
        </is>
      </c>
      <c r="F1879" t="inlineStr">
        <is>
          <t>Cliente A - Refrigerador</t>
        </is>
      </c>
      <c r="G1879" t="inlineStr">
        <is>
          <t>Refrigeradores</t>
        </is>
      </c>
      <c r="H1879" s="10" t="n">
        <v>55</v>
      </c>
      <c r="I1879" s="10">
        <f>IFERROR(T1879*H1879,0)</f>
        <v/>
      </c>
      <c r="J1879" s="11" t="n">
        <v>46243</v>
      </c>
      <c r="K1879" s="11" t="n">
        <v>46296</v>
      </c>
      <c r="L1879" t="inlineStr">
        <is>
          <t>Ok. Devolvida</t>
        </is>
      </c>
      <c r="M1879">
        <f>IF(L1879="","",IFERROR(VLOOKUP(L1879,mapGrupoStatus,2,0),"Outros"))</f>
        <v/>
      </c>
      <c r="N1879">
        <f>IF(O1879="","",IF(O1879&lt;=30,"0-30 dias",IF(O1879&lt;=60,"31-60 dias",IF(O1879&lt;=90,"61-90 dias","Mais de 90 dias"))))</f>
        <v/>
      </c>
      <c r="O1879">
        <f>IF(OR(M1879="Pendente",M1879="Em andamento"),IF(J1879="","",TODAY()-J1879),"")</f>
        <v/>
      </c>
      <c r="P1879" t="n">
        <v>12019</v>
      </c>
      <c r="Q1879" t="inlineStr">
        <is>
          <t>Ártico Serviços (12019)</t>
        </is>
      </c>
      <c r="R1879" t="inlineStr">
        <is>
          <t>PC-0007</t>
        </is>
      </c>
      <c r="S1879" t="inlineStr">
        <is>
          <t>Ventilador modelo 01</t>
        </is>
      </c>
      <c r="T1879" t="n">
        <v>2</v>
      </c>
      <c r="U1879" t="n">
        <v>114</v>
      </c>
      <c r="V1879">
        <f>IF(J1879="","",MONTH(J1879))</f>
        <v/>
      </c>
      <c r="W1879">
        <f>IF(J1879="","",YEAR(J1879))</f>
        <v/>
      </c>
      <c r="X1879" t="inlineStr">
        <is>
          <t>CargoMax</t>
        </is>
      </c>
      <c r="Y1879">
        <f>IFERROR(INDEX(Rastreio!$H$2:$H$200,MATCH(X1879&amp;"|"&amp;U1879,Rastreio!$A$2:$A$200,0)),"")</f>
        <v/>
      </c>
    </row>
    <row r="1880">
      <c r="A1880">
        <f>IFERROR(INDEX(STAs!$G$2:$G$61,MATCH(P1880,STAs!$F$2:$F$61,0))&amp;"","")</f>
        <v/>
      </c>
      <c r="B1880" t="n">
        <v>20010240</v>
      </c>
      <c r="C1880" t="inlineStr">
        <is>
          <t>Não</t>
        </is>
      </c>
      <c r="D1880" t="inlineStr">
        <is>
          <t>BA</t>
        </is>
      </c>
      <c r="E1880" t="inlineStr">
        <is>
          <t>NORDESTE</t>
        </is>
      </c>
      <c r="F1880" t="inlineStr">
        <is>
          <t>Cliente B - Chopeira</t>
        </is>
      </c>
      <c r="G1880" t="inlineStr">
        <is>
          <t>Refrigeradores</t>
        </is>
      </c>
      <c r="H1880" s="10" t="n">
        <v>25</v>
      </c>
      <c r="I1880" s="10">
        <f>IFERROR(T1880*H1880,0)</f>
        <v/>
      </c>
      <c r="J1880" s="11" t="n">
        <v>46243</v>
      </c>
      <c r="K1880" s="11" t="n">
        <v>46298</v>
      </c>
      <c r="L1880" t="inlineStr">
        <is>
          <t>Ok. Devolvida</t>
        </is>
      </c>
      <c r="M1880">
        <f>IF(L1880="","",IFERROR(VLOOKUP(L1880,mapGrupoStatus,2,0),"Outros"))</f>
        <v/>
      </c>
      <c r="N1880">
        <f>IF(O1880="","",IF(O1880&lt;=30,"0-30 dias",IF(O1880&lt;=60,"31-60 dias",IF(O1880&lt;=90,"61-90 dias","Mais de 90 dias"))))</f>
        <v/>
      </c>
      <c r="O1880">
        <f>IF(OR(M1880="Pendente",M1880="Em andamento"),IF(J1880="","",TODAY()-J1880),"")</f>
        <v/>
      </c>
      <c r="P1880" t="n">
        <v>11244</v>
      </c>
      <c r="Q1880" t="inlineStr">
        <is>
          <t>Refrigeração Manutenção (11244)</t>
        </is>
      </c>
      <c r="R1880" t="inlineStr">
        <is>
          <t>PC-0015</t>
        </is>
      </c>
      <c r="S1880" t="inlineStr">
        <is>
          <t>Filtro secador modelo 01</t>
        </is>
      </c>
      <c r="T1880" t="n">
        <v>2</v>
      </c>
      <c r="U1880" t="n">
        <v>123</v>
      </c>
      <c r="V1880">
        <f>IF(J1880="","",MONTH(J1880))</f>
        <v/>
      </c>
      <c r="W1880">
        <f>IF(J1880="","",YEAR(J1880))</f>
        <v/>
      </c>
      <c r="X1880" t="inlineStr">
        <is>
          <t>ViaCargo</t>
        </is>
      </c>
      <c r="Y1880">
        <f>IFERROR(INDEX(Rastreio!$H$2:$H$200,MATCH(X1880&amp;"|"&amp;U1880,Rastreio!$A$2:$A$200,0)),"")</f>
        <v/>
      </c>
    </row>
    <row r="1881">
      <c r="A1881">
        <f>IFERROR(INDEX(STAs!$G$2:$G$61,MATCH(P1881,STAs!$F$2:$F$61,0))&amp;"","")</f>
        <v/>
      </c>
      <c r="B1881" t="n">
        <v>20026726</v>
      </c>
      <c r="C1881" t="inlineStr">
        <is>
          <t>Não</t>
        </is>
      </c>
      <c r="D1881" t="inlineStr">
        <is>
          <t>RJ</t>
        </is>
      </c>
      <c r="E1881" t="inlineStr">
        <is>
          <t>SUDESTE RJ e ES</t>
        </is>
      </c>
      <c r="F1881" t="inlineStr">
        <is>
          <t>Cliente C - Misturador</t>
        </is>
      </c>
      <c r="G1881" t="inlineStr">
        <is>
          <t>Chopeiras</t>
        </is>
      </c>
      <c r="H1881" s="10" t="n">
        <v>100</v>
      </c>
      <c r="I1881" s="10">
        <f>IFERROR(T1881*H1881,0)</f>
        <v/>
      </c>
      <c r="J1881" s="11" t="n">
        <v>46243</v>
      </c>
      <c r="K1881" s="11" t="n">
        <v>46281</v>
      </c>
      <c r="L1881" t="inlineStr">
        <is>
          <t>Ok. Devolvida</t>
        </is>
      </c>
      <c r="M1881">
        <f>IF(L1881="","",IFERROR(VLOOKUP(L1881,mapGrupoStatus,2,0),"Outros"))</f>
        <v/>
      </c>
      <c r="N1881">
        <f>IF(O1881="","",IF(O1881&lt;=30,"0-30 dias",IF(O1881&lt;=60,"31-60 dias",IF(O1881&lt;=90,"61-90 dias","Mais de 90 dias"))))</f>
        <v/>
      </c>
      <c r="O1881">
        <f>IF(OR(M1881="Pendente",M1881="Em andamento"),IF(J1881="","",TODAY()-J1881),"")</f>
        <v/>
      </c>
      <c r="P1881" t="n">
        <v>12811</v>
      </c>
      <c r="Q1881" t="inlineStr">
        <is>
          <t>Norte Frio Técnica (12811)</t>
        </is>
      </c>
      <c r="R1881" t="inlineStr">
        <is>
          <t>PC-0027</t>
        </is>
      </c>
      <c r="S1881" t="inlineStr">
        <is>
          <t>Torneira de chopp modelo 02</t>
        </is>
      </c>
      <c r="T1881" t="n">
        <v>1</v>
      </c>
      <c r="U1881" t="n">
        <v>148</v>
      </c>
      <c r="V1881">
        <f>IF(J1881="","",MONTH(J1881))</f>
        <v/>
      </c>
      <c r="W1881">
        <f>IF(J1881="","",YEAR(J1881))</f>
        <v/>
      </c>
      <c r="X1881" t="inlineStr">
        <is>
          <t>TransNorte</t>
        </is>
      </c>
      <c r="Y1881">
        <f>IFERROR(INDEX(Rastreio!$H$2:$H$200,MATCH(X1881&amp;"|"&amp;U1881,Rastreio!$A$2:$A$200,0)),"")</f>
        <v/>
      </c>
    </row>
    <row r="1882">
      <c r="A1882">
        <f>IFERROR(INDEX(STAs!$G$2:$G$61,MATCH(P1882,STAs!$F$2:$F$61,0))&amp;"","")</f>
        <v/>
      </c>
      <c r="B1882" t="n">
        <v>20034167</v>
      </c>
      <c r="C1882" t="inlineStr">
        <is>
          <t>Não</t>
        </is>
      </c>
      <c r="D1882" t="inlineStr">
        <is>
          <t>PA</t>
        </is>
      </c>
      <c r="E1882" t="inlineStr">
        <is>
          <t>NORTE</t>
        </is>
      </c>
      <c r="F1882" t="inlineStr">
        <is>
          <t>Cliente A - Refrigerador</t>
        </is>
      </c>
      <c r="G1882" t="inlineStr">
        <is>
          <t>Misturadores</t>
        </is>
      </c>
      <c r="H1882" s="10" t="n">
        <v>60</v>
      </c>
      <c r="I1882" s="10">
        <f>IFERROR(T1882*H1882,0)</f>
        <v/>
      </c>
      <c r="J1882" s="11" t="n">
        <v>46243</v>
      </c>
      <c r="K1882" s="11" t="n"/>
      <c r="L1882" t="inlineStr">
        <is>
          <t>Não Devolve-Norte</t>
        </is>
      </c>
      <c r="M1882">
        <f>IF(L1882="","",IFERROR(VLOOKUP(L1882,mapGrupoStatus,2,0),"Outros"))</f>
        <v/>
      </c>
      <c r="N1882">
        <f>IF(O1882="","",IF(O1882&lt;=30,"0-30 dias",IF(O1882&lt;=60,"31-60 dias",IF(O1882&lt;=90,"61-90 dias","Mais de 90 dias"))))</f>
        <v/>
      </c>
      <c r="O1882">
        <f>IF(OR(M1882="Pendente",M1882="Em andamento"),IF(J1882="","",TODAY()-J1882),"")</f>
        <v/>
      </c>
      <c r="P1882" t="n">
        <v>11986</v>
      </c>
      <c r="Q1882" t="inlineStr">
        <is>
          <t>Polar Serviços (11986)</t>
        </is>
      </c>
      <c r="R1882" t="inlineStr">
        <is>
          <t>PC-0048</t>
        </is>
      </c>
      <c r="S1882" t="inlineStr">
        <is>
          <t>Sensor de nível modelo 04</t>
        </is>
      </c>
      <c r="T1882" t="n">
        <v>1</v>
      </c>
      <c r="U1882" t="inlineStr"/>
      <c r="V1882">
        <f>IF(J1882="","",MONTH(J1882))</f>
        <v/>
      </c>
      <c r="W1882">
        <f>IF(J1882="","",YEAR(J1882))</f>
        <v/>
      </c>
      <c r="X1882" t="inlineStr"/>
      <c r="Y1882">
        <f>IFERROR(INDEX(Rastreio!$H$2:$H$200,MATCH(X1882&amp;"|"&amp;U1882,Rastreio!$A$2:$A$200,0)),"")</f>
        <v/>
      </c>
    </row>
    <row r="1883">
      <c r="A1883">
        <f>IFERROR(INDEX(STAs!$G$2:$G$61,MATCH(P1883,STAs!$F$2:$F$61,0))&amp;"","")</f>
        <v/>
      </c>
      <c r="B1883" t="n">
        <v>20040182</v>
      </c>
      <c r="C1883" t="inlineStr">
        <is>
          <t>Não</t>
        </is>
      </c>
      <c r="D1883" t="inlineStr">
        <is>
          <t>GO</t>
        </is>
      </c>
      <c r="E1883" t="inlineStr">
        <is>
          <t>CENTRO OESTE</t>
        </is>
      </c>
      <c r="F1883" t="inlineStr">
        <is>
          <t>Cliente B - Chopeira</t>
        </is>
      </c>
      <c r="G1883" t="inlineStr">
        <is>
          <t>Refrigeradores</t>
        </is>
      </c>
      <c r="H1883" s="10" t="n">
        <v>330</v>
      </c>
      <c r="I1883" s="10">
        <f>IFERROR(T1883*H1883,0)</f>
        <v/>
      </c>
      <c r="J1883" s="11" t="n">
        <v>46243</v>
      </c>
      <c r="K1883" s="11" t="n"/>
      <c r="L1883" t="inlineStr">
        <is>
          <t>NF Vencida</t>
        </is>
      </c>
      <c r="M1883">
        <f>IF(L1883="","",IFERROR(VLOOKUP(L1883,mapGrupoStatus,2,0),"Outros"))</f>
        <v/>
      </c>
      <c r="N1883">
        <f>IF(O1883="","",IF(O1883&lt;=30,"0-30 dias",IF(O1883&lt;=60,"31-60 dias",IF(O1883&lt;=90,"61-90 dias","Mais de 90 dias"))))</f>
        <v/>
      </c>
      <c r="O1883">
        <f>IF(OR(M1883="Pendente",M1883="Em andamento"),IF(J1883="","",TODAY()-J1883),"")</f>
        <v/>
      </c>
      <c r="P1883" t="n">
        <v>12007</v>
      </c>
      <c r="Q1883" t="inlineStr">
        <is>
          <t>Refrigel Ltda (12007)</t>
        </is>
      </c>
      <c r="R1883" t="inlineStr">
        <is>
          <t>PC-0003</t>
        </is>
      </c>
      <c r="S1883" t="inlineStr">
        <is>
          <t>Compressor modelo 03</t>
        </is>
      </c>
      <c r="T1883" t="n">
        <v>1</v>
      </c>
      <c r="U1883" t="inlineStr"/>
      <c r="V1883">
        <f>IF(J1883="","",MONTH(J1883))</f>
        <v/>
      </c>
      <c r="W1883">
        <f>IF(J1883="","",YEAR(J1883))</f>
        <v/>
      </c>
      <c r="X1883" t="inlineStr"/>
      <c r="Y1883">
        <f>IFERROR(INDEX(Rastreio!$H$2:$H$200,MATCH(X1883&amp;"|"&amp;U1883,Rastreio!$A$2:$A$200,0)),"")</f>
        <v/>
      </c>
    </row>
    <row r="1884">
      <c r="A1884">
        <f>IFERROR(INDEX(STAs!$G$2:$G$61,MATCH(P1884,STAs!$F$2:$F$61,0))&amp;"","")</f>
        <v/>
      </c>
      <c r="B1884" t="n">
        <v>20003045</v>
      </c>
      <c r="C1884" t="inlineStr">
        <is>
          <t>Não</t>
        </is>
      </c>
      <c r="D1884" t="inlineStr">
        <is>
          <t>RJ</t>
        </is>
      </c>
      <c r="E1884" t="inlineStr">
        <is>
          <t>SUDESTE RJ e ES</t>
        </is>
      </c>
      <c r="F1884" t="inlineStr">
        <is>
          <t>Cliente C - Misturador</t>
        </is>
      </c>
      <c r="G1884" t="inlineStr">
        <is>
          <t>Refrigeradores</t>
        </is>
      </c>
      <c r="H1884" s="10" t="n">
        <v>40</v>
      </c>
      <c r="I1884" s="10">
        <f>IFERROR(T1884*H1884,0)</f>
        <v/>
      </c>
      <c r="J1884" s="11" t="n">
        <v>46244</v>
      </c>
      <c r="K1884" s="11" t="n"/>
      <c r="L1884" t="inlineStr">
        <is>
          <t>Em andamento</t>
        </is>
      </c>
      <c r="M1884">
        <f>IF(L1884="","",IFERROR(VLOOKUP(L1884,mapGrupoStatus,2,0),"Outros"))</f>
        <v/>
      </c>
      <c r="N1884">
        <f>IF(O1884="","",IF(O1884&lt;=30,"0-30 dias",IF(O1884&lt;=60,"31-60 dias",IF(O1884&lt;=90,"61-90 dias","Mais de 90 dias"))))</f>
        <v/>
      </c>
      <c r="O1884">
        <f>IF(OR(M1884="Pendente",M1884="Em andamento"),IF(J1884="","",TODAY()-J1884),"")</f>
        <v/>
      </c>
      <c r="P1884" t="n">
        <v>12336</v>
      </c>
      <c r="Q1884" t="inlineStr">
        <is>
          <t>Termotec ME (12336)</t>
        </is>
      </c>
      <c r="R1884" t="inlineStr">
        <is>
          <t>PC-0004</t>
        </is>
      </c>
      <c r="S1884" t="inlineStr">
        <is>
          <t>Termostato modelo 01</t>
        </is>
      </c>
      <c r="T1884" t="n">
        <v>1</v>
      </c>
      <c r="U1884" t="n">
        <v>109</v>
      </c>
      <c r="V1884">
        <f>IF(J1884="","",MONTH(J1884))</f>
        <v/>
      </c>
      <c r="W1884">
        <f>IF(J1884="","",YEAR(J1884))</f>
        <v/>
      </c>
      <c r="X1884" t="inlineStr">
        <is>
          <t>ViaCargo</t>
        </is>
      </c>
      <c r="Y1884">
        <f>IFERROR(INDEX(Rastreio!$H$2:$H$200,MATCH(X1884&amp;"|"&amp;U1884,Rastreio!$A$2:$A$200,0)),"")</f>
        <v/>
      </c>
    </row>
    <row r="1885">
      <c r="A1885">
        <f>IFERROR(INDEX(STAs!$G$2:$G$61,MATCH(P1885,STAs!$F$2:$F$61,0))&amp;"","")</f>
        <v/>
      </c>
      <c r="B1885" t="n">
        <v>20016870</v>
      </c>
      <c r="C1885" t="inlineStr">
        <is>
          <t>Não</t>
        </is>
      </c>
      <c r="D1885" t="inlineStr">
        <is>
          <t>RJ</t>
        </is>
      </c>
      <c r="E1885" t="inlineStr">
        <is>
          <t>SUDESTE RJ e ES</t>
        </is>
      </c>
      <c r="F1885" t="inlineStr">
        <is>
          <t>Cliente B - Chopeira</t>
        </is>
      </c>
      <c r="G1885" t="inlineStr">
        <is>
          <t>Refrigeradores</t>
        </is>
      </c>
      <c r="H1885" s="10" t="n">
        <v>185</v>
      </c>
      <c r="I1885" s="10">
        <f>IFERROR(T1885*H1885,0)</f>
        <v/>
      </c>
      <c r="J1885" s="11" t="n">
        <v>46244</v>
      </c>
      <c r="K1885" s="11" t="n">
        <v>46254</v>
      </c>
      <c r="L1885" t="inlineStr">
        <is>
          <t>Ok. Devolvida</t>
        </is>
      </c>
      <c r="M1885">
        <f>IF(L1885="","",IFERROR(VLOOKUP(L1885,mapGrupoStatus,2,0),"Outros"))</f>
        <v/>
      </c>
      <c r="N1885">
        <f>IF(O1885="","",IF(O1885&lt;=30,"0-30 dias",IF(O1885&lt;=60,"31-60 dias",IF(O1885&lt;=90,"61-90 dias","Mais de 90 dias"))))</f>
        <v/>
      </c>
      <c r="O1885">
        <f>IF(OR(M1885="Pendente",M1885="Em andamento"),IF(J1885="","",TODAY()-J1885),"")</f>
        <v/>
      </c>
      <c r="P1885" t="n">
        <v>12811</v>
      </c>
      <c r="Q1885" t="inlineStr">
        <is>
          <t>Norte Frio Técnica (12811)</t>
        </is>
      </c>
      <c r="R1885" t="inlineStr">
        <is>
          <t>PC-0013</t>
        </is>
      </c>
      <c r="S1885" t="inlineStr">
        <is>
          <t>Placa eletrônica modelo 03</t>
        </is>
      </c>
      <c r="T1885" t="n">
        <v>2</v>
      </c>
      <c r="U1885" t="n">
        <v>127</v>
      </c>
      <c r="V1885">
        <f>IF(J1885="","",MONTH(J1885))</f>
        <v/>
      </c>
      <c r="W1885">
        <f>IF(J1885="","",YEAR(J1885))</f>
        <v/>
      </c>
      <c r="X1885" t="inlineStr">
        <is>
          <t>TransNorte</t>
        </is>
      </c>
      <c r="Y1885">
        <f>IFERROR(INDEX(Rastreio!$H$2:$H$200,MATCH(X1885&amp;"|"&amp;U1885,Rastreio!$A$2:$A$200,0)),"")</f>
        <v/>
      </c>
    </row>
    <row r="1886">
      <c r="A1886">
        <f>IFERROR(INDEX(STAs!$G$2:$G$61,MATCH(P1886,STAs!$F$2:$F$61,0))&amp;"","")</f>
        <v/>
      </c>
      <c r="B1886" t="n">
        <v>20021942</v>
      </c>
      <c r="C1886" t="inlineStr">
        <is>
          <t>Não</t>
        </is>
      </c>
      <c r="D1886" t="inlineStr">
        <is>
          <t>SC</t>
        </is>
      </c>
      <c r="E1886" t="inlineStr">
        <is>
          <t>SUL</t>
        </is>
      </c>
      <c r="F1886" t="inlineStr">
        <is>
          <t>Cliente A - Refrigerador</t>
        </is>
      </c>
      <c r="G1886" t="inlineStr">
        <is>
          <t>Refrigeradores</t>
        </is>
      </c>
      <c r="H1886" s="10" t="n">
        <v>70</v>
      </c>
      <c r="I1886" s="10">
        <f>IFERROR(T1886*H1886,0)</f>
        <v/>
      </c>
      <c r="J1886" s="11" t="n">
        <v>46244</v>
      </c>
      <c r="K1886" s="11" t="n"/>
      <c r="L1886" t="inlineStr">
        <is>
          <t>Aguardando Transporte</t>
        </is>
      </c>
      <c r="M1886">
        <f>IF(L1886="","",IFERROR(VLOOKUP(L1886,mapGrupoStatus,2,0),"Outros"))</f>
        <v/>
      </c>
      <c r="N1886">
        <f>IF(O1886="","",IF(O1886&lt;=30,"0-30 dias",IF(O1886&lt;=60,"31-60 dias",IF(O1886&lt;=90,"61-90 dias","Mais de 90 dias"))))</f>
        <v/>
      </c>
      <c r="O1886">
        <f>IF(OR(M1886="Pendente",M1886="Em andamento"),IF(J1886="","",TODAY()-J1886),"")</f>
        <v/>
      </c>
      <c r="P1886" t="n">
        <v>12138</v>
      </c>
      <c r="Q1886" t="inlineStr">
        <is>
          <t>Refrigeração Serviços (12138)</t>
        </is>
      </c>
      <c r="R1886" t="inlineStr">
        <is>
          <t>PC-0009</t>
        </is>
      </c>
      <c r="S1886" t="inlineStr">
        <is>
          <t>Ventilador modelo 03</t>
        </is>
      </c>
      <c r="T1886" t="n">
        <v>1</v>
      </c>
      <c r="U1886" t="n">
        <v>135</v>
      </c>
      <c r="V1886">
        <f>IF(J1886="","",MONTH(J1886))</f>
        <v/>
      </c>
      <c r="W1886">
        <f>IF(J1886="","",YEAR(J1886))</f>
        <v/>
      </c>
      <c r="X1886" t="inlineStr">
        <is>
          <t>RotaSul</t>
        </is>
      </c>
      <c r="Y1886">
        <f>IFERROR(INDEX(Rastreio!$H$2:$H$200,MATCH(X1886&amp;"|"&amp;U1886,Rastreio!$A$2:$A$200,0)),"")</f>
        <v/>
      </c>
    </row>
    <row r="1887">
      <c r="A1887">
        <f>IFERROR(INDEX(STAs!$G$2:$G$61,MATCH(P1887,STAs!$F$2:$F$61,0))&amp;"","")</f>
        <v/>
      </c>
      <c r="B1887" t="n">
        <v>20009391</v>
      </c>
      <c r="C1887" t="inlineStr">
        <is>
          <t>Não</t>
        </is>
      </c>
      <c r="D1887" t="inlineStr">
        <is>
          <t>SC</t>
        </is>
      </c>
      <c r="E1887" t="inlineStr">
        <is>
          <t>SUL</t>
        </is>
      </c>
      <c r="F1887" t="inlineStr">
        <is>
          <t>Cliente A - Refrigerador</t>
        </is>
      </c>
      <c r="G1887" t="inlineStr">
        <is>
          <t>Refrigeradores</t>
        </is>
      </c>
      <c r="H1887" s="10" t="n">
        <v>45</v>
      </c>
      <c r="I1887" s="10">
        <f>IFERROR(T1887*H1887,0)</f>
        <v/>
      </c>
      <c r="J1887" s="11" t="n">
        <v>46245</v>
      </c>
      <c r="K1887" s="11" t="n">
        <v>46295</v>
      </c>
      <c r="L1887" t="inlineStr">
        <is>
          <t>Ok. Devolvida</t>
        </is>
      </c>
      <c r="M1887">
        <f>IF(L1887="","",IFERROR(VLOOKUP(L1887,mapGrupoStatus,2,0),"Outros"))</f>
        <v/>
      </c>
      <c r="N1887">
        <f>IF(O1887="","",IF(O1887&lt;=30,"0-30 dias",IF(O1887&lt;=60,"31-60 dias",IF(O1887&lt;=90,"61-90 dias","Mais de 90 dias"))))</f>
        <v/>
      </c>
      <c r="O1887">
        <f>IF(OR(M1887="Pendente",M1887="Em andamento"),IF(J1887="","",TODAY()-J1887),"")</f>
        <v/>
      </c>
      <c r="P1887" t="n">
        <v>12138</v>
      </c>
      <c r="Q1887" t="inlineStr">
        <is>
          <t>Refrigeração Serviços (12138)</t>
        </is>
      </c>
      <c r="R1887" t="inlineStr">
        <is>
          <t>PC-0019</t>
        </is>
      </c>
      <c r="S1887" t="inlineStr">
        <is>
          <t>Gaxeta da porta modelo 02</t>
        </is>
      </c>
      <c r="T1887" t="n">
        <v>1</v>
      </c>
      <c r="U1887" t="n">
        <v>118</v>
      </c>
      <c r="V1887">
        <f>IF(J1887="","",MONTH(J1887))</f>
        <v/>
      </c>
      <c r="W1887">
        <f>IF(J1887="","",YEAR(J1887))</f>
        <v/>
      </c>
      <c r="X1887" t="inlineStr">
        <is>
          <t>EntregaJá</t>
        </is>
      </c>
      <c r="Y1887">
        <f>IFERROR(INDEX(Rastreio!$H$2:$H$200,MATCH(X1887&amp;"|"&amp;U1887,Rastreio!$A$2:$A$200,0)),"")</f>
        <v/>
      </c>
    </row>
    <row r="1888">
      <c r="A1888">
        <f>IFERROR(INDEX(STAs!$G$2:$G$61,MATCH(P1888,STAs!$F$2:$F$61,0))&amp;"","")</f>
        <v/>
      </c>
      <c r="B1888" t="n">
        <v>20020477</v>
      </c>
      <c r="C1888" t="inlineStr">
        <is>
          <t>Não</t>
        </is>
      </c>
      <c r="D1888" t="inlineStr">
        <is>
          <t>MG</t>
        </is>
      </c>
      <c r="E1888" t="inlineStr">
        <is>
          <t>SUDESTE MG</t>
        </is>
      </c>
      <c r="F1888" t="inlineStr">
        <is>
          <t>Cliente B - Chopeira</t>
        </is>
      </c>
      <c r="G1888" t="inlineStr">
        <is>
          <t>Misturadores</t>
        </is>
      </c>
      <c r="H1888" s="10" t="n">
        <v>35</v>
      </c>
      <c r="I1888" s="10">
        <f>IFERROR(T1888*H1888,0)</f>
        <v/>
      </c>
      <c r="J1888" s="11" t="n">
        <v>46245</v>
      </c>
      <c r="K1888" s="11" t="n">
        <v>46302</v>
      </c>
      <c r="L1888" t="inlineStr">
        <is>
          <t>Ok. Devolvida</t>
        </is>
      </c>
      <c r="M1888">
        <f>IF(L1888="","",IFERROR(VLOOKUP(L1888,mapGrupoStatus,2,0),"Outros"))</f>
        <v/>
      </c>
      <c r="N1888">
        <f>IF(O1888="","",IF(O1888&lt;=30,"0-30 dias",IF(O1888&lt;=60,"31-60 dias",IF(O1888&lt;=90,"61-90 dias","Mais de 90 dias"))))</f>
        <v/>
      </c>
      <c r="O1888">
        <f>IF(OR(M1888="Pendente",M1888="Em andamento"),IF(J1888="","",TODAY()-J1888),"")</f>
        <v/>
      </c>
      <c r="P1888" t="n">
        <v>12470</v>
      </c>
      <c r="Q1888" t="inlineStr">
        <is>
          <t>Cool Service Técnica (12470)</t>
        </is>
      </c>
      <c r="R1888" t="inlineStr">
        <is>
          <t>PC-0043</t>
        </is>
      </c>
      <c r="S1888" t="inlineStr">
        <is>
          <t>Bico dosador modelo 02</t>
        </is>
      </c>
      <c r="T1888" t="n">
        <v>1</v>
      </c>
      <c r="U1888" t="n">
        <v>130</v>
      </c>
      <c r="V1888">
        <f>IF(J1888="","",MONTH(J1888))</f>
        <v/>
      </c>
      <c r="W1888">
        <f>IF(J1888="","",YEAR(J1888))</f>
        <v/>
      </c>
      <c r="X1888" t="inlineStr">
        <is>
          <t>RotaSul</t>
        </is>
      </c>
      <c r="Y1888">
        <f>IFERROR(INDEX(Rastreio!$H$2:$H$200,MATCH(X1888&amp;"|"&amp;U1888,Rastreio!$A$2:$A$200,0)),"")</f>
        <v/>
      </c>
    </row>
    <row r="1889">
      <c r="A1889">
        <f>IFERROR(INDEX(STAs!$G$2:$G$61,MATCH(P1889,STAs!$F$2:$F$61,0))&amp;"","")</f>
        <v/>
      </c>
      <c r="B1889" t="n">
        <v>20031639</v>
      </c>
      <c r="C1889" t="inlineStr">
        <is>
          <t>Não</t>
        </is>
      </c>
      <c r="D1889" t="inlineStr">
        <is>
          <t>SP</t>
        </is>
      </c>
      <c r="E1889" t="inlineStr">
        <is>
          <t>SUDESTE SP</t>
        </is>
      </c>
      <c r="F1889" t="inlineStr">
        <is>
          <t>Cliente C - Misturador</t>
        </is>
      </c>
      <c r="G1889" t="inlineStr">
        <is>
          <t>Misturadores</t>
        </is>
      </c>
      <c r="H1889" s="10" t="n">
        <v>50</v>
      </c>
      <c r="I1889" s="10">
        <f>IFERROR(T1889*H1889,0)</f>
        <v/>
      </c>
      <c r="J1889" s="11" t="n">
        <v>46245</v>
      </c>
      <c r="K1889" s="11" t="n">
        <v>46275</v>
      </c>
      <c r="L1889" t="inlineStr">
        <is>
          <t>Ok. Devolvida</t>
        </is>
      </c>
      <c r="M1889">
        <f>IF(L1889="","",IFERROR(VLOOKUP(L1889,mapGrupoStatus,2,0),"Outros"))</f>
        <v/>
      </c>
      <c r="N1889">
        <f>IF(O1889="","",IF(O1889&lt;=30,"0-30 dias",IF(O1889&lt;=60,"31-60 dias",IF(O1889&lt;=90,"61-90 dias","Mais de 90 dias"))))</f>
        <v/>
      </c>
      <c r="O1889">
        <f>IF(OR(M1889="Pendente",M1889="Em andamento"),IF(J1889="","",TODAY()-J1889),"")</f>
        <v/>
      </c>
      <c r="P1889" t="n">
        <v>11710</v>
      </c>
      <c r="Q1889" t="inlineStr">
        <is>
          <t>Brisa &amp; Cia (11710)</t>
        </is>
      </c>
      <c r="R1889" t="inlineStr">
        <is>
          <t>PC-0045</t>
        </is>
      </c>
      <c r="S1889" t="inlineStr">
        <is>
          <t>Sensor de nível modelo 01</t>
        </is>
      </c>
      <c r="T1889" t="n">
        <v>3</v>
      </c>
      <c r="U1889" t="n">
        <v>158</v>
      </c>
      <c r="V1889">
        <f>IF(J1889="","",MONTH(J1889))</f>
        <v/>
      </c>
      <c r="W1889">
        <f>IF(J1889="","",YEAR(J1889))</f>
        <v/>
      </c>
      <c r="X1889" t="inlineStr">
        <is>
          <t>LogExpress</t>
        </is>
      </c>
      <c r="Y1889">
        <f>IFERROR(INDEX(Rastreio!$H$2:$H$200,MATCH(X1889&amp;"|"&amp;U1889,Rastreio!$A$2:$A$200,0)),"")</f>
        <v/>
      </c>
    </row>
    <row r="1890">
      <c r="A1890">
        <f>IFERROR(INDEX(STAs!$G$2:$G$61,MATCH(P1890,STAs!$F$2:$F$61,0))&amp;"","")</f>
        <v/>
      </c>
      <c r="B1890" t="n">
        <v>20032132</v>
      </c>
      <c r="C1890" t="inlineStr">
        <is>
          <t>Não</t>
        </is>
      </c>
      <c r="D1890" t="inlineStr">
        <is>
          <t>AC</t>
        </is>
      </c>
      <c r="E1890" t="inlineStr">
        <is>
          <t>NORTE</t>
        </is>
      </c>
      <c r="F1890" t="inlineStr">
        <is>
          <t>Cliente B - Chopeira</t>
        </is>
      </c>
      <c r="G1890" t="inlineStr">
        <is>
          <t>Chopeiras</t>
        </is>
      </c>
      <c r="H1890" s="10" t="n">
        <v>205</v>
      </c>
      <c r="I1890" s="10">
        <f>IFERROR(T1890*H1890,0)</f>
        <v/>
      </c>
      <c r="J1890" s="11" t="n">
        <v>46245</v>
      </c>
      <c r="K1890" s="11" t="n">
        <v>46294</v>
      </c>
      <c r="L1890" t="inlineStr">
        <is>
          <t>Ok. Devolvida</t>
        </is>
      </c>
      <c r="M1890">
        <f>IF(L1890="","",IFERROR(VLOOKUP(L1890,mapGrupoStatus,2,0),"Outros"))</f>
        <v/>
      </c>
      <c r="N1890">
        <f>IF(O1890="","",IF(O1890&lt;=30,"0-30 dias",IF(O1890&lt;=60,"31-60 dias",IF(O1890&lt;=90,"61-90 dias","Mais de 90 dias"))))</f>
        <v/>
      </c>
      <c r="O1890">
        <f>IF(OR(M1890="Pendente",M1890="Em andamento"),IF(J1890="","",TODAY()-J1890),"")</f>
        <v/>
      </c>
      <c r="P1890" t="n">
        <v>11022</v>
      </c>
      <c r="Q1890" t="inlineStr">
        <is>
          <t>Brisa Ltda (11022)</t>
        </is>
      </c>
      <c r="R1890" t="inlineStr">
        <is>
          <t>PC-0031</t>
        </is>
      </c>
      <c r="S1890" t="inlineStr">
        <is>
          <t>Serpentina modelo 03</t>
        </is>
      </c>
      <c r="T1890" t="n">
        <v>2</v>
      </c>
      <c r="U1890" t="n">
        <v>157</v>
      </c>
      <c r="V1890">
        <f>IF(J1890="","",MONTH(J1890))</f>
        <v/>
      </c>
      <c r="W1890">
        <f>IF(J1890="","",YEAR(J1890))</f>
        <v/>
      </c>
      <c r="X1890" t="inlineStr">
        <is>
          <t>TransNorte</t>
        </is>
      </c>
      <c r="Y1890">
        <f>IFERROR(INDEX(Rastreio!$H$2:$H$200,MATCH(X1890&amp;"|"&amp;U1890,Rastreio!$A$2:$A$200,0)),"")</f>
        <v/>
      </c>
    </row>
    <row r="1891">
      <c r="A1891">
        <f>IFERROR(INDEX(STAs!$G$2:$G$61,MATCH(P1891,STAs!$F$2:$F$61,0))&amp;"","")</f>
        <v/>
      </c>
      <c r="B1891" t="n">
        <v>20034110</v>
      </c>
      <c r="C1891" t="inlineStr">
        <is>
          <t>Sim</t>
        </is>
      </c>
      <c r="D1891" t="inlineStr">
        <is>
          <t>PR</t>
        </is>
      </c>
      <c r="E1891" t="inlineStr">
        <is>
          <t>SUL</t>
        </is>
      </c>
      <c r="F1891" t="inlineStr">
        <is>
          <t>Cliente B - Chopeira</t>
        </is>
      </c>
      <c r="G1891" t="inlineStr">
        <is>
          <t>Refrigeradores</t>
        </is>
      </c>
      <c r="H1891" s="10" t="n">
        <v>35</v>
      </c>
      <c r="I1891" s="10">
        <f>IFERROR(T1891*H1891,0)</f>
        <v/>
      </c>
      <c r="J1891" s="11" t="n">
        <v>46245</v>
      </c>
      <c r="K1891" s="11" t="n"/>
      <c r="L1891" t="inlineStr">
        <is>
          <t>Aguardando Transporte</t>
        </is>
      </c>
      <c r="M1891">
        <f>IF(L1891="","",IFERROR(VLOOKUP(L1891,mapGrupoStatus,2,0),"Outros"))</f>
        <v/>
      </c>
      <c r="N1891">
        <f>IF(O1891="","",IF(O1891&lt;=30,"0-30 dias",IF(O1891&lt;=60,"31-60 dias",IF(O1891&lt;=90,"61-90 dias","Mais de 90 dias"))))</f>
        <v/>
      </c>
      <c r="O1891">
        <f>IF(OR(M1891="Pendente",M1891="Em andamento"),IF(J1891="","",TODAY()-J1891),"")</f>
        <v/>
      </c>
      <c r="P1891" t="n">
        <v>10753</v>
      </c>
      <c r="Q1891" t="inlineStr">
        <is>
          <t>Refrigel &amp; Cia (10753)</t>
        </is>
      </c>
      <c r="R1891" t="inlineStr">
        <is>
          <t>PC-0024</t>
        </is>
      </c>
      <c r="S1891" t="inlineStr">
        <is>
          <t>Relé de partida modelo 02</t>
        </is>
      </c>
      <c r="T1891" t="n">
        <v>1</v>
      </c>
      <c r="U1891" t="n">
        <v>158</v>
      </c>
      <c r="V1891">
        <f>IF(J1891="","",MONTH(J1891))</f>
        <v/>
      </c>
      <c r="W1891">
        <f>IF(J1891="","",YEAR(J1891))</f>
        <v/>
      </c>
      <c r="X1891" t="inlineStr">
        <is>
          <t>CargoMax</t>
        </is>
      </c>
      <c r="Y1891">
        <f>IFERROR(INDEX(Rastreio!$H$2:$H$200,MATCH(X1891&amp;"|"&amp;U1891,Rastreio!$A$2:$A$200,0)),"")</f>
        <v/>
      </c>
    </row>
    <row r="1892">
      <c r="A1892">
        <f>IFERROR(INDEX(STAs!$G$2:$G$61,MATCH(P1892,STAs!$F$2:$F$61,0))&amp;"","")</f>
        <v/>
      </c>
      <c r="B1892" t="n">
        <v>20001861</v>
      </c>
      <c r="C1892" t="inlineStr">
        <is>
          <t>Não</t>
        </is>
      </c>
      <c r="D1892" t="inlineStr">
        <is>
          <t>MS</t>
        </is>
      </c>
      <c r="E1892" t="inlineStr">
        <is>
          <t>CENTRO OESTE</t>
        </is>
      </c>
      <c r="F1892" t="inlineStr">
        <is>
          <t>Cliente C - Misturador</t>
        </is>
      </c>
      <c r="G1892" t="inlineStr">
        <is>
          <t>Misturadores</t>
        </is>
      </c>
      <c r="H1892" s="10" t="n">
        <v>200</v>
      </c>
      <c r="I1892" s="10">
        <f>IFERROR(T1892*H1892,0)</f>
        <v/>
      </c>
      <c r="J1892" s="11" t="n">
        <v>46246</v>
      </c>
      <c r="K1892" s="11" t="n"/>
      <c r="L1892" t="inlineStr">
        <is>
          <t>Em andamento</t>
        </is>
      </c>
      <c r="M1892">
        <f>IF(L1892="","",IFERROR(VLOOKUP(L1892,mapGrupoStatus,2,0),"Outros"))</f>
        <v/>
      </c>
      <c r="N1892">
        <f>IF(O1892="","",IF(O1892&lt;=30,"0-30 dias",IF(O1892&lt;=60,"31-60 dias",IF(O1892&lt;=90,"61-90 dias","Mais de 90 dias"))))</f>
        <v/>
      </c>
      <c r="O1892">
        <f>IF(OR(M1892="Pendente",M1892="Em andamento"),IF(J1892="","",TODAY()-J1892),"")</f>
        <v/>
      </c>
      <c r="P1892" t="n">
        <v>12280</v>
      </c>
      <c r="Q1892" t="inlineStr">
        <is>
          <t>Termotec &amp; Cia (12280)</t>
        </is>
      </c>
      <c r="R1892" t="inlineStr">
        <is>
          <t>PC-0040</t>
        </is>
      </c>
      <c r="S1892" t="inlineStr">
        <is>
          <t>Motor agitador modelo 01</t>
        </is>
      </c>
      <c r="T1892" t="n">
        <v>2</v>
      </c>
      <c r="U1892" t="n">
        <v>103</v>
      </c>
      <c r="V1892">
        <f>IF(J1892="","",MONTH(J1892))</f>
        <v/>
      </c>
      <c r="W1892">
        <f>IF(J1892="","",YEAR(J1892))</f>
        <v/>
      </c>
      <c r="X1892" t="inlineStr">
        <is>
          <t>LogExpress</t>
        </is>
      </c>
      <c r="Y1892">
        <f>IFERROR(INDEX(Rastreio!$H$2:$H$200,MATCH(X1892&amp;"|"&amp;U1892,Rastreio!$A$2:$A$200,0)),"")</f>
        <v/>
      </c>
    </row>
    <row r="1893">
      <c r="A1893">
        <f>IFERROR(INDEX(STAs!$G$2:$G$61,MATCH(P1893,STAs!$F$2:$F$61,0))&amp;"","")</f>
        <v/>
      </c>
      <c r="B1893" t="n">
        <v>20021670</v>
      </c>
      <c r="C1893" t="inlineStr">
        <is>
          <t>Não</t>
        </is>
      </c>
      <c r="D1893" t="inlineStr">
        <is>
          <t>MS</t>
        </is>
      </c>
      <c r="E1893" t="inlineStr">
        <is>
          <t>CENTRO OESTE</t>
        </is>
      </c>
      <c r="F1893" t="inlineStr">
        <is>
          <t>Cliente C - Misturador</t>
        </is>
      </c>
      <c r="G1893" t="inlineStr">
        <is>
          <t>Refrigeradores</t>
        </is>
      </c>
      <c r="H1893" s="10" t="n">
        <v>190</v>
      </c>
      <c r="I1893" s="10">
        <f>IFERROR(T1893*H1893,0)</f>
        <v/>
      </c>
      <c r="J1893" s="11" t="n">
        <v>46246</v>
      </c>
      <c r="K1893" s="11" t="n"/>
      <c r="L1893" t="inlineStr">
        <is>
          <t>Em transporte</t>
        </is>
      </c>
      <c r="M1893">
        <f>IF(L1893="","",IFERROR(VLOOKUP(L1893,mapGrupoStatus,2,0),"Outros"))</f>
        <v/>
      </c>
      <c r="N1893">
        <f>IF(O1893="","",IF(O1893&lt;=30,"0-30 dias",IF(O1893&lt;=60,"31-60 dias",IF(O1893&lt;=90,"61-90 dias","Mais de 90 dias"))))</f>
        <v/>
      </c>
      <c r="O1893">
        <f>IF(OR(M1893="Pendente",M1893="Em andamento"),IF(J1893="","",TODAY()-J1893),"")</f>
        <v/>
      </c>
      <c r="P1893" t="n">
        <v>10302</v>
      </c>
      <c r="Q1893" t="inlineStr">
        <is>
          <t>Ice Tech Express (10302)</t>
        </is>
      </c>
      <c r="R1893" t="inlineStr">
        <is>
          <t>PC-0011</t>
        </is>
      </c>
      <c r="S1893" t="inlineStr">
        <is>
          <t>Placa eletrônica modelo 01</t>
        </is>
      </c>
      <c r="T1893" t="n">
        <v>1</v>
      </c>
      <c r="U1893" t="n">
        <v>138</v>
      </c>
      <c r="V1893">
        <f>IF(J1893="","",MONTH(J1893))</f>
        <v/>
      </c>
      <c r="W1893">
        <f>IF(J1893="","",YEAR(J1893))</f>
        <v/>
      </c>
      <c r="X1893" t="inlineStr">
        <is>
          <t>LogExpress</t>
        </is>
      </c>
      <c r="Y1893">
        <f>IFERROR(INDEX(Rastreio!$H$2:$H$200,MATCH(X1893&amp;"|"&amp;U1893,Rastreio!$A$2:$A$200,0)),"")</f>
        <v/>
      </c>
    </row>
    <row r="1894">
      <c r="A1894">
        <f>IFERROR(INDEX(STAs!$G$2:$G$61,MATCH(P1894,STAs!$F$2:$F$61,0))&amp;"","")</f>
        <v/>
      </c>
      <c r="B1894" t="n">
        <v>20031283</v>
      </c>
      <c r="C1894" t="inlineStr">
        <is>
          <t>Não</t>
        </is>
      </c>
      <c r="D1894" t="inlineStr">
        <is>
          <t>ES</t>
        </is>
      </c>
      <c r="E1894" t="inlineStr">
        <is>
          <t>SUDESTE RJ e ES</t>
        </is>
      </c>
      <c r="F1894" t="inlineStr">
        <is>
          <t>Cliente C - Misturador</t>
        </is>
      </c>
      <c r="G1894" t="inlineStr">
        <is>
          <t>Chopeiras</t>
        </is>
      </c>
      <c r="H1894" s="10" t="n">
        <v>85</v>
      </c>
      <c r="I1894" s="10">
        <f>IFERROR(T1894*H1894,0)</f>
        <v/>
      </c>
      <c r="J1894" s="11" t="n">
        <v>46246</v>
      </c>
      <c r="K1894" s="11" t="n">
        <v>46251</v>
      </c>
      <c r="L1894" t="inlineStr">
        <is>
          <t>Ok. Devolvida</t>
        </is>
      </c>
      <c r="M1894">
        <f>IF(L1894="","",IFERROR(VLOOKUP(L1894,mapGrupoStatus,2,0),"Outros"))</f>
        <v/>
      </c>
      <c r="N1894">
        <f>IF(O1894="","",IF(O1894&lt;=30,"0-30 dias",IF(O1894&lt;=60,"31-60 dias",IF(O1894&lt;=90,"61-90 dias","Mais de 90 dias"))))</f>
        <v/>
      </c>
      <c r="O1894">
        <f>IF(OR(M1894="Pendente",M1894="Em andamento"),IF(J1894="","",TODAY()-J1894),"")</f>
        <v/>
      </c>
      <c r="P1894" t="n">
        <v>11396</v>
      </c>
      <c r="Q1894" t="inlineStr">
        <is>
          <t>Frio Manutenção (11396)</t>
        </is>
      </c>
      <c r="R1894" t="inlineStr">
        <is>
          <t>PC-0035</t>
        </is>
      </c>
      <c r="S1894" t="inlineStr">
        <is>
          <t>Válvula extratora modelo 01</t>
        </is>
      </c>
      <c r="T1894" t="n">
        <v>1</v>
      </c>
      <c r="U1894" t="n">
        <v>150</v>
      </c>
      <c r="V1894">
        <f>IF(J1894="","",MONTH(J1894))</f>
        <v/>
      </c>
      <c r="W1894">
        <f>IF(J1894="","",YEAR(J1894))</f>
        <v/>
      </c>
      <c r="X1894" t="inlineStr">
        <is>
          <t>ViaCargo</t>
        </is>
      </c>
      <c r="Y1894">
        <f>IFERROR(INDEX(Rastreio!$H$2:$H$200,MATCH(X1894&amp;"|"&amp;U1894,Rastreio!$A$2:$A$200,0)),"")</f>
        <v/>
      </c>
    </row>
    <row r="1895">
      <c r="A1895">
        <f>IFERROR(INDEX(STAs!$G$2:$G$61,MATCH(P1895,STAs!$F$2:$F$61,0))&amp;"","")</f>
        <v/>
      </c>
      <c r="B1895" t="n">
        <v>20037537</v>
      </c>
      <c r="C1895" t="inlineStr">
        <is>
          <t>Não</t>
        </is>
      </c>
      <c r="D1895" t="inlineStr">
        <is>
          <t>RR</t>
        </is>
      </c>
      <c r="E1895" t="inlineStr">
        <is>
          <t>NORTE</t>
        </is>
      </c>
      <c r="F1895" t="inlineStr">
        <is>
          <t>Cliente B - Chopeira</t>
        </is>
      </c>
      <c r="G1895" t="inlineStr">
        <is>
          <t>Misturadores</t>
        </is>
      </c>
      <c r="H1895" s="10" t="n">
        <v>50</v>
      </c>
      <c r="I1895" s="10">
        <f>IFERROR(T1895*H1895,0)</f>
        <v/>
      </c>
      <c r="J1895" s="11" t="n">
        <v>46246</v>
      </c>
      <c r="K1895" s="11" t="n"/>
      <c r="L1895" t="inlineStr">
        <is>
          <t>Não Devolve-Norte</t>
        </is>
      </c>
      <c r="M1895">
        <f>IF(L1895="","",IFERROR(VLOOKUP(L1895,mapGrupoStatus,2,0),"Outros"))</f>
        <v/>
      </c>
      <c r="N1895">
        <f>IF(O1895="","",IF(O1895&lt;=30,"0-30 dias",IF(O1895&lt;=60,"31-60 dias",IF(O1895&lt;=90,"61-90 dias","Mais de 90 dias"))))</f>
        <v/>
      </c>
      <c r="O1895">
        <f>IF(OR(M1895="Pendente",M1895="Em andamento"),IF(J1895="","",TODAY()-J1895),"")</f>
        <v/>
      </c>
      <c r="P1895" t="n">
        <v>10468</v>
      </c>
      <c r="Q1895" t="inlineStr">
        <is>
          <t>Clima Express (10468)</t>
        </is>
      </c>
      <c r="R1895" t="inlineStr">
        <is>
          <t>PC-0044</t>
        </is>
      </c>
      <c r="S1895" t="inlineStr">
        <is>
          <t>Bico dosador modelo 03</t>
        </is>
      </c>
      <c r="T1895" t="n">
        <v>1</v>
      </c>
      <c r="U1895" t="inlineStr"/>
      <c r="V1895">
        <f>IF(J1895="","",MONTH(J1895))</f>
        <v/>
      </c>
      <c r="W1895">
        <f>IF(J1895="","",YEAR(J1895))</f>
        <v/>
      </c>
      <c r="X1895" t="inlineStr"/>
      <c r="Y1895">
        <f>IFERROR(INDEX(Rastreio!$H$2:$H$200,MATCH(X1895&amp;"|"&amp;U1895,Rastreio!$A$2:$A$200,0)),"")</f>
        <v/>
      </c>
    </row>
    <row r="1896">
      <c r="A1896">
        <f>IFERROR(INDEX(STAs!$G$2:$G$61,MATCH(P1896,STAs!$F$2:$F$61,0))&amp;"","")</f>
        <v/>
      </c>
      <c r="B1896" t="n">
        <v>20003856</v>
      </c>
      <c r="C1896" t="inlineStr">
        <is>
          <t>Não</t>
        </is>
      </c>
      <c r="D1896" t="inlineStr">
        <is>
          <t>ES</t>
        </is>
      </c>
      <c r="E1896" t="inlineStr">
        <is>
          <t>SUDESTE RJ e ES</t>
        </is>
      </c>
      <c r="F1896" t="inlineStr">
        <is>
          <t>Cliente C - Misturador</t>
        </is>
      </c>
      <c r="G1896" t="inlineStr">
        <is>
          <t>Chopeiras</t>
        </is>
      </c>
      <c r="H1896" s="10" t="n">
        <v>85</v>
      </c>
      <c r="I1896" s="10">
        <f>IFERROR(T1896*H1896,0)</f>
        <v/>
      </c>
      <c r="J1896" s="11" t="n">
        <v>46247</v>
      </c>
      <c r="K1896" s="11" t="n"/>
      <c r="L1896" t="inlineStr">
        <is>
          <t>Aguardando devolução</t>
        </is>
      </c>
      <c r="M1896">
        <f>IF(L1896="","",IFERROR(VLOOKUP(L1896,mapGrupoStatus,2,0),"Outros"))</f>
        <v/>
      </c>
      <c r="N1896">
        <f>IF(O1896="","",IF(O1896&lt;=30,"0-30 dias",IF(O1896&lt;=60,"31-60 dias",IF(O1896&lt;=90,"61-90 dias","Mais de 90 dias"))))</f>
        <v/>
      </c>
      <c r="O1896">
        <f>IF(OR(M1896="Pendente",M1896="Em andamento"),IF(J1896="","",TODAY()-J1896),"")</f>
        <v/>
      </c>
      <c r="P1896" t="n">
        <v>11099</v>
      </c>
      <c r="Q1896" t="inlineStr">
        <is>
          <t>Refrigel Serviços (11099)</t>
        </is>
      </c>
      <c r="R1896" t="inlineStr">
        <is>
          <t>PC-0035</t>
        </is>
      </c>
      <c r="S1896" t="inlineStr">
        <is>
          <t>Válvula extratora modelo 01</t>
        </is>
      </c>
      <c r="T1896" t="n">
        <v>1</v>
      </c>
      <c r="U1896" t="inlineStr"/>
      <c r="V1896">
        <f>IF(J1896="","",MONTH(J1896))</f>
        <v/>
      </c>
      <c r="W1896">
        <f>IF(J1896="","",YEAR(J1896))</f>
        <v/>
      </c>
      <c r="X1896" t="inlineStr"/>
      <c r="Y1896">
        <f>IFERROR(INDEX(Rastreio!$H$2:$H$200,MATCH(X1896&amp;"|"&amp;U1896,Rastreio!$A$2:$A$200,0)),"")</f>
        <v/>
      </c>
    </row>
    <row r="1897">
      <c r="A1897">
        <f>IFERROR(INDEX(STAs!$G$2:$G$61,MATCH(P1897,STAs!$F$2:$F$61,0))&amp;"","")</f>
        <v/>
      </c>
      <c r="B1897" t="n">
        <v>20008604</v>
      </c>
      <c r="C1897" t="inlineStr">
        <is>
          <t>Sim</t>
        </is>
      </c>
      <c r="D1897" t="inlineStr">
        <is>
          <t>GO</t>
        </is>
      </c>
      <c r="E1897" t="inlineStr">
        <is>
          <t>CENTRO OESTE</t>
        </is>
      </c>
      <c r="F1897" t="inlineStr">
        <is>
          <t>Cliente B - Chopeira</t>
        </is>
      </c>
      <c r="G1897" t="inlineStr">
        <is>
          <t>Refrigeradores</t>
        </is>
      </c>
      <c r="H1897" s="10" t="n">
        <v>185</v>
      </c>
      <c r="I1897" s="10">
        <f>IFERROR(T1897*H1897,0)</f>
        <v/>
      </c>
      <c r="J1897" s="11" t="n">
        <v>46247</v>
      </c>
      <c r="K1897" s="11" t="n">
        <v>46298</v>
      </c>
      <c r="L1897" t="inlineStr">
        <is>
          <t>Ok. Devolvida</t>
        </is>
      </c>
      <c r="M1897">
        <f>IF(L1897="","",IFERROR(VLOOKUP(L1897,mapGrupoStatus,2,0),"Outros"))</f>
        <v/>
      </c>
      <c r="N1897">
        <f>IF(O1897="","",IF(O1897&lt;=30,"0-30 dias",IF(O1897&lt;=60,"31-60 dias",IF(O1897&lt;=90,"61-90 dias","Mais de 90 dias"))))</f>
        <v/>
      </c>
      <c r="O1897">
        <f>IF(OR(M1897="Pendente",M1897="Em andamento"),IF(J1897="","",TODAY()-J1897),"")</f>
        <v/>
      </c>
      <c r="P1897" t="n">
        <v>11677</v>
      </c>
      <c r="Q1897" t="inlineStr">
        <is>
          <t>Cool Service Manutenção (11677)</t>
        </is>
      </c>
      <c r="R1897" t="inlineStr">
        <is>
          <t>PC-0013</t>
        </is>
      </c>
      <c r="S1897" t="inlineStr">
        <is>
          <t>Placa eletrônica modelo 03</t>
        </is>
      </c>
      <c r="T1897" t="n">
        <v>1</v>
      </c>
      <c r="U1897" t="n">
        <v>112</v>
      </c>
      <c r="V1897">
        <f>IF(J1897="","",MONTH(J1897))</f>
        <v/>
      </c>
      <c r="W1897">
        <f>IF(J1897="","",YEAR(J1897))</f>
        <v/>
      </c>
      <c r="X1897" t="inlineStr">
        <is>
          <t>TransNorte</t>
        </is>
      </c>
      <c r="Y1897">
        <f>IFERROR(INDEX(Rastreio!$H$2:$H$200,MATCH(X1897&amp;"|"&amp;U1897,Rastreio!$A$2:$A$200,0)),"")</f>
        <v/>
      </c>
    </row>
    <row r="1898">
      <c r="A1898">
        <f>IFERROR(INDEX(STAs!$G$2:$G$61,MATCH(P1898,STAs!$F$2:$F$61,0))&amp;"","")</f>
        <v/>
      </c>
      <c r="B1898" t="n">
        <v>20011177</v>
      </c>
      <c r="C1898" t="inlineStr">
        <is>
          <t>Não</t>
        </is>
      </c>
      <c r="D1898" t="inlineStr">
        <is>
          <t>GO</t>
        </is>
      </c>
      <c r="E1898" t="inlineStr">
        <is>
          <t>CENTRO OESTE</t>
        </is>
      </c>
      <c r="F1898" t="inlineStr">
        <is>
          <t>Cliente B - Chopeira</t>
        </is>
      </c>
      <c r="G1898" t="inlineStr">
        <is>
          <t>Refrigeradores</t>
        </is>
      </c>
      <c r="H1898" s="10" t="n">
        <v>55</v>
      </c>
      <c r="I1898" s="10">
        <f>IFERROR(T1898*H1898,0)</f>
        <v/>
      </c>
      <c r="J1898" s="11" t="n">
        <v>46247</v>
      </c>
      <c r="K1898" s="11" t="n"/>
      <c r="L1898" t="inlineStr">
        <is>
          <t>Debitar do STA</t>
        </is>
      </c>
      <c r="M1898">
        <f>IF(L1898="","",IFERROR(VLOOKUP(L1898,mapGrupoStatus,2,0),"Outros"))</f>
        <v/>
      </c>
      <c r="N1898">
        <f>IF(O1898="","",IF(O1898&lt;=30,"0-30 dias",IF(O1898&lt;=60,"31-60 dias",IF(O1898&lt;=90,"61-90 dias","Mais de 90 dias"))))</f>
        <v/>
      </c>
      <c r="O1898">
        <f>IF(OR(M1898="Pendente",M1898="Em andamento"),IF(J1898="","",TODAY()-J1898),"")</f>
        <v/>
      </c>
      <c r="P1898" t="n">
        <v>10317</v>
      </c>
      <c r="Q1898" t="inlineStr">
        <is>
          <t>Termotec Manutenção (10317)</t>
        </is>
      </c>
      <c r="R1898" t="inlineStr">
        <is>
          <t>PC-0008</t>
        </is>
      </c>
      <c r="S1898" t="inlineStr">
        <is>
          <t>Ventilador modelo 02</t>
        </is>
      </c>
      <c r="T1898" t="n">
        <v>1</v>
      </c>
      <c r="U1898" t="inlineStr"/>
      <c r="V1898">
        <f>IF(J1898="","",MONTH(J1898))</f>
        <v/>
      </c>
      <c r="W1898">
        <f>IF(J1898="","",YEAR(J1898))</f>
        <v/>
      </c>
      <c r="X1898" t="inlineStr"/>
      <c r="Y1898">
        <f>IFERROR(INDEX(Rastreio!$H$2:$H$200,MATCH(X1898&amp;"|"&amp;U1898,Rastreio!$A$2:$A$200,0)),"")</f>
        <v/>
      </c>
    </row>
    <row r="1899">
      <c r="A1899">
        <f>IFERROR(INDEX(STAs!$G$2:$G$61,MATCH(P1899,STAs!$F$2:$F$61,0))&amp;"","")</f>
        <v/>
      </c>
      <c r="B1899" t="n">
        <v>20016440</v>
      </c>
      <c r="C1899" t="inlineStr">
        <is>
          <t>Não</t>
        </is>
      </c>
      <c r="D1899" t="inlineStr">
        <is>
          <t>MS</t>
        </is>
      </c>
      <c r="E1899" t="inlineStr">
        <is>
          <t>CENTRO OESTE</t>
        </is>
      </c>
      <c r="F1899" t="inlineStr">
        <is>
          <t>Cliente B - Chopeira</t>
        </is>
      </c>
      <c r="G1899" t="inlineStr">
        <is>
          <t>Chopeiras</t>
        </is>
      </c>
      <c r="H1899" s="10" t="n">
        <v>85</v>
      </c>
      <c r="I1899" s="10">
        <f>IFERROR(T1899*H1899,0)</f>
        <v/>
      </c>
      <c r="J1899" s="11" t="n">
        <v>46247</v>
      </c>
      <c r="K1899" s="11" t="n"/>
      <c r="L1899" t="inlineStr">
        <is>
          <t>Em andamento</t>
        </is>
      </c>
      <c r="M1899">
        <f>IF(L1899="","",IFERROR(VLOOKUP(L1899,mapGrupoStatus,2,0),"Outros"))</f>
        <v/>
      </c>
      <c r="N1899">
        <f>IF(O1899="","",IF(O1899&lt;=30,"0-30 dias",IF(O1899&lt;=60,"31-60 dias",IF(O1899&lt;=90,"61-90 dias","Mais de 90 dias"))))</f>
        <v/>
      </c>
      <c r="O1899">
        <f>IF(OR(M1899="Pendente",M1899="Em andamento"),IF(J1899="","",TODAY()-J1899),"")</f>
        <v/>
      </c>
      <c r="P1899" t="n">
        <v>10302</v>
      </c>
      <c r="Q1899" t="inlineStr">
        <is>
          <t>Ice Tech Express (10302)</t>
        </is>
      </c>
      <c r="R1899" t="inlineStr">
        <is>
          <t>PC-0035</t>
        </is>
      </c>
      <c r="S1899" t="inlineStr">
        <is>
          <t>Válvula extratora modelo 01</t>
        </is>
      </c>
      <c r="T1899" t="n">
        <v>1</v>
      </c>
      <c r="U1899" t="n">
        <v>129</v>
      </c>
      <c r="V1899">
        <f>IF(J1899="","",MONTH(J1899))</f>
        <v/>
      </c>
      <c r="W1899">
        <f>IF(J1899="","",YEAR(J1899))</f>
        <v/>
      </c>
      <c r="X1899" t="inlineStr">
        <is>
          <t>LogExpress</t>
        </is>
      </c>
      <c r="Y1899">
        <f>IFERROR(INDEX(Rastreio!$H$2:$H$200,MATCH(X1899&amp;"|"&amp;U1899,Rastreio!$A$2:$A$200,0)),"")</f>
        <v/>
      </c>
    </row>
    <row r="1900">
      <c r="A1900">
        <f>IFERROR(INDEX(STAs!$G$2:$G$61,MATCH(P1900,STAs!$F$2:$F$61,0))&amp;"","")</f>
        <v/>
      </c>
      <c r="B1900" t="n">
        <v>20001992</v>
      </c>
      <c r="C1900" t="inlineStr">
        <is>
          <t>Não</t>
        </is>
      </c>
      <c r="D1900" t="inlineStr">
        <is>
          <t>ES</t>
        </is>
      </c>
      <c r="E1900" t="inlineStr">
        <is>
          <t>SUDESTE RJ e ES</t>
        </is>
      </c>
      <c r="F1900" t="inlineStr">
        <is>
          <t>Cliente B - Chopeira</t>
        </is>
      </c>
      <c r="G1900" t="inlineStr">
        <is>
          <t>Refrigeradores</t>
        </is>
      </c>
      <c r="H1900" s="10" t="n">
        <v>55</v>
      </c>
      <c r="I1900" s="10">
        <f>IFERROR(T1900*H1900,0)</f>
        <v/>
      </c>
      <c r="J1900" s="11" t="n">
        <v>46248</v>
      </c>
      <c r="K1900" s="11" t="n"/>
      <c r="L1900" t="inlineStr">
        <is>
          <t>Em andamento</t>
        </is>
      </c>
      <c r="M1900">
        <f>IF(L1900="","",IFERROR(VLOOKUP(L1900,mapGrupoStatus,2,0),"Outros"))</f>
        <v/>
      </c>
      <c r="N1900">
        <f>IF(O1900="","",IF(O1900&lt;=30,"0-30 dias",IF(O1900&lt;=60,"31-60 dias",IF(O1900&lt;=90,"61-90 dias","Mais de 90 dias"))))</f>
        <v/>
      </c>
      <c r="O1900">
        <f>IF(OR(M1900="Pendente",M1900="Em andamento"),IF(J1900="","",TODAY()-J1900),"")</f>
        <v/>
      </c>
      <c r="P1900" t="n">
        <v>11396</v>
      </c>
      <c r="Q1900" t="inlineStr">
        <is>
          <t>Frio Manutenção (11396)</t>
        </is>
      </c>
      <c r="R1900" t="inlineStr">
        <is>
          <t>PC-0008</t>
        </is>
      </c>
      <c r="S1900" t="inlineStr">
        <is>
          <t>Ventilador modelo 02</t>
        </is>
      </c>
      <c r="T1900" t="n">
        <v>1</v>
      </c>
      <c r="U1900" t="n">
        <v>106</v>
      </c>
      <c r="V1900">
        <f>IF(J1900="","",MONTH(J1900))</f>
        <v/>
      </c>
      <c r="W1900">
        <f>IF(J1900="","",YEAR(J1900))</f>
        <v/>
      </c>
      <c r="X1900" t="inlineStr">
        <is>
          <t>RotaSul</t>
        </is>
      </c>
      <c r="Y1900">
        <f>IFERROR(INDEX(Rastreio!$H$2:$H$200,MATCH(X1900&amp;"|"&amp;U1900,Rastreio!$A$2:$A$200,0)),"")</f>
        <v/>
      </c>
    </row>
    <row r="1901">
      <c r="A1901">
        <f>IFERROR(INDEX(STAs!$G$2:$G$61,MATCH(P1901,STAs!$F$2:$F$61,0))&amp;"","")</f>
        <v/>
      </c>
      <c r="B1901" t="n">
        <v>20003084</v>
      </c>
      <c r="C1901" t="inlineStr">
        <is>
          <t>Não</t>
        </is>
      </c>
      <c r="D1901" t="inlineStr">
        <is>
          <t>DF</t>
        </is>
      </c>
      <c r="E1901" t="inlineStr">
        <is>
          <t>CENTRO OESTE</t>
        </is>
      </c>
      <c r="F1901" t="inlineStr">
        <is>
          <t>Cliente A - Refrigerador</t>
        </is>
      </c>
      <c r="G1901" t="inlineStr">
        <is>
          <t>Refrigeradores</t>
        </is>
      </c>
      <c r="H1901" s="10" t="n">
        <v>65</v>
      </c>
      <c r="I1901" s="10">
        <f>IFERROR(T1901*H1901,0)</f>
        <v/>
      </c>
      <c r="J1901" s="11" t="n">
        <v>46248</v>
      </c>
      <c r="K1901" s="11" t="n"/>
      <c r="L1901" t="inlineStr">
        <is>
          <t>Aguardando devolução</t>
        </is>
      </c>
      <c r="M1901">
        <f>IF(L1901="","",IFERROR(VLOOKUP(L1901,mapGrupoStatus,2,0),"Outros"))</f>
        <v/>
      </c>
      <c r="N1901">
        <f>IF(O1901="","",IF(O1901&lt;=30,"0-30 dias",IF(O1901&lt;=60,"31-60 dias",IF(O1901&lt;=90,"61-90 dias","Mais de 90 dias"))))</f>
        <v/>
      </c>
      <c r="O1901">
        <f>IF(OR(M1901="Pendente",M1901="Em andamento"),IF(J1901="","",TODAY()-J1901),"")</f>
        <v/>
      </c>
      <c r="P1901" t="n">
        <v>10021</v>
      </c>
      <c r="Q1901" t="inlineStr">
        <is>
          <t>Termotec Técnica (10021)</t>
        </is>
      </c>
      <c r="R1901" t="inlineStr">
        <is>
          <t>PC-0010</t>
        </is>
      </c>
      <c r="S1901" t="inlineStr">
        <is>
          <t>Ventilador modelo 04</t>
        </is>
      </c>
      <c r="T1901" t="n">
        <v>1</v>
      </c>
      <c r="U1901" t="inlineStr"/>
      <c r="V1901">
        <f>IF(J1901="","",MONTH(J1901))</f>
        <v/>
      </c>
      <c r="W1901">
        <f>IF(J1901="","",YEAR(J1901))</f>
        <v/>
      </c>
      <c r="X1901" t="inlineStr"/>
      <c r="Y1901">
        <f>IFERROR(INDEX(Rastreio!$H$2:$H$200,MATCH(X1901&amp;"|"&amp;U1901,Rastreio!$A$2:$A$200,0)),"")</f>
        <v/>
      </c>
    </row>
    <row r="1902">
      <c r="A1902">
        <f>IFERROR(INDEX(STAs!$G$2:$G$61,MATCH(P1902,STAs!$F$2:$F$61,0))&amp;"","")</f>
        <v/>
      </c>
      <c r="B1902" t="n">
        <v>20011414</v>
      </c>
      <c r="C1902" t="inlineStr">
        <is>
          <t>Não</t>
        </is>
      </c>
      <c r="D1902" t="inlineStr">
        <is>
          <t>SP</t>
        </is>
      </c>
      <c r="E1902" t="inlineStr">
        <is>
          <t>SUDESTE SP</t>
        </is>
      </c>
      <c r="F1902" t="inlineStr">
        <is>
          <t>Cliente A - Refrigerador</t>
        </is>
      </c>
      <c r="G1902" t="inlineStr">
        <is>
          <t>Refrigeradores</t>
        </is>
      </c>
      <c r="H1902" s="10" t="n">
        <v>55</v>
      </c>
      <c r="I1902" s="10">
        <f>IFERROR(T1902*H1902,0)</f>
        <v/>
      </c>
      <c r="J1902" s="11" t="n">
        <v>46248</v>
      </c>
      <c r="K1902" s="11" t="n"/>
      <c r="L1902" t="inlineStr">
        <is>
          <t>Não Devolve-Norte</t>
        </is>
      </c>
      <c r="M1902">
        <f>IF(L1902="","",IFERROR(VLOOKUP(L1902,mapGrupoStatus,2,0),"Outros"))</f>
        <v/>
      </c>
      <c r="N1902">
        <f>IF(O1902="","",IF(O1902&lt;=30,"0-30 dias",IF(O1902&lt;=60,"31-60 dias",IF(O1902&lt;=90,"61-90 dias","Mais de 90 dias"))))</f>
        <v/>
      </c>
      <c r="O1902">
        <f>IF(OR(M1902="Pendente",M1902="Em andamento"),IF(J1902="","",TODAY()-J1902),"")</f>
        <v/>
      </c>
      <c r="P1902" t="n">
        <v>11365</v>
      </c>
      <c r="Q1902" t="inlineStr">
        <is>
          <t>Ártico Express (11365)</t>
        </is>
      </c>
      <c r="R1902" t="inlineStr">
        <is>
          <t>PC-0008</t>
        </is>
      </c>
      <c r="S1902" t="inlineStr">
        <is>
          <t>Ventilador modelo 02</t>
        </is>
      </c>
      <c r="T1902" t="n">
        <v>1</v>
      </c>
      <c r="U1902" t="inlineStr"/>
      <c r="V1902">
        <f>IF(J1902="","",MONTH(J1902))</f>
        <v/>
      </c>
      <c r="W1902">
        <f>IF(J1902="","",YEAR(J1902))</f>
        <v/>
      </c>
      <c r="X1902" t="inlineStr"/>
      <c r="Y1902">
        <f>IFERROR(INDEX(Rastreio!$H$2:$H$200,MATCH(X1902&amp;"|"&amp;U1902,Rastreio!$A$2:$A$200,0)),"")</f>
        <v/>
      </c>
    </row>
    <row r="1903">
      <c r="A1903">
        <f>IFERROR(INDEX(STAs!$G$2:$G$61,MATCH(P1903,STAs!$F$2:$F$61,0))&amp;"","")</f>
        <v/>
      </c>
      <c r="B1903" t="n">
        <v>20023290</v>
      </c>
      <c r="C1903" t="inlineStr">
        <is>
          <t>Não</t>
        </is>
      </c>
      <c r="D1903" t="inlineStr">
        <is>
          <t>MG</t>
        </is>
      </c>
      <c r="E1903" t="inlineStr">
        <is>
          <t>SUDESTE MG</t>
        </is>
      </c>
      <c r="F1903" t="inlineStr">
        <is>
          <t>Cliente A - Refrigerador</t>
        </is>
      </c>
      <c r="G1903" t="inlineStr">
        <is>
          <t>Misturadores</t>
        </is>
      </c>
      <c r="H1903" s="10" t="n">
        <v>255</v>
      </c>
      <c r="I1903" s="10">
        <f>IFERROR(T1903*H1903,0)</f>
        <v/>
      </c>
      <c r="J1903" s="11" t="n">
        <v>46248</v>
      </c>
      <c r="K1903" s="11" t="n"/>
      <c r="L1903" t="inlineStr">
        <is>
          <t>Aguardando devolução</t>
        </is>
      </c>
      <c r="M1903">
        <f>IF(L1903="","",IFERROR(VLOOKUP(L1903,mapGrupoStatus,2,0),"Outros"))</f>
        <v/>
      </c>
      <c r="N1903">
        <f>IF(O1903="","",IF(O1903&lt;=30,"0-30 dias",IF(O1903&lt;=60,"31-60 dias",IF(O1903&lt;=90,"61-90 dias","Mais de 90 dias"))))</f>
        <v/>
      </c>
      <c r="O1903">
        <f>IF(OR(M1903="Pendente",M1903="Em andamento"),IF(J1903="","",TODAY()-J1903),"")</f>
        <v/>
      </c>
      <c r="P1903" t="n">
        <v>12158</v>
      </c>
      <c r="Q1903" t="inlineStr">
        <is>
          <t>Gelo Serviços (12158)</t>
        </is>
      </c>
      <c r="R1903" t="inlineStr">
        <is>
          <t>PC-0037</t>
        </is>
      </c>
      <c r="S1903" t="inlineStr">
        <is>
          <t>Bomba de recirculação modelo 01</t>
        </is>
      </c>
      <c r="T1903" t="n">
        <v>1</v>
      </c>
      <c r="U1903" t="inlineStr"/>
      <c r="V1903">
        <f>IF(J1903="","",MONTH(J1903))</f>
        <v/>
      </c>
      <c r="W1903">
        <f>IF(J1903="","",YEAR(J1903))</f>
        <v/>
      </c>
      <c r="X1903" t="inlineStr"/>
      <c r="Y1903">
        <f>IFERROR(INDEX(Rastreio!$H$2:$H$200,MATCH(X1903&amp;"|"&amp;U1903,Rastreio!$A$2:$A$200,0)),"")</f>
        <v/>
      </c>
    </row>
    <row r="1904">
      <c r="A1904">
        <f>IFERROR(INDEX(STAs!$G$2:$G$61,MATCH(P1904,STAs!$F$2:$F$61,0))&amp;"","")</f>
        <v/>
      </c>
      <c r="B1904" t="n">
        <v>20023781</v>
      </c>
      <c r="C1904" t="inlineStr">
        <is>
          <t>Não</t>
        </is>
      </c>
      <c r="D1904" t="inlineStr">
        <is>
          <t>BA</t>
        </is>
      </c>
      <c r="E1904" t="inlineStr">
        <is>
          <t>NORDESTE</t>
        </is>
      </c>
      <c r="F1904" t="inlineStr">
        <is>
          <t>Cliente B - Chopeira</t>
        </is>
      </c>
      <c r="G1904" t="inlineStr">
        <is>
          <t>Misturadores</t>
        </is>
      </c>
      <c r="H1904" s="10" t="n">
        <v>60</v>
      </c>
      <c r="I1904" s="10">
        <f>IFERROR(T1904*H1904,0)</f>
        <v/>
      </c>
      <c r="J1904" s="11" t="n">
        <v>46248</v>
      </c>
      <c r="K1904" s="11" t="n"/>
      <c r="L1904" t="inlineStr">
        <is>
          <t>Em transporte</t>
        </is>
      </c>
      <c r="M1904">
        <f>IF(L1904="","",IFERROR(VLOOKUP(L1904,mapGrupoStatus,2,0),"Outros"))</f>
        <v/>
      </c>
      <c r="N1904">
        <f>IF(O1904="","",IF(O1904&lt;=30,"0-30 dias",IF(O1904&lt;=60,"31-60 dias",IF(O1904&lt;=90,"61-90 dias","Mais de 90 dias"))))</f>
        <v/>
      </c>
      <c r="O1904">
        <f>IF(OR(M1904="Pendente",M1904="Em andamento"),IF(J1904="","",TODAY()-J1904),"")</f>
        <v/>
      </c>
      <c r="P1904" t="n">
        <v>11244</v>
      </c>
      <c r="Q1904" t="inlineStr">
        <is>
          <t>Refrigeração Manutenção (11244)</t>
        </is>
      </c>
      <c r="R1904" t="inlineStr">
        <is>
          <t>PC-0046</t>
        </is>
      </c>
      <c r="S1904" t="inlineStr">
        <is>
          <t>Sensor de nível modelo 02</t>
        </is>
      </c>
      <c r="T1904" t="n">
        <v>3</v>
      </c>
      <c r="U1904" t="n">
        <v>136</v>
      </c>
      <c r="V1904">
        <f>IF(J1904="","",MONTH(J1904))</f>
        <v/>
      </c>
      <c r="W1904">
        <f>IF(J1904="","",YEAR(J1904))</f>
        <v/>
      </c>
      <c r="X1904" t="inlineStr">
        <is>
          <t>EntregaJá</t>
        </is>
      </c>
      <c r="Y1904">
        <f>IFERROR(INDEX(Rastreio!$H$2:$H$200,MATCH(X1904&amp;"|"&amp;U1904,Rastreio!$A$2:$A$200,0)),"")</f>
        <v/>
      </c>
    </row>
    <row r="1905">
      <c r="A1905">
        <f>IFERROR(INDEX(STAs!$G$2:$G$61,MATCH(P1905,STAs!$F$2:$F$61,0))&amp;"","")</f>
        <v/>
      </c>
      <c r="B1905" t="n">
        <v>20036428</v>
      </c>
      <c r="C1905" t="inlineStr">
        <is>
          <t>Não</t>
        </is>
      </c>
      <c r="D1905" t="inlineStr">
        <is>
          <t>SP</t>
        </is>
      </c>
      <c r="E1905" t="inlineStr">
        <is>
          <t>SUDESTE SP</t>
        </is>
      </c>
      <c r="F1905" t="inlineStr">
        <is>
          <t>Cliente C - Misturador</t>
        </is>
      </c>
      <c r="G1905" t="inlineStr">
        <is>
          <t>Refrigeradores</t>
        </is>
      </c>
      <c r="H1905" s="10" t="n">
        <v>35</v>
      </c>
      <c r="I1905" s="10">
        <f>IFERROR(T1905*H1905,0)</f>
        <v/>
      </c>
      <c r="J1905" s="11" t="n">
        <v>46248</v>
      </c>
      <c r="K1905" s="11" t="n"/>
      <c r="L1905" t="inlineStr">
        <is>
          <t>Debitar do STA</t>
        </is>
      </c>
      <c r="M1905">
        <f>IF(L1905="","",IFERROR(VLOOKUP(L1905,mapGrupoStatus,2,0),"Outros"))</f>
        <v/>
      </c>
      <c r="N1905">
        <f>IF(O1905="","",IF(O1905&lt;=30,"0-30 dias",IF(O1905&lt;=60,"31-60 dias",IF(O1905&lt;=90,"61-90 dias","Mais de 90 dias"))))</f>
        <v/>
      </c>
      <c r="O1905">
        <f>IF(OR(M1905="Pendente",M1905="Em andamento"),IF(J1905="","",TODAY()-J1905),"")</f>
        <v/>
      </c>
      <c r="P1905" t="n">
        <v>12901</v>
      </c>
      <c r="Q1905" t="inlineStr">
        <is>
          <t>Frio Serviços (12901)</t>
        </is>
      </c>
      <c r="R1905" t="inlineStr">
        <is>
          <t>PC-0024</t>
        </is>
      </c>
      <c r="S1905" t="inlineStr">
        <is>
          <t>Relé de partida modelo 02</t>
        </is>
      </c>
      <c r="T1905" t="n">
        <v>1</v>
      </c>
      <c r="U1905" t="inlineStr"/>
      <c r="V1905">
        <f>IF(J1905="","",MONTH(J1905))</f>
        <v/>
      </c>
      <c r="W1905">
        <f>IF(J1905="","",YEAR(J1905))</f>
        <v/>
      </c>
      <c r="X1905" t="inlineStr"/>
      <c r="Y1905">
        <f>IFERROR(INDEX(Rastreio!$H$2:$H$200,MATCH(X1905&amp;"|"&amp;U1905,Rastreio!$A$2:$A$200,0)),"")</f>
        <v/>
      </c>
    </row>
    <row r="1906">
      <c r="A1906">
        <f>IFERROR(INDEX(STAs!$G$2:$G$61,MATCH(P1906,STAs!$F$2:$F$61,0))&amp;"","")</f>
        <v/>
      </c>
      <c r="B1906" t="n">
        <v>20008457</v>
      </c>
      <c r="C1906" t="inlineStr">
        <is>
          <t>Não</t>
        </is>
      </c>
      <c r="D1906" t="inlineStr">
        <is>
          <t>RR</t>
        </is>
      </c>
      <c r="E1906" t="inlineStr">
        <is>
          <t>NORTE</t>
        </is>
      </c>
      <c r="F1906" t="inlineStr">
        <is>
          <t>Cliente A - Refrigerador</t>
        </is>
      </c>
      <c r="G1906" t="inlineStr">
        <is>
          <t>Chopeiras</t>
        </is>
      </c>
      <c r="H1906" s="10" t="n">
        <v>85</v>
      </c>
      <c r="I1906" s="10">
        <f>IFERROR(T1906*H1906,0)</f>
        <v/>
      </c>
      <c r="J1906" s="11" t="n">
        <v>46249</v>
      </c>
      <c r="K1906" s="11" t="n"/>
      <c r="L1906" t="inlineStr">
        <is>
          <t>NF Vencida</t>
        </is>
      </c>
      <c r="M1906">
        <f>IF(L1906="","",IFERROR(VLOOKUP(L1906,mapGrupoStatus,2,0),"Outros"))</f>
        <v/>
      </c>
      <c r="N1906">
        <f>IF(O1906="","",IF(O1906&lt;=30,"0-30 dias",IF(O1906&lt;=60,"31-60 dias",IF(O1906&lt;=90,"61-90 dias","Mais de 90 dias"))))</f>
        <v/>
      </c>
      <c r="O1906">
        <f>IF(OR(M1906="Pendente",M1906="Em andamento"),IF(J1906="","",TODAY()-J1906),"")</f>
        <v/>
      </c>
      <c r="P1906" t="n">
        <v>12422</v>
      </c>
      <c r="Q1906" t="inlineStr">
        <is>
          <t>Assistência Técnica Refrigeração (12422)</t>
        </is>
      </c>
      <c r="R1906" t="inlineStr">
        <is>
          <t>PC-0036</t>
        </is>
      </c>
      <c r="S1906" t="inlineStr">
        <is>
          <t>Válvula extratora modelo 02</t>
        </is>
      </c>
      <c r="T1906" t="n">
        <v>1</v>
      </c>
      <c r="U1906" t="inlineStr"/>
      <c r="V1906">
        <f>IF(J1906="","",MONTH(J1906))</f>
        <v/>
      </c>
      <c r="W1906">
        <f>IF(J1906="","",YEAR(J1906))</f>
        <v/>
      </c>
      <c r="X1906" t="inlineStr"/>
      <c r="Y1906">
        <f>IFERROR(INDEX(Rastreio!$H$2:$H$200,MATCH(X1906&amp;"|"&amp;U1906,Rastreio!$A$2:$A$200,0)),"")</f>
        <v/>
      </c>
    </row>
    <row r="1907">
      <c r="A1907">
        <f>IFERROR(INDEX(STAs!$G$2:$G$61,MATCH(P1907,STAs!$F$2:$F$61,0))&amp;"","")</f>
        <v/>
      </c>
      <c r="B1907" t="n">
        <v>20008530</v>
      </c>
      <c r="C1907" t="inlineStr">
        <is>
          <t>Não</t>
        </is>
      </c>
      <c r="D1907" t="inlineStr">
        <is>
          <t>PI</t>
        </is>
      </c>
      <c r="E1907" t="inlineStr">
        <is>
          <t>NORDESTE</t>
        </is>
      </c>
      <c r="F1907" t="inlineStr">
        <is>
          <t>Cliente A - Refrigerador</t>
        </is>
      </c>
      <c r="G1907" t="inlineStr">
        <is>
          <t>Chopeiras</t>
        </is>
      </c>
      <c r="H1907" s="10" t="n">
        <v>115</v>
      </c>
      <c r="I1907" s="10">
        <f>IFERROR(T1907*H1907,0)</f>
        <v/>
      </c>
      <c r="J1907" s="11" t="n">
        <v>46249</v>
      </c>
      <c r="K1907" s="11" t="n">
        <v>46273</v>
      </c>
      <c r="L1907" t="inlineStr">
        <is>
          <t>Ok. Devolvida</t>
        </is>
      </c>
      <c r="M1907">
        <f>IF(L1907="","",IFERROR(VLOOKUP(L1907,mapGrupoStatus,2,0),"Outros"))</f>
        <v/>
      </c>
      <c r="N1907">
        <f>IF(O1907="","",IF(O1907&lt;=30,"0-30 dias",IF(O1907&lt;=60,"31-60 dias",IF(O1907&lt;=90,"61-90 dias","Mais de 90 dias"))))</f>
        <v/>
      </c>
      <c r="O1907">
        <f>IF(OR(M1907="Pendente",M1907="Em andamento"),IF(J1907="","",TODAY()-J1907),"")</f>
        <v/>
      </c>
      <c r="P1907" t="n">
        <v>10562</v>
      </c>
      <c r="Q1907" t="inlineStr">
        <is>
          <t>Clima &amp; Cia (10562)</t>
        </is>
      </c>
      <c r="R1907" t="inlineStr">
        <is>
          <t>PC-0033</t>
        </is>
      </c>
      <c r="S1907" t="inlineStr">
        <is>
          <t>Regulador de pressão modelo 02</t>
        </is>
      </c>
      <c r="T1907" t="n">
        <v>1</v>
      </c>
      <c r="U1907" t="n">
        <v>115</v>
      </c>
      <c r="V1907">
        <f>IF(J1907="","",MONTH(J1907))</f>
        <v/>
      </c>
      <c r="W1907">
        <f>IF(J1907="","",YEAR(J1907))</f>
        <v/>
      </c>
      <c r="X1907" t="inlineStr">
        <is>
          <t>RotaSul</t>
        </is>
      </c>
      <c r="Y1907">
        <f>IFERROR(INDEX(Rastreio!$H$2:$H$200,MATCH(X1907&amp;"|"&amp;U1907,Rastreio!$A$2:$A$200,0)),"")</f>
        <v/>
      </c>
    </row>
    <row r="1908">
      <c r="A1908">
        <f>IFERROR(INDEX(STAs!$G$2:$G$61,MATCH(P1908,STAs!$F$2:$F$61,0))&amp;"","")</f>
        <v/>
      </c>
      <c r="B1908" t="n">
        <v>20010750</v>
      </c>
      <c r="C1908" t="inlineStr">
        <is>
          <t>Não</t>
        </is>
      </c>
      <c r="D1908" t="inlineStr">
        <is>
          <t>BA</t>
        </is>
      </c>
      <c r="E1908" t="inlineStr">
        <is>
          <t>NORDESTE</t>
        </is>
      </c>
      <c r="F1908" t="inlineStr">
        <is>
          <t>Cliente C - Misturador</t>
        </is>
      </c>
      <c r="G1908" t="inlineStr">
        <is>
          <t>Misturadores</t>
        </is>
      </c>
      <c r="H1908" s="10" t="n">
        <v>200</v>
      </c>
      <c r="I1908" s="10">
        <f>IFERROR(T1908*H1908,0)</f>
        <v/>
      </c>
      <c r="J1908" s="11" t="n">
        <v>46249</v>
      </c>
      <c r="K1908" s="11" t="n">
        <v>46267</v>
      </c>
      <c r="L1908" t="inlineStr">
        <is>
          <t>Ok. Devolvida</t>
        </is>
      </c>
      <c r="M1908">
        <f>IF(L1908="","",IFERROR(VLOOKUP(L1908,mapGrupoStatus,2,0),"Outros"))</f>
        <v/>
      </c>
      <c r="N1908">
        <f>IF(O1908="","",IF(O1908&lt;=30,"0-30 dias",IF(O1908&lt;=60,"31-60 dias",IF(O1908&lt;=90,"61-90 dias","Mais de 90 dias"))))</f>
        <v/>
      </c>
      <c r="O1908">
        <f>IF(OR(M1908="Pendente",M1908="Em andamento"),IF(J1908="","",TODAY()-J1908),"")</f>
        <v/>
      </c>
      <c r="P1908" t="n">
        <v>11244</v>
      </c>
      <c r="Q1908" t="inlineStr">
        <is>
          <t>Refrigeração Manutenção (11244)</t>
        </is>
      </c>
      <c r="R1908" t="inlineStr">
        <is>
          <t>PC-0040</t>
        </is>
      </c>
      <c r="S1908" t="inlineStr">
        <is>
          <t>Motor agitador modelo 01</t>
        </is>
      </c>
      <c r="T1908" t="n">
        <v>1</v>
      </c>
      <c r="U1908" t="n">
        <v>119</v>
      </c>
      <c r="V1908">
        <f>IF(J1908="","",MONTH(J1908))</f>
        <v/>
      </c>
      <c r="W1908">
        <f>IF(J1908="","",YEAR(J1908))</f>
        <v/>
      </c>
      <c r="X1908" t="inlineStr">
        <is>
          <t>RotaSul</t>
        </is>
      </c>
      <c r="Y1908">
        <f>IFERROR(INDEX(Rastreio!$H$2:$H$200,MATCH(X1908&amp;"|"&amp;U1908,Rastreio!$A$2:$A$200,0)),"")</f>
        <v/>
      </c>
    </row>
    <row r="1909">
      <c r="A1909">
        <f>IFERROR(INDEX(STAs!$G$2:$G$61,MATCH(P1909,STAs!$F$2:$F$61,0))&amp;"","")</f>
        <v/>
      </c>
      <c r="B1909" t="n">
        <v>20025069</v>
      </c>
      <c r="C1909" t="inlineStr">
        <is>
          <t>Sim</t>
        </is>
      </c>
      <c r="D1909" t="inlineStr">
        <is>
          <t>SP</t>
        </is>
      </c>
      <c r="E1909" t="inlineStr">
        <is>
          <t>SUDESTE SP</t>
        </is>
      </c>
      <c r="F1909" t="inlineStr">
        <is>
          <t>Cliente B - Chopeira</t>
        </is>
      </c>
      <c r="G1909" t="inlineStr">
        <is>
          <t>Chopeiras</t>
        </is>
      </c>
      <c r="H1909" s="10" t="n">
        <v>85</v>
      </c>
      <c r="I1909" s="10">
        <f>IFERROR(T1909*H1909,0)</f>
        <v/>
      </c>
      <c r="J1909" s="11" t="n">
        <v>46249</v>
      </c>
      <c r="K1909" s="11" t="n"/>
      <c r="L1909" t="inlineStr">
        <is>
          <t>Debitar do STA</t>
        </is>
      </c>
      <c r="M1909">
        <f>IF(L1909="","",IFERROR(VLOOKUP(L1909,mapGrupoStatus,2,0),"Outros"))</f>
        <v/>
      </c>
      <c r="N1909">
        <f>IF(O1909="","",IF(O1909&lt;=30,"0-30 dias",IF(O1909&lt;=60,"31-60 dias",IF(O1909&lt;=90,"61-90 dias","Mais de 90 dias"))))</f>
        <v/>
      </c>
      <c r="O1909">
        <f>IF(OR(M1909="Pendente",M1909="Em andamento"),IF(J1909="","",TODAY()-J1909),"")</f>
        <v/>
      </c>
      <c r="P1909" t="n">
        <v>10010</v>
      </c>
      <c r="Q1909" t="inlineStr">
        <is>
          <t>Cool Service ME (10010)</t>
        </is>
      </c>
      <c r="R1909" t="inlineStr">
        <is>
          <t>PC-0026</t>
        </is>
      </c>
      <c r="S1909" t="inlineStr">
        <is>
          <t>Torneira de chopp modelo 01</t>
        </is>
      </c>
      <c r="T1909" t="n">
        <v>1</v>
      </c>
      <c r="U1909" t="inlineStr"/>
      <c r="V1909">
        <f>IF(J1909="","",MONTH(J1909))</f>
        <v/>
      </c>
      <c r="W1909">
        <f>IF(J1909="","",YEAR(J1909))</f>
        <v/>
      </c>
      <c r="X1909" t="inlineStr"/>
      <c r="Y1909">
        <f>IFERROR(INDEX(Rastreio!$H$2:$H$200,MATCH(X1909&amp;"|"&amp;U1909,Rastreio!$A$2:$A$200,0)),"")</f>
        <v/>
      </c>
    </row>
    <row r="1910">
      <c r="A1910">
        <f>IFERROR(INDEX(STAs!$G$2:$G$61,MATCH(P1910,STAs!$F$2:$F$61,0))&amp;"","")</f>
        <v/>
      </c>
      <c r="B1910" t="n">
        <v>20025440</v>
      </c>
      <c r="C1910" t="inlineStr">
        <is>
          <t>Não</t>
        </is>
      </c>
      <c r="D1910" t="inlineStr">
        <is>
          <t>PE</t>
        </is>
      </c>
      <c r="E1910" t="inlineStr">
        <is>
          <t>NORDESTE</t>
        </is>
      </c>
      <c r="F1910" t="inlineStr">
        <is>
          <t>Cliente B - Chopeira</t>
        </is>
      </c>
      <c r="G1910" t="inlineStr">
        <is>
          <t>Chopeiras</t>
        </is>
      </c>
      <c r="H1910" s="10" t="n">
        <v>100</v>
      </c>
      <c r="I1910" s="10">
        <f>IFERROR(T1910*H1910,0)</f>
        <v/>
      </c>
      <c r="J1910" s="11" t="n">
        <v>46249</v>
      </c>
      <c r="K1910" s="11" t="n">
        <v>46277</v>
      </c>
      <c r="L1910" t="inlineStr">
        <is>
          <t>Ok. Devolvida</t>
        </is>
      </c>
      <c r="M1910">
        <f>IF(L1910="","",IFERROR(VLOOKUP(L1910,mapGrupoStatus,2,0),"Outros"))</f>
        <v/>
      </c>
      <c r="N1910">
        <f>IF(O1910="","",IF(O1910&lt;=30,"0-30 dias",IF(O1910&lt;=60,"31-60 dias",IF(O1910&lt;=90,"61-90 dias","Mais de 90 dias"))))</f>
        <v/>
      </c>
      <c r="O1910">
        <f>IF(OR(M1910="Pendente",M1910="Em andamento"),IF(J1910="","",TODAY()-J1910),"")</f>
        <v/>
      </c>
      <c r="P1910" t="n">
        <v>11352</v>
      </c>
      <c r="Q1910" t="inlineStr">
        <is>
          <t>Frio Express (11352)</t>
        </is>
      </c>
      <c r="R1910" t="inlineStr">
        <is>
          <t>PC-0027</t>
        </is>
      </c>
      <c r="S1910" t="inlineStr">
        <is>
          <t>Torneira de chopp modelo 02</t>
        </is>
      </c>
      <c r="T1910" t="n">
        <v>1</v>
      </c>
      <c r="U1910" t="n">
        <v>143</v>
      </c>
      <c r="V1910">
        <f>IF(J1910="","",MONTH(J1910))</f>
        <v/>
      </c>
      <c r="W1910">
        <f>IF(J1910="","",YEAR(J1910))</f>
        <v/>
      </c>
      <c r="X1910" t="inlineStr">
        <is>
          <t>CargoMax</t>
        </is>
      </c>
      <c r="Y1910">
        <f>IFERROR(INDEX(Rastreio!$H$2:$H$200,MATCH(X1910&amp;"|"&amp;U1910,Rastreio!$A$2:$A$200,0)),"")</f>
        <v/>
      </c>
    </row>
    <row r="1911">
      <c r="A1911">
        <f>IFERROR(INDEX(STAs!$G$2:$G$61,MATCH(P1911,STAs!$F$2:$F$61,0))&amp;"","")</f>
        <v/>
      </c>
      <c r="B1911" t="n">
        <v>20040954</v>
      </c>
      <c r="C1911" t="inlineStr">
        <is>
          <t>Não</t>
        </is>
      </c>
      <c r="D1911" t="inlineStr">
        <is>
          <t>SP</t>
        </is>
      </c>
      <c r="E1911" t="inlineStr">
        <is>
          <t>SUDESTE SP</t>
        </is>
      </c>
      <c r="F1911" t="inlineStr">
        <is>
          <t>Cliente A - Refrigerador</t>
        </is>
      </c>
      <c r="G1911" t="inlineStr">
        <is>
          <t>Refrigeradores</t>
        </is>
      </c>
      <c r="H1911" s="10" t="n">
        <v>30</v>
      </c>
      <c r="I1911" s="10">
        <f>IFERROR(T1911*H1911,0)</f>
        <v/>
      </c>
      <c r="J1911" s="11" t="n">
        <v>46249</v>
      </c>
      <c r="K1911" s="11" t="n">
        <v>46296</v>
      </c>
      <c r="L1911" t="inlineStr">
        <is>
          <t>Ok. Devolvida</t>
        </is>
      </c>
      <c r="M1911">
        <f>IF(L1911="","",IFERROR(VLOOKUP(L1911,mapGrupoStatus,2,0),"Outros"))</f>
        <v/>
      </c>
      <c r="N1911">
        <f>IF(O1911="","",IF(O1911&lt;=30,"0-30 dias",IF(O1911&lt;=60,"31-60 dias",IF(O1911&lt;=90,"61-90 dias","Mais de 90 dias"))))</f>
        <v/>
      </c>
      <c r="O1911">
        <f>IF(OR(M1911="Pendente",M1911="Em andamento"),IF(J1911="","",TODAY()-J1911),"")</f>
        <v/>
      </c>
      <c r="P1911" t="n">
        <v>11365</v>
      </c>
      <c r="Q1911" t="inlineStr">
        <is>
          <t>Ártico Express (11365)</t>
        </is>
      </c>
      <c r="R1911" t="inlineStr">
        <is>
          <t>PC-0025</t>
        </is>
      </c>
      <c r="S1911" t="inlineStr">
        <is>
          <t>Relé de partida modelo 03</t>
        </is>
      </c>
      <c r="T1911" t="n">
        <v>1</v>
      </c>
      <c r="U1911" t="n">
        <v>170</v>
      </c>
      <c r="V1911">
        <f>IF(J1911="","",MONTH(J1911))</f>
        <v/>
      </c>
      <c r="W1911">
        <f>IF(J1911="","",YEAR(J1911))</f>
        <v/>
      </c>
      <c r="X1911" t="inlineStr">
        <is>
          <t>TransNorte</t>
        </is>
      </c>
      <c r="Y1911">
        <f>IFERROR(INDEX(Rastreio!$H$2:$H$200,MATCH(X1911&amp;"|"&amp;U1911,Rastreio!$A$2:$A$200,0)),"")</f>
        <v/>
      </c>
    </row>
    <row r="1912">
      <c r="A1912">
        <f>IFERROR(INDEX(STAs!$G$2:$G$61,MATCH(P1912,STAs!$F$2:$F$61,0))&amp;"","")</f>
        <v/>
      </c>
      <c r="B1912" t="n">
        <v>20001176</v>
      </c>
      <c r="C1912" t="inlineStr">
        <is>
          <t>Não</t>
        </is>
      </c>
      <c r="D1912" t="inlineStr">
        <is>
          <t>PR</t>
        </is>
      </c>
      <c r="E1912" t="inlineStr">
        <is>
          <t>SUL</t>
        </is>
      </c>
      <c r="F1912" t="inlineStr">
        <is>
          <t>Cliente C - Misturador</t>
        </is>
      </c>
      <c r="G1912" t="inlineStr">
        <is>
          <t>Refrigeradores</t>
        </is>
      </c>
      <c r="H1912" s="10" t="n">
        <v>30</v>
      </c>
      <c r="I1912" s="10">
        <f>IFERROR(T1912*H1912,0)</f>
        <v/>
      </c>
      <c r="J1912" s="11" t="n">
        <v>46250</v>
      </c>
      <c r="K1912" s="11" t="n">
        <v>46292</v>
      </c>
      <c r="L1912" t="inlineStr">
        <is>
          <t>Ok. Devolvida</t>
        </is>
      </c>
      <c r="M1912">
        <f>IF(L1912="","",IFERROR(VLOOKUP(L1912,mapGrupoStatus,2,0),"Outros"))</f>
        <v/>
      </c>
      <c r="N1912">
        <f>IF(O1912="","",IF(O1912&lt;=30,"0-30 dias",IF(O1912&lt;=60,"31-60 dias",IF(O1912&lt;=90,"61-90 dias","Mais de 90 dias"))))</f>
        <v/>
      </c>
      <c r="O1912">
        <f>IF(OR(M1912="Pendente",M1912="Em andamento"),IF(J1912="","",TODAY()-J1912),"")</f>
        <v/>
      </c>
      <c r="P1912" t="n">
        <v>11898</v>
      </c>
      <c r="Q1912" t="inlineStr">
        <is>
          <t>Refrigel Express (11898)</t>
        </is>
      </c>
      <c r="R1912" t="inlineStr">
        <is>
          <t>PC-0025</t>
        </is>
      </c>
      <c r="S1912" t="inlineStr">
        <is>
          <t>Relé de partida modelo 03</t>
        </is>
      </c>
      <c r="T1912" t="n">
        <v>1</v>
      </c>
      <c r="U1912" t="n">
        <v>101</v>
      </c>
      <c r="V1912">
        <f>IF(J1912="","",MONTH(J1912))</f>
        <v/>
      </c>
      <c r="W1912">
        <f>IF(J1912="","",YEAR(J1912))</f>
        <v/>
      </c>
      <c r="X1912" t="inlineStr">
        <is>
          <t>TransNorte</t>
        </is>
      </c>
      <c r="Y1912">
        <f>IFERROR(INDEX(Rastreio!$H$2:$H$200,MATCH(X1912&amp;"|"&amp;U1912,Rastreio!$A$2:$A$200,0)),"")</f>
        <v/>
      </c>
    </row>
    <row r="1913">
      <c r="A1913">
        <f>IFERROR(INDEX(STAs!$G$2:$G$61,MATCH(P1913,STAs!$F$2:$F$61,0))&amp;"","")</f>
        <v/>
      </c>
      <c r="B1913" t="n">
        <v>20011155</v>
      </c>
      <c r="C1913" t="inlineStr">
        <is>
          <t>Não</t>
        </is>
      </c>
      <c r="D1913" t="inlineStr">
        <is>
          <t>PB</t>
        </is>
      </c>
      <c r="E1913" t="inlineStr">
        <is>
          <t>NORDESTE</t>
        </is>
      </c>
      <c r="F1913" t="inlineStr">
        <is>
          <t>Cliente A - Refrigerador</t>
        </is>
      </c>
      <c r="G1913" t="inlineStr">
        <is>
          <t>Refrigeradores</t>
        </is>
      </c>
      <c r="H1913" s="10" t="n">
        <v>45</v>
      </c>
      <c r="I1913" s="10">
        <f>IFERROR(T1913*H1913,0)</f>
        <v/>
      </c>
      <c r="J1913" s="11" t="n">
        <v>46250</v>
      </c>
      <c r="K1913" s="11" t="n"/>
      <c r="L1913" t="inlineStr">
        <is>
          <t>Debitar do STA</t>
        </is>
      </c>
      <c r="M1913">
        <f>IF(L1913="","",IFERROR(VLOOKUP(L1913,mapGrupoStatus,2,0),"Outros"))</f>
        <v/>
      </c>
      <c r="N1913">
        <f>IF(O1913="","",IF(O1913&lt;=30,"0-30 dias",IF(O1913&lt;=60,"31-60 dias",IF(O1913&lt;=90,"61-90 dias","Mais de 90 dias"))))</f>
        <v/>
      </c>
      <c r="O1913">
        <f>IF(OR(M1913="Pendente",M1913="Em andamento"),IF(J1913="","",TODAY()-J1913),"")</f>
        <v/>
      </c>
      <c r="P1913" t="n">
        <v>11741</v>
      </c>
      <c r="Q1913" t="inlineStr">
        <is>
          <t>Clima Refrigeração (11741)</t>
        </is>
      </c>
      <c r="R1913" t="inlineStr">
        <is>
          <t>PC-0018</t>
        </is>
      </c>
      <c r="S1913" t="inlineStr">
        <is>
          <t>Gaxeta da porta modelo 01</t>
        </is>
      </c>
      <c r="T1913" t="n">
        <v>1</v>
      </c>
      <c r="U1913" t="inlineStr"/>
      <c r="V1913">
        <f>IF(J1913="","",MONTH(J1913))</f>
        <v/>
      </c>
      <c r="W1913">
        <f>IF(J1913="","",YEAR(J1913))</f>
        <v/>
      </c>
      <c r="X1913" t="inlineStr"/>
      <c r="Y1913">
        <f>IFERROR(INDEX(Rastreio!$H$2:$H$200,MATCH(X1913&amp;"|"&amp;U1913,Rastreio!$A$2:$A$200,0)),"")</f>
        <v/>
      </c>
    </row>
    <row r="1914">
      <c r="A1914">
        <f>IFERROR(INDEX(STAs!$G$2:$G$61,MATCH(P1914,STAs!$F$2:$F$61,0))&amp;"","")</f>
        <v/>
      </c>
      <c r="B1914" t="n">
        <v>20021477</v>
      </c>
      <c r="C1914" t="inlineStr">
        <is>
          <t>Não</t>
        </is>
      </c>
      <c r="D1914" t="inlineStr">
        <is>
          <t>ES</t>
        </is>
      </c>
      <c r="E1914" t="inlineStr">
        <is>
          <t>SUDESTE RJ e ES</t>
        </is>
      </c>
      <c r="F1914" t="inlineStr">
        <is>
          <t>Cliente A - Refrigerador</t>
        </is>
      </c>
      <c r="G1914" t="inlineStr">
        <is>
          <t>Refrigeradores</t>
        </is>
      </c>
      <c r="H1914" s="10" t="n">
        <v>30</v>
      </c>
      <c r="I1914" s="10">
        <f>IFERROR(T1914*H1914,0)</f>
        <v/>
      </c>
      <c r="J1914" s="11" t="n">
        <v>46250</v>
      </c>
      <c r="K1914" s="11" t="n"/>
      <c r="L1914" t="inlineStr">
        <is>
          <t>Aguardando devolução</t>
        </is>
      </c>
      <c r="M1914">
        <f>IF(L1914="","",IFERROR(VLOOKUP(L1914,mapGrupoStatus,2,0),"Outros"))</f>
        <v/>
      </c>
      <c r="N1914">
        <f>IF(O1914="","",IF(O1914&lt;=30,"0-30 dias",IF(O1914&lt;=60,"31-60 dias",IF(O1914&lt;=90,"61-90 dias","Mais de 90 dias"))))</f>
        <v/>
      </c>
      <c r="O1914">
        <f>IF(OR(M1914="Pendente",M1914="Em andamento"),IF(J1914="","",TODAY()-J1914),"")</f>
        <v/>
      </c>
      <c r="P1914" t="n">
        <v>11099</v>
      </c>
      <c r="Q1914" t="inlineStr">
        <is>
          <t>Refrigel Serviços (11099)</t>
        </is>
      </c>
      <c r="R1914" t="inlineStr">
        <is>
          <t>PC-0017</t>
        </is>
      </c>
      <c r="S1914" t="inlineStr">
        <is>
          <t>Filtro secador modelo 03</t>
        </is>
      </c>
      <c r="T1914" t="n">
        <v>1</v>
      </c>
      <c r="U1914" t="inlineStr"/>
      <c r="V1914">
        <f>IF(J1914="","",MONTH(J1914))</f>
        <v/>
      </c>
      <c r="W1914">
        <f>IF(J1914="","",YEAR(J1914))</f>
        <v/>
      </c>
      <c r="X1914" t="inlineStr"/>
      <c r="Y1914">
        <f>IFERROR(INDEX(Rastreio!$H$2:$H$200,MATCH(X1914&amp;"|"&amp;U1914,Rastreio!$A$2:$A$200,0)),"")</f>
        <v/>
      </c>
    </row>
    <row r="1915">
      <c r="A1915">
        <f>IFERROR(INDEX(STAs!$G$2:$G$61,MATCH(P1915,STAs!$F$2:$F$61,0))&amp;"","")</f>
        <v/>
      </c>
      <c r="B1915" t="n">
        <v>20024132</v>
      </c>
      <c r="C1915" t="inlineStr">
        <is>
          <t>Não</t>
        </is>
      </c>
      <c r="D1915" t="inlineStr">
        <is>
          <t>BA</t>
        </is>
      </c>
      <c r="E1915" t="inlineStr">
        <is>
          <t>NORDESTE</t>
        </is>
      </c>
      <c r="F1915" t="inlineStr">
        <is>
          <t>Cliente B - Chopeira</t>
        </is>
      </c>
      <c r="G1915" t="inlineStr">
        <is>
          <t>Chopeiras</t>
        </is>
      </c>
      <c r="H1915" s="10" t="n">
        <v>85</v>
      </c>
      <c r="I1915" s="10">
        <f>IFERROR(T1915*H1915,0)</f>
        <v/>
      </c>
      <c r="J1915" s="11" t="n">
        <v>46250</v>
      </c>
      <c r="K1915" s="11" t="n"/>
      <c r="L1915" t="inlineStr">
        <is>
          <t>Aguardando Transporte</t>
        </is>
      </c>
      <c r="M1915">
        <f>IF(L1915="","",IFERROR(VLOOKUP(L1915,mapGrupoStatus,2,0),"Outros"))</f>
        <v/>
      </c>
      <c r="N1915">
        <f>IF(O1915="","",IF(O1915&lt;=30,"0-30 dias",IF(O1915&lt;=60,"31-60 dias",IF(O1915&lt;=90,"61-90 dias","Mais de 90 dias"))))</f>
        <v/>
      </c>
      <c r="O1915">
        <f>IF(OR(M1915="Pendente",M1915="Em andamento"),IF(J1915="","",TODAY()-J1915),"")</f>
        <v/>
      </c>
      <c r="P1915" t="n">
        <v>11538</v>
      </c>
      <c r="Q1915" t="inlineStr">
        <is>
          <t>Clima Manutenção (11538)</t>
        </is>
      </c>
      <c r="R1915" t="inlineStr">
        <is>
          <t>PC-0036</t>
        </is>
      </c>
      <c r="S1915" t="inlineStr">
        <is>
          <t>Válvula extratora modelo 02</t>
        </is>
      </c>
      <c r="T1915" t="n">
        <v>1</v>
      </c>
      <c r="U1915" t="n">
        <v>140</v>
      </c>
      <c r="V1915">
        <f>IF(J1915="","",MONTH(J1915))</f>
        <v/>
      </c>
      <c r="W1915">
        <f>IF(J1915="","",YEAR(J1915))</f>
        <v/>
      </c>
      <c r="X1915" t="inlineStr">
        <is>
          <t>ViaCargo</t>
        </is>
      </c>
      <c r="Y1915">
        <f>IFERROR(INDEX(Rastreio!$H$2:$H$200,MATCH(X1915&amp;"|"&amp;U1915,Rastreio!$A$2:$A$200,0)),"")</f>
        <v/>
      </c>
    </row>
    <row r="1916">
      <c r="A1916">
        <f>IFERROR(INDEX(STAs!$G$2:$G$61,MATCH(P1916,STAs!$F$2:$F$61,0))&amp;"","")</f>
        <v/>
      </c>
      <c r="B1916" t="n">
        <v>20027465</v>
      </c>
      <c r="C1916" t="inlineStr">
        <is>
          <t>Não</t>
        </is>
      </c>
      <c r="D1916" t="inlineStr">
        <is>
          <t>RR</t>
        </is>
      </c>
      <c r="E1916" t="inlineStr">
        <is>
          <t>NORTE</t>
        </is>
      </c>
      <c r="F1916" t="inlineStr">
        <is>
          <t>Cliente B - Chopeira</t>
        </is>
      </c>
      <c r="G1916" t="inlineStr">
        <is>
          <t>Misturadores</t>
        </is>
      </c>
      <c r="H1916" s="10" t="n">
        <v>265</v>
      </c>
      <c r="I1916" s="10">
        <f>IFERROR(T1916*H1916,0)</f>
        <v/>
      </c>
      <c r="J1916" s="11" t="n">
        <v>46250</v>
      </c>
      <c r="K1916" s="11" t="n"/>
      <c r="L1916" t="inlineStr">
        <is>
          <t>Não Devolve-Norte</t>
        </is>
      </c>
      <c r="M1916">
        <f>IF(L1916="","",IFERROR(VLOOKUP(L1916,mapGrupoStatus,2,0),"Outros"))</f>
        <v/>
      </c>
      <c r="N1916">
        <f>IF(O1916="","",IF(O1916&lt;=30,"0-30 dias",IF(O1916&lt;=60,"31-60 dias",IF(O1916&lt;=90,"61-90 dias","Mais de 90 dias"))))</f>
        <v/>
      </c>
      <c r="O1916">
        <f>IF(OR(M1916="Pendente",M1916="Em andamento"),IF(J1916="","",TODAY()-J1916),"")</f>
        <v/>
      </c>
      <c r="P1916" t="n">
        <v>12422</v>
      </c>
      <c r="Q1916" t="inlineStr">
        <is>
          <t>Assistência Técnica Refrigeração (12422)</t>
        </is>
      </c>
      <c r="R1916" t="inlineStr">
        <is>
          <t>PC-0038</t>
        </is>
      </c>
      <c r="S1916" t="inlineStr">
        <is>
          <t>Bomba de recirculação modelo 02</t>
        </is>
      </c>
      <c r="T1916" t="n">
        <v>1</v>
      </c>
      <c r="U1916" t="inlineStr"/>
      <c r="V1916">
        <f>IF(J1916="","",MONTH(J1916))</f>
        <v/>
      </c>
      <c r="W1916">
        <f>IF(J1916="","",YEAR(J1916))</f>
        <v/>
      </c>
      <c r="X1916" t="inlineStr"/>
      <c r="Y1916">
        <f>IFERROR(INDEX(Rastreio!$H$2:$H$200,MATCH(X1916&amp;"|"&amp;U1916,Rastreio!$A$2:$A$200,0)),"")</f>
        <v/>
      </c>
    </row>
    <row r="1917">
      <c r="A1917">
        <f>IFERROR(INDEX(STAs!$G$2:$G$61,MATCH(P1917,STAs!$F$2:$F$61,0))&amp;"","")</f>
        <v/>
      </c>
      <c r="B1917" t="n">
        <v>20034209</v>
      </c>
      <c r="C1917" t="inlineStr">
        <is>
          <t>Não</t>
        </is>
      </c>
      <c r="D1917" t="inlineStr">
        <is>
          <t>RJ</t>
        </is>
      </c>
      <c r="E1917" t="inlineStr">
        <is>
          <t>SUDESTE RJ e ES</t>
        </is>
      </c>
      <c r="F1917" t="inlineStr">
        <is>
          <t>Cliente A - Refrigerador</t>
        </is>
      </c>
      <c r="G1917" t="inlineStr">
        <is>
          <t>Refrigeradores</t>
        </is>
      </c>
      <c r="H1917" s="10" t="n">
        <v>30</v>
      </c>
      <c r="I1917" s="10">
        <f>IFERROR(T1917*H1917,0)</f>
        <v/>
      </c>
      <c r="J1917" s="11" t="n">
        <v>46250</v>
      </c>
      <c r="K1917" s="11" t="n">
        <v>46270</v>
      </c>
      <c r="L1917" t="inlineStr">
        <is>
          <t>Ok. Devolvida</t>
        </is>
      </c>
      <c r="M1917">
        <f>IF(L1917="","",IFERROR(VLOOKUP(L1917,mapGrupoStatus,2,0),"Outros"))</f>
        <v/>
      </c>
      <c r="N1917">
        <f>IF(O1917="","",IF(O1917&lt;=30,"0-30 dias",IF(O1917&lt;=60,"31-60 dias",IF(O1917&lt;=90,"61-90 dias","Mais de 90 dias"))))</f>
        <v/>
      </c>
      <c r="O1917">
        <f>IF(OR(M1917="Pendente",M1917="Em andamento"),IF(J1917="","",TODAY()-J1917),"")</f>
        <v/>
      </c>
      <c r="P1917" t="n">
        <v>12811</v>
      </c>
      <c r="Q1917" t="inlineStr">
        <is>
          <t>Norte Frio Técnica (12811)</t>
        </is>
      </c>
      <c r="R1917" t="inlineStr">
        <is>
          <t>PC-0017</t>
        </is>
      </c>
      <c r="S1917" t="inlineStr">
        <is>
          <t>Filtro secador modelo 03</t>
        </is>
      </c>
      <c r="T1917" t="n">
        <v>1</v>
      </c>
      <c r="U1917" t="n">
        <v>153</v>
      </c>
      <c r="V1917">
        <f>IF(J1917="","",MONTH(J1917))</f>
        <v/>
      </c>
      <c r="W1917">
        <f>IF(J1917="","",YEAR(J1917))</f>
        <v/>
      </c>
      <c r="X1917" t="inlineStr">
        <is>
          <t>ViaCargo</t>
        </is>
      </c>
      <c r="Y1917">
        <f>IFERROR(INDEX(Rastreio!$H$2:$H$200,MATCH(X1917&amp;"|"&amp;U1917,Rastreio!$A$2:$A$200,0)),"")</f>
        <v/>
      </c>
    </row>
    <row r="1918">
      <c r="A1918">
        <f>IFERROR(INDEX(STAs!$G$2:$G$61,MATCH(P1918,STAs!$F$2:$F$61,0))&amp;"","")</f>
        <v/>
      </c>
      <c r="B1918" t="n">
        <v>20002888</v>
      </c>
      <c r="C1918" t="inlineStr">
        <is>
          <t>Não</t>
        </is>
      </c>
      <c r="D1918" t="inlineStr">
        <is>
          <t>ES</t>
        </is>
      </c>
      <c r="E1918" t="inlineStr">
        <is>
          <t>SUDESTE RJ e ES</t>
        </is>
      </c>
      <c r="F1918" t="inlineStr">
        <is>
          <t>Cliente A - Refrigerador</t>
        </is>
      </c>
      <c r="G1918" t="inlineStr">
        <is>
          <t>Misturadores</t>
        </is>
      </c>
      <c r="H1918" s="10" t="n">
        <v>40</v>
      </c>
      <c r="I1918" s="10">
        <f>IFERROR(T1918*H1918,0)</f>
        <v/>
      </c>
      <c r="J1918" s="11" t="n">
        <v>46251</v>
      </c>
      <c r="K1918" s="11" t="n">
        <v>46300</v>
      </c>
      <c r="L1918" t="inlineStr">
        <is>
          <t>Ok. Devolvida</t>
        </is>
      </c>
      <c r="M1918">
        <f>IF(L1918="","",IFERROR(VLOOKUP(L1918,mapGrupoStatus,2,0),"Outros"))</f>
        <v/>
      </c>
      <c r="N1918">
        <f>IF(O1918="","",IF(O1918&lt;=30,"0-30 dias",IF(O1918&lt;=60,"31-60 dias",IF(O1918&lt;=90,"61-90 dias","Mais de 90 dias"))))</f>
        <v/>
      </c>
      <c r="O1918">
        <f>IF(OR(M1918="Pendente",M1918="Em andamento"),IF(J1918="","",TODAY()-J1918),"")</f>
        <v/>
      </c>
      <c r="P1918" t="n">
        <v>11099</v>
      </c>
      <c r="Q1918" t="inlineStr">
        <is>
          <t>Refrigel Serviços (11099)</t>
        </is>
      </c>
      <c r="R1918" t="inlineStr">
        <is>
          <t>PC-0042</t>
        </is>
      </c>
      <c r="S1918" t="inlineStr">
        <is>
          <t>Bico dosador modelo 01</t>
        </is>
      </c>
      <c r="T1918" t="n">
        <v>1</v>
      </c>
      <c r="U1918" t="n">
        <v>106</v>
      </c>
      <c r="V1918">
        <f>IF(J1918="","",MONTH(J1918))</f>
        <v/>
      </c>
      <c r="W1918">
        <f>IF(J1918="","",YEAR(J1918))</f>
        <v/>
      </c>
      <c r="X1918" t="inlineStr">
        <is>
          <t>RotaSul</t>
        </is>
      </c>
      <c r="Y1918">
        <f>IFERROR(INDEX(Rastreio!$H$2:$H$200,MATCH(X1918&amp;"|"&amp;U1918,Rastreio!$A$2:$A$200,0)),"")</f>
        <v/>
      </c>
    </row>
    <row r="1919">
      <c r="A1919">
        <f>IFERROR(INDEX(STAs!$G$2:$G$61,MATCH(P1919,STAs!$F$2:$F$61,0))&amp;"","")</f>
        <v/>
      </c>
      <c r="B1919" t="n">
        <v>20003389</v>
      </c>
      <c r="C1919" t="inlineStr">
        <is>
          <t>Não</t>
        </is>
      </c>
      <c r="D1919" t="inlineStr">
        <is>
          <t>AC</t>
        </is>
      </c>
      <c r="E1919" t="inlineStr">
        <is>
          <t>NORTE</t>
        </is>
      </c>
      <c r="F1919" t="inlineStr">
        <is>
          <t>Cliente C - Misturador</t>
        </is>
      </c>
      <c r="G1919" t="inlineStr">
        <is>
          <t>Chopeiras</t>
        </is>
      </c>
      <c r="H1919" s="10" t="n">
        <v>205</v>
      </c>
      <c r="I1919" s="10">
        <f>IFERROR(T1919*H1919,0)</f>
        <v/>
      </c>
      <c r="J1919" s="11" t="n">
        <v>46251</v>
      </c>
      <c r="K1919" s="11" t="n"/>
      <c r="L1919" t="inlineStr">
        <is>
          <t>Não Devolve-Norte</t>
        </is>
      </c>
      <c r="M1919">
        <f>IF(L1919="","",IFERROR(VLOOKUP(L1919,mapGrupoStatus,2,0),"Outros"))</f>
        <v/>
      </c>
      <c r="N1919">
        <f>IF(O1919="","",IF(O1919&lt;=30,"0-30 dias",IF(O1919&lt;=60,"31-60 dias",IF(O1919&lt;=90,"61-90 dias","Mais de 90 dias"))))</f>
        <v/>
      </c>
      <c r="O1919">
        <f>IF(OR(M1919="Pendente",M1919="Em andamento"),IF(J1919="","",TODAY()-J1919),"")</f>
        <v/>
      </c>
      <c r="P1919" t="n">
        <v>11022</v>
      </c>
      <c r="Q1919" t="inlineStr">
        <is>
          <t>Brisa Ltda (11022)</t>
        </is>
      </c>
      <c r="R1919" t="inlineStr">
        <is>
          <t>PC-0031</t>
        </is>
      </c>
      <c r="S1919" t="inlineStr">
        <is>
          <t>Serpentina modelo 03</t>
        </is>
      </c>
      <c r="T1919" t="n">
        <v>1</v>
      </c>
      <c r="U1919" t="inlineStr"/>
      <c r="V1919">
        <f>IF(J1919="","",MONTH(J1919))</f>
        <v/>
      </c>
      <c r="W1919">
        <f>IF(J1919="","",YEAR(J1919))</f>
        <v/>
      </c>
      <c r="X1919" t="inlineStr"/>
      <c r="Y1919">
        <f>IFERROR(INDEX(Rastreio!$H$2:$H$200,MATCH(X1919&amp;"|"&amp;U1919,Rastreio!$A$2:$A$200,0)),"")</f>
        <v/>
      </c>
    </row>
    <row r="1920">
      <c r="A1920">
        <f>IFERROR(INDEX(STAs!$G$2:$G$61,MATCH(P1920,STAs!$F$2:$F$61,0))&amp;"","")</f>
        <v/>
      </c>
      <c r="B1920" t="n">
        <v>20009529</v>
      </c>
      <c r="C1920" t="inlineStr">
        <is>
          <t>Não</t>
        </is>
      </c>
      <c r="D1920" t="inlineStr">
        <is>
          <t>GO</t>
        </is>
      </c>
      <c r="E1920" t="inlineStr">
        <is>
          <t>CENTRO OESTE</t>
        </is>
      </c>
      <c r="F1920" t="inlineStr">
        <is>
          <t>Cliente B - Chopeira</t>
        </is>
      </c>
      <c r="G1920" t="inlineStr">
        <is>
          <t>Refrigeradores</t>
        </is>
      </c>
      <c r="H1920" s="10" t="n">
        <v>30</v>
      </c>
      <c r="I1920" s="10">
        <f>IFERROR(T1920*H1920,0)</f>
        <v/>
      </c>
      <c r="J1920" s="11" t="n">
        <v>46251</v>
      </c>
      <c r="K1920" s="11" t="n">
        <v>46291</v>
      </c>
      <c r="L1920" t="inlineStr">
        <is>
          <t>Ok. Devolvida</t>
        </is>
      </c>
      <c r="M1920">
        <f>IF(L1920="","",IFERROR(VLOOKUP(L1920,mapGrupoStatus,2,0),"Outros"))</f>
        <v/>
      </c>
      <c r="N1920">
        <f>IF(O1920="","",IF(O1920&lt;=30,"0-30 dias",IF(O1920&lt;=60,"31-60 dias",IF(O1920&lt;=90,"61-90 dias","Mais de 90 dias"))))</f>
        <v/>
      </c>
      <c r="O1920">
        <f>IF(OR(M1920="Pendente",M1920="Em andamento"),IF(J1920="","",TODAY()-J1920),"")</f>
        <v/>
      </c>
      <c r="P1920" t="n">
        <v>11293</v>
      </c>
      <c r="Q1920" t="inlineStr">
        <is>
          <t>Assistência Técnica Ltda (11293)</t>
        </is>
      </c>
      <c r="R1920" t="inlineStr">
        <is>
          <t>PC-0025</t>
        </is>
      </c>
      <c r="S1920" t="inlineStr">
        <is>
          <t>Relé de partida modelo 03</t>
        </is>
      </c>
      <c r="T1920" t="n">
        <v>1</v>
      </c>
      <c r="U1920" t="n">
        <v>119</v>
      </c>
      <c r="V1920">
        <f>IF(J1920="","",MONTH(J1920))</f>
        <v/>
      </c>
      <c r="W1920">
        <f>IF(J1920="","",YEAR(J1920))</f>
        <v/>
      </c>
      <c r="X1920" t="inlineStr">
        <is>
          <t>LogExpress</t>
        </is>
      </c>
      <c r="Y1920">
        <f>IFERROR(INDEX(Rastreio!$H$2:$H$200,MATCH(X1920&amp;"|"&amp;U1920,Rastreio!$A$2:$A$200,0)),"")</f>
        <v/>
      </c>
    </row>
    <row r="1921">
      <c r="A1921">
        <f>IFERROR(INDEX(STAs!$G$2:$G$61,MATCH(P1921,STAs!$F$2:$F$61,0))&amp;"","")</f>
        <v/>
      </c>
      <c r="B1921" t="n">
        <v>20012813</v>
      </c>
      <c r="C1921" t="inlineStr">
        <is>
          <t>Não</t>
        </is>
      </c>
      <c r="D1921" t="inlineStr">
        <is>
          <t>MG</t>
        </is>
      </c>
      <c r="E1921" t="inlineStr">
        <is>
          <t>SUDESTE MG</t>
        </is>
      </c>
      <c r="F1921" t="inlineStr">
        <is>
          <t>Cliente A - Refrigerador</t>
        </is>
      </c>
      <c r="G1921" t="inlineStr">
        <is>
          <t>Refrigeradores</t>
        </is>
      </c>
      <c r="H1921" s="10" t="n">
        <v>25</v>
      </c>
      <c r="I1921" s="10">
        <f>IFERROR(T1921*H1921,0)</f>
        <v/>
      </c>
      <c r="J1921" s="11" t="n">
        <v>46251</v>
      </c>
      <c r="K1921" s="11" t="n">
        <v>46304</v>
      </c>
      <c r="L1921" t="inlineStr">
        <is>
          <t>Ok. Devolvida</t>
        </is>
      </c>
      <c r="M1921">
        <f>IF(L1921="","",IFERROR(VLOOKUP(L1921,mapGrupoStatus,2,0),"Outros"))</f>
        <v/>
      </c>
      <c r="N1921">
        <f>IF(O1921="","",IF(O1921&lt;=30,"0-30 dias",IF(O1921&lt;=60,"31-60 dias",IF(O1921&lt;=90,"61-90 dias","Mais de 90 dias"))))</f>
        <v/>
      </c>
      <c r="O1921">
        <f>IF(OR(M1921="Pendente",M1921="Em andamento"),IF(J1921="","",TODAY()-J1921),"")</f>
        <v/>
      </c>
      <c r="P1921" t="n">
        <v>12470</v>
      </c>
      <c r="Q1921" t="inlineStr">
        <is>
          <t>Cool Service Técnica (12470)</t>
        </is>
      </c>
      <c r="R1921" t="inlineStr">
        <is>
          <t>PC-0015</t>
        </is>
      </c>
      <c r="S1921" t="inlineStr">
        <is>
          <t>Filtro secador modelo 01</t>
        </is>
      </c>
      <c r="T1921" t="n">
        <v>1</v>
      </c>
      <c r="U1921" t="n">
        <v>124</v>
      </c>
      <c r="V1921">
        <f>IF(J1921="","",MONTH(J1921))</f>
        <v/>
      </c>
      <c r="W1921">
        <f>IF(J1921="","",YEAR(J1921))</f>
        <v/>
      </c>
      <c r="X1921" t="inlineStr">
        <is>
          <t>EntregaJá</t>
        </is>
      </c>
      <c r="Y1921">
        <f>IFERROR(INDEX(Rastreio!$H$2:$H$200,MATCH(X1921&amp;"|"&amp;U1921,Rastreio!$A$2:$A$200,0)),"")</f>
        <v/>
      </c>
    </row>
    <row r="1922">
      <c r="A1922">
        <f>IFERROR(INDEX(STAs!$G$2:$G$61,MATCH(P1922,STAs!$F$2:$F$61,0))&amp;"","")</f>
        <v/>
      </c>
      <c r="B1922" t="n">
        <v>20023951</v>
      </c>
      <c r="C1922" t="inlineStr">
        <is>
          <t>Não</t>
        </is>
      </c>
      <c r="D1922" t="inlineStr">
        <is>
          <t>BA</t>
        </is>
      </c>
      <c r="E1922" t="inlineStr">
        <is>
          <t>NORDESTE</t>
        </is>
      </c>
      <c r="F1922" t="inlineStr">
        <is>
          <t>Cliente A - Refrigerador</t>
        </is>
      </c>
      <c r="G1922" t="inlineStr">
        <is>
          <t>Misturadores</t>
        </is>
      </c>
      <c r="H1922" s="10" t="n">
        <v>35</v>
      </c>
      <c r="I1922" s="10">
        <f>IFERROR(T1922*H1922,0)</f>
        <v/>
      </c>
      <c r="J1922" s="11" t="n">
        <v>46251</v>
      </c>
      <c r="K1922" s="11" t="n"/>
      <c r="L1922" t="inlineStr">
        <is>
          <t>Em transporte</t>
        </is>
      </c>
      <c r="M1922">
        <f>IF(L1922="","",IFERROR(VLOOKUP(L1922,mapGrupoStatus,2,0),"Outros"))</f>
        <v/>
      </c>
      <c r="N1922">
        <f>IF(O1922="","",IF(O1922&lt;=30,"0-30 dias",IF(O1922&lt;=60,"31-60 dias",IF(O1922&lt;=90,"61-90 dias","Mais de 90 dias"))))</f>
        <v/>
      </c>
      <c r="O1922">
        <f>IF(OR(M1922="Pendente",M1922="Em andamento"),IF(J1922="","",TODAY()-J1922),"")</f>
        <v/>
      </c>
      <c r="P1922" t="n">
        <v>12194</v>
      </c>
      <c r="Q1922" t="inlineStr">
        <is>
          <t>Polar &amp; Cia (12194)</t>
        </is>
      </c>
      <c r="R1922" t="inlineStr">
        <is>
          <t>PC-0043</t>
        </is>
      </c>
      <c r="S1922" t="inlineStr">
        <is>
          <t>Bico dosador modelo 02</t>
        </is>
      </c>
      <c r="T1922" t="n">
        <v>1</v>
      </c>
      <c r="U1922" t="n">
        <v>142</v>
      </c>
      <c r="V1922">
        <f>IF(J1922="","",MONTH(J1922))</f>
        <v/>
      </c>
      <c r="W1922">
        <f>IF(J1922="","",YEAR(J1922))</f>
        <v/>
      </c>
      <c r="X1922" t="inlineStr">
        <is>
          <t>CargoMax</t>
        </is>
      </c>
      <c r="Y1922">
        <f>IFERROR(INDEX(Rastreio!$H$2:$H$200,MATCH(X1922&amp;"|"&amp;U1922,Rastreio!$A$2:$A$200,0)),"")</f>
        <v/>
      </c>
    </row>
    <row r="1923">
      <c r="A1923">
        <f>IFERROR(INDEX(STAs!$G$2:$G$61,MATCH(P1923,STAs!$F$2:$F$61,0))&amp;"","")</f>
        <v/>
      </c>
      <c r="B1923" t="n">
        <v>20037640</v>
      </c>
      <c r="C1923" t="inlineStr">
        <is>
          <t>Não</t>
        </is>
      </c>
      <c r="D1923" t="inlineStr">
        <is>
          <t>PR</t>
        </is>
      </c>
      <c r="E1923" t="inlineStr">
        <is>
          <t>SUL</t>
        </is>
      </c>
      <c r="F1923" t="inlineStr">
        <is>
          <t>Cliente B - Chopeira</t>
        </is>
      </c>
      <c r="G1923" t="inlineStr">
        <is>
          <t>Misturadores</t>
        </is>
      </c>
      <c r="H1923" s="10" t="n">
        <v>60</v>
      </c>
      <c r="I1923" s="10">
        <f>IFERROR(T1923*H1923,0)</f>
        <v/>
      </c>
      <c r="J1923" s="11" t="n">
        <v>46251</v>
      </c>
      <c r="K1923" s="11" t="n"/>
      <c r="L1923" t="inlineStr">
        <is>
          <t>Aguardando Transporte</t>
        </is>
      </c>
      <c r="M1923">
        <f>IF(L1923="","",IFERROR(VLOOKUP(L1923,mapGrupoStatus,2,0),"Outros"))</f>
        <v/>
      </c>
      <c r="N1923">
        <f>IF(O1923="","",IF(O1923&lt;=30,"0-30 dias",IF(O1923&lt;=60,"31-60 dias",IF(O1923&lt;=90,"61-90 dias","Mais de 90 dias"))))</f>
        <v/>
      </c>
      <c r="O1923">
        <f>IF(OR(M1923="Pendente",M1923="Em andamento"),IF(J1923="","",TODAY()-J1923),"")</f>
        <v/>
      </c>
      <c r="P1923" t="n">
        <v>10504</v>
      </c>
      <c r="Q1923" t="inlineStr">
        <is>
          <t>Zero Grau Ltda (10504)</t>
        </is>
      </c>
      <c r="R1923" t="inlineStr">
        <is>
          <t>PC-0048</t>
        </is>
      </c>
      <c r="S1923" t="inlineStr">
        <is>
          <t>Sensor de nível modelo 04</t>
        </is>
      </c>
      <c r="T1923" t="n">
        <v>1</v>
      </c>
      <c r="U1923" t="n">
        <v>158</v>
      </c>
      <c r="V1923">
        <f>IF(J1923="","",MONTH(J1923))</f>
        <v/>
      </c>
      <c r="W1923">
        <f>IF(J1923="","",YEAR(J1923))</f>
        <v/>
      </c>
      <c r="X1923" t="inlineStr">
        <is>
          <t>ViaCargo</t>
        </is>
      </c>
      <c r="Y1923">
        <f>IFERROR(INDEX(Rastreio!$H$2:$H$200,MATCH(X1923&amp;"|"&amp;U1923,Rastreio!$A$2:$A$200,0)),"")</f>
        <v/>
      </c>
    </row>
    <row r="1924">
      <c r="A1924">
        <f>IFERROR(INDEX(STAs!$G$2:$G$61,MATCH(P1924,STAs!$F$2:$F$61,0))&amp;"","")</f>
        <v/>
      </c>
      <c r="B1924" t="n">
        <v>20007049</v>
      </c>
      <c r="C1924" t="inlineStr">
        <is>
          <t>Não</t>
        </is>
      </c>
      <c r="D1924" t="inlineStr">
        <is>
          <t>AC</t>
        </is>
      </c>
      <c r="E1924" t="inlineStr">
        <is>
          <t>NORTE</t>
        </is>
      </c>
      <c r="F1924" t="inlineStr">
        <is>
          <t>Cliente B - Chopeira</t>
        </is>
      </c>
      <c r="G1924" t="inlineStr">
        <is>
          <t>Refrigeradores</t>
        </is>
      </c>
      <c r="H1924" s="10" t="n">
        <v>50</v>
      </c>
      <c r="I1924" s="10">
        <f>IFERROR(T1924*H1924,0)</f>
        <v/>
      </c>
      <c r="J1924" s="11" t="n">
        <v>46252</v>
      </c>
      <c r="K1924" s="11" t="n">
        <v>46295</v>
      </c>
      <c r="L1924" t="inlineStr">
        <is>
          <t>Ok. Devolvida</t>
        </is>
      </c>
      <c r="M1924">
        <f>IF(L1924="","",IFERROR(VLOOKUP(L1924,mapGrupoStatus,2,0),"Outros"))</f>
        <v/>
      </c>
      <c r="N1924">
        <f>IF(O1924="","",IF(O1924&lt;=30,"0-30 dias",IF(O1924&lt;=60,"31-60 dias",IF(O1924&lt;=90,"61-90 dias","Mais de 90 dias"))))</f>
        <v/>
      </c>
      <c r="O1924">
        <f>IF(OR(M1924="Pendente",M1924="Em andamento"),IF(J1924="","",TODAY()-J1924),"")</f>
        <v/>
      </c>
      <c r="P1924" t="n">
        <v>10372</v>
      </c>
      <c r="Q1924" t="inlineStr">
        <is>
          <t>Zero Grau ME (10372)</t>
        </is>
      </c>
      <c r="R1924" t="inlineStr">
        <is>
          <t>PC-0006</t>
        </is>
      </c>
      <c r="S1924" t="inlineStr">
        <is>
          <t>Termostato modelo 03</t>
        </is>
      </c>
      <c r="T1924" t="n">
        <v>1</v>
      </c>
      <c r="U1924" t="n">
        <v>112</v>
      </c>
      <c r="V1924">
        <f>IF(J1924="","",MONTH(J1924))</f>
        <v/>
      </c>
      <c r="W1924">
        <f>IF(J1924="","",YEAR(J1924))</f>
        <v/>
      </c>
      <c r="X1924" t="inlineStr">
        <is>
          <t>LogExpress</t>
        </is>
      </c>
      <c r="Y1924">
        <f>IFERROR(INDEX(Rastreio!$H$2:$H$200,MATCH(X1924&amp;"|"&amp;U1924,Rastreio!$A$2:$A$200,0)),"")</f>
        <v/>
      </c>
    </row>
    <row r="1925">
      <c r="A1925">
        <f>IFERROR(INDEX(STAs!$G$2:$G$61,MATCH(P1925,STAs!$F$2:$F$61,0))&amp;"","")</f>
        <v/>
      </c>
      <c r="B1925" t="n">
        <v>20010545</v>
      </c>
      <c r="C1925" t="inlineStr">
        <is>
          <t>Não</t>
        </is>
      </c>
      <c r="D1925" t="inlineStr">
        <is>
          <t>MG</t>
        </is>
      </c>
      <c r="E1925" t="inlineStr">
        <is>
          <t>SUDESTE MG</t>
        </is>
      </c>
      <c r="F1925" t="inlineStr">
        <is>
          <t>Cliente A - Refrigerador</t>
        </is>
      </c>
      <c r="G1925" t="inlineStr">
        <is>
          <t>Refrigeradores</t>
        </is>
      </c>
      <c r="H1925" s="10" t="n">
        <v>30</v>
      </c>
      <c r="I1925" s="10">
        <f>IFERROR(T1925*H1925,0)</f>
        <v/>
      </c>
      <c r="J1925" s="11" t="n">
        <v>46252</v>
      </c>
      <c r="K1925" s="11" t="n">
        <v>46286</v>
      </c>
      <c r="L1925" t="inlineStr">
        <is>
          <t>Ok. Devolvida</t>
        </is>
      </c>
      <c r="M1925">
        <f>IF(L1925="","",IFERROR(VLOOKUP(L1925,mapGrupoStatus,2,0),"Outros"))</f>
        <v/>
      </c>
      <c r="N1925">
        <f>IF(O1925="","",IF(O1925&lt;=30,"0-30 dias",IF(O1925&lt;=60,"31-60 dias",IF(O1925&lt;=90,"61-90 dias","Mais de 90 dias"))))</f>
        <v/>
      </c>
      <c r="O1925">
        <f>IF(OR(M1925="Pendente",M1925="Em andamento"),IF(J1925="","",TODAY()-J1925),"")</f>
        <v/>
      </c>
      <c r="P1925" t="n">
        <v>11619</v>
      </c>
      <c r="Q1925" t="inlineStr">
        <is>
          <t>Refrigeração Ltda (11619)</t>
        </is>
      </c>
      <c r="R1925" t="inlineStr">
        <is>
          <t>PC-0017</t>
        </is>
      </c>
      <c r="S1925" t="inlineStr">
        <is>
          <t>Filtro secador modelo 03</t>
        </is>
      </c>
      <c r="T1925" t="n">
        <v>1</v>
      </c>
      <c r="U1925" t="n">
        <v>120</v>
      </c>
      <c r="V1925">
        <f>IF(J1925="","",MONTH(J1925))</f>
        <v/>
      </c>
      <c r="W1925">
        <f>IF(J1925="","",YEAR(J1925))</f>
        <v/>
      </c>
      <c r="X1925" t="inlineStr">
        <is>
          <t>CargoMax</t>
        </is>
      </c>
      <c r="Y1925">
        <f>IFERROR(INDEX(Rastreio!$H$2:$H$200,MATCH(X1925&amp;"|"&amp;U1925,Rastreio!$A$2:$A$200,0)),"")</f>
        <v/>
      </c>
    </row>
    <row r="1926">
      <c r="A1926">
        <f>IFERROR(INDEX(STAs!$G$2:$G$61,MATCH(P1926,STAs!$F$2:$F$61,0))&amp;"","")</f>
        <v/>
      </c>
      <c r="B1926" t="n">
        <v>20026307</v>
      </c>
      <c r="C1926" t="inlineStr">
        <is>
          <t>Não</t>
        </is>
      </c>
      <c r="D1926" t="inlineStr">
        <is>
          <t>AM</t>
        </is>
      </c>
      <c r="E1926" t="inlineStr">
        <is>
          <t>NORTE</t>
        </is>
      </c>
      <c r="F1926" t="inlineStr">
        <is>
          <t>Cliente B - Chopeira</t>
        </is>
      </c>
      <c r="G1926" t="inlineStr">
        <is>
          <t>Refrigeradores</t>
        </is>
      </c>
      <c r="H1926" s="10" t="n">
        <v>175</v>
      </c>
      <c r="I1926" s="10">
        <f>IFERROR(T1926*H1926,0)</f>
        <v/>
      </c>
      <c r="J1926" s="11" t="n">
        <v>46252</v>
      </c>
      <c r="K1926" s="11" t="n"/>
      <c r="L1926" t="inlineStr">
        <is>
          <t>Aguardando devolução</t>
        </is>
      </c>
      <c r="M1926">
        <f>IF(L1926="","",IFERROR(VLOOKUP(L1926,mapGrupoStatus,2,0),"Outros"))</f>
        <v/>
      </c>
      <c r="N1926">
        <f>IF(O1926="","",IF(O1926&lt;=30,"0-30 dias",IF(O1926&lt;=60,"31-60 dias",IF(O1926&lt;=90,"61-90 dias","Mais de 90 dias"))))</f>
        <v/>
      </c>
      <c r="O1926">
        <f>IF(OR(M1926="Pendente",M1926="Em andamento"),IF(J1926="","",TODAY()-J1926),"")</f>
        <v/>
      </c>
      <c r="P1926" t="n">
        <v>10842</v>
      </c>
      <c r="Q1926" t="inlineStr">
        <is>
          <t>Frigo &amp; Cia (10842)</t>
        </is>
      </c>
      <c r="R1926" t="inlineStr">
        <is>
          <t>PC-0012</t>
        </is>
      </c>
      <c r="S1926" t="inlineStr">
        <is>
          <t>Placa eletrônica modelo 02</t>
        </is>
      </c>
      <c r="T1926" t="n">
        <v>1</v>
      </c>
      <c r="U1926" t="inlineStr"/>
      <c r="V1926">
        <f>IF(J1926="","",MONTH(J1926))</f>
        <v/>
      </c>
      <c r="W1926">
        <f>IF(J1926="","",YEAR(J1926))</f>
        <v/>
      </c>
      <c r="X1926" t="inlineStr"/>
      <c r="Y1926">
        <f>IFERROR(INDEX(Rastreio!$H$2:$H$200,MATCH(X1926&amp;"|"&amp;U1926,Rastreio!$A$2:$A$200,0)),"")</f>
        <v/>
      </c>
    </row>
    <row r="1927">
      <c r="A1927">
        <f>IFERROR(INDEX(STAs!$G$2:$G$61,MATCH(P1927,STAs!$F$2:$F$61,0))&amp;"","")</f>
        <v/>
      </c>
      <c r="B1927" t="n">
        <v>20035574</v>
      </c>
      <c r="C1927" t="inlineStr">
        <is>
          <t>Não</t>
        </is>
      </c>
      <c r="D1927" t="inlineStr">
        <is>
          <t>GO</t>
        </is>
      </c>
      <c r="E1927" t="inlineStr">
        <is>
          <t>CENTRO OESTE</t>
        </is>
      </c>
      <c r="F1927" t="inlineStr">
        <is>
          <t>Cliente A - Refrigerador</t>
        </is>
      </c>
      <c r="G1927" t="inlineStr">
        <is>
          <t>Refrigeradores</t>
        </is>
      </c>
      <c r="H1927" s="10" t="n">
        <v>30</v>
      </c>
      <c r="I1927" s="10">
        <f>IFERROR(T1927*H1927,0)</f>
        <v/>
      </c>
      <c r="J1927" s="11" t="n">
        <v>46252</v>
      </c>
      <c r="K1927" s="11" t="n"/>
      <c r="L1927" t="inlineStr">
        <is>
          <t>Em transporte</t>
        </is>
      </c>
      <c r="M1927">
        <f>IF(L1927="","",IFERROR(VLOOKUP(L1927,mapGrupoStatus,2,0),"Outros"))</f>
        <v/>
      </c>
      <c r="N1927">
        <f>IF(O1927="","",IF(O1927&lt;=30,"0-30 dias",IF(O1927&lt;=60,"31-60 dias",IF(O1927&lt;=90,"61-90 dias","Mais de 90 dias"))))</f>
        <v/>
      </c>
      <c r="O1927">
        <f>IF(OR(M1927="Pendente",M1927="Em andamento"),IF(J1927="","",TODAY()-J1927),"")</f>
        <v/>
      </c>
      <c r="P1927" t="n">
        <v>12007</v>
      </c>
      <c r="Q1927" t="inlineStr">
        <is>
          <t>Refrigel Ltda (12007)</t>
        </is>
      </c>
      <c r="R1927" t="inlineStr">
        <is>
          <t>PC-0025</t>
        </is>
      </c>
      <c r="S1927" t="inlineStr">
        <is>
          <t>Relé de partida modelo 03</t>
        </is>
      </c>
      <c r="T1927" t="n">
        <v>1</v>
      </c>
      <c r="U1927" t="n">
        <v>165</v>
      </c>
      <c r="V1927">
        <f>IF(J1927="","",MONTH(J1927))</f>
        <v/>
      </c>
      <c r="W1927">
        <f>IF(J1927="","",YEAR(J1927))</f>
        <v/>
      </c>
      <c r="X1927" t="inlineStr">
        <is>
          <t>RotaSul</t>
        </is>
      </c>
      <c r="Y1927">
        <f>IFERROR(INDEX(Rastreio!$H$2:$H$200,MATCH(X1927&amp;"|"&amp;U1927,Rastreio!$A$2:$A$200,0)),"")</f>
        <v/>
      </c>
    </row>
    <row r="1928">
      <c r="A1928">
        <f>IFERROR(INDEX(STAs!$G$2:$G$61,MATCH(P1928,STAs!$F$2:$F$61,0))&amp;"","")</f>
        <v/>
      </c>
      <c r="B1928" t="n">
        <v>20036212</v>
      </c>
      <c r="C1928" t="inlineStr">
        <is>
          <t>Não</t>
        </is>
      </c>
      <c r="D1928" t="inlineStr">
        <is>
          <t>MS</t>
        </is>
      </c>
      <c r="E1928" t="inlineStr">
        <is>
          <t>CENTRO OESTE</t>
        </is>
      </c>
      <c r="F1928" t="inlineStr">
        <is>
          <t>Cliente B - Chopeira</t>
        </is>
      </c>
      <c r="G1928" t="inlineStr">
        <is>
          <t>Refrigeradores</t>
        </is>
      </c>
      <c r="H1928" s="10" t="n">
        <v>325</v>
      </c>
      <c r="I1928" s="10">
        <f>IFERROR(T1928*H1928,0)</f>
        <v/>
      </c>
      <c r="J1928" s="11" t="n">
        <v>46252</v>
      </c>
      <c r="K1928" s="11" t="n">
        <v>46260</v>
      </c>
      <c r="L1928" t="inlineStr">
        <is>
          <t>Ok. Devolvida</t>
        </is>
      </c>
      <c r="M1928">
        <f>IF(L1928="","",IFERROR(VLOOKUP(L1928,mapGrupoStatus,2,0),"Outros"))</f>
        <v/>
      </c>
      <c r="N1928">
        <f>IF(O1928="","",IF(O1928&lt;=30,"0-30 dias",IF(O1928&lt;=60,"31-60 dias",IF(O1928&lt;=90,"61-90 dias","Mais de 90 dias"))))</f>
        <v/>
      </c>
      <c r="O1928">
        <f>IF(OR(M1928="Pendente",M1928="Em andamento"),IF(J1928="","",TODAY()-J1928),"")</f>
        <v/>
      </c>
      <c r="P1928" t="n">
        <v>10302</v>
      </c>
      <c r="Q1928" t="inlineStr">
        <is>
          <t>Ice Tech Express (10302)</t>
        </is>
      </c>
      <c r="R1928" t="inlineStr">
        <is>
          <t>PC-0001</t>
        </is>
      </c>
      <c r="S1928" t="inlineStr">
        <is>
          <t>Compressor modelo 01</t>
        </is>
      </c>
      <c r="T1928" t="n">
        <v>1</v>
      </c>
      <c r="U1928" t="n">
        <v>150</v>
      </c>
      <c r="V1928">
        <f>IF(J1928="","",MONTH(J1928))</f>
        <v/>
      </c>
      <c r="W1928">
        <f>IF(J1928="","",YEAR(J1928))</f>
        <v/>
      </c>
      <c r="X1928" t="inlineStr">
        <is>
          <t>EntregaJá</t>
        </is>
      </c>
      <c r="Y1928">
        <f>IFERROR(INDEX(Rastreio!$H$2:$H$200,MATCH(X1928&amp;"|"&amp;U1928,Rastreio!$A$2:$A$200,0)),"")</f>
        <v/>
      </c>
    </row>
    <row r="1929">
      <c r="A1929">
        <f>IFERROR(INDEX(STAs!$G$2:$G$61,MATCH(P1929,STAs!$F$2:$F$61,0))&amp;"","")</f>
        <v/>
      </c>
      <c r="B1929" t="n">
        <v>20038409</v>
      </c>
      <c r="C1929" t="inlineStr">
        <is>
          <t>Não</t>
        </is>
      </c>
      <c r="D1929" t="inlineStr">
        <is>
          <t>PR</t>
        </is>
      </c>
      <c r="E1929" t="inlineStr">
        <is>
          <t>SUL</t>
        </is>
      </c>
      <c r="F1929" t="inlineStr">
        <is>
          <t>Cliente B - Chopeira</t>
        </is>
      </c>
      <c r="G1929" t="inlineStr">
        <is>
          <t>Refrigeradores</t>
        </is>
      </c>
      <c r="H1929" s="10" t="n">
        <v>45</v>
      </c>
      <c r="I1929" s="10">
        <f>IFERROR(T1929*H1929,0)</f>
        <v/>
      </c>
      <c r="J1929" s="11" t="n">
        <v>46252</v>
      </c>
      <c r="K1929" s="11" t="n"/>
      <c r="L1929" t="inlineStr">
        <is>
          <t>Em andamento</t>
        </is>
      </c>
      <c r="M1929">
        <f>IF(L1929="","",IFERROR(VLOOKUP(L1929,mapGrupoStatus,2,0),"Outros"))</f>
        <v/>
      </c>
      <c r="N1929">
        <f>IF(O1929="","",IF(O1929&lt;=30,"0-30 dias",IF(O1929&lt;=60,"31-60 dias",IF(O1929&lt;=90,"61-90 dias","Mais de 90 dias"))))</f>
        <v/>
      </c>
      <c r="O1929">
        <f>IF(OR(M1929="Pendente",M1929="Em andamento"),IF(J1929="","",TODAY()-J1929),"")</f>
        <v/>
      </c>
      <c r="P1929" t="n">
        <v>12089</v>
      </c>
      <c r="Q1929" t="inlineStr">
        <is>
          <t>Termotec Serviços (12089)</t>
        </is>
      </c>
      <c r="R1929" t="inlineStr">
        <is>
          <t>PC-0019</t>
        </is>
      </c>
      <c r="S1929" t="inlineStr">
        <is>
          <t>Gaxeta da porta modelo 02</t>
        </is>
      </c>
      <c r="T1929" t="n">
        <v>1</v>
      </c>
      <c r="U1929" t="n">
        <v>156</v>
      </c>
      <c r="V1929">
        <f>IF(J1929="","",MONTH(J1929))</f>
        <v/>
      </c>
      <c r="W1929">
        <f>IF(J1929="","",YEAR(J1929))</f>
        <v/>
      </c>
      <c r="X1929" t="inlineStr">
        <is>
          <t>EntregaJá</t>
        </is>
      </c>
      <c r="Y1929">
        <f>IFERROR(INDEX(Rastreio!$H$2:$H$200,MATCH(X1929&amp;"|"&amp;U1929,Rastreio!$A$2:$A$200,0)),"")</f>
        <v/>
      </c>
    </row>
    <row r="1930">
      <c r="A1930">
        <f>IFERROR(INDEX(STAs!$G$2:$G$61,MATCH(P1930,STAs!$F$2:$F$61,0))&amp;"","")</f>
        <v/>
      </c>
      <c r="B1930" t="n">
        <v>20011976</v>
      </c>
      <c r="C1930" t="inlineStr">
        <is>
          <t>Não</t>
        </is>
      </c>
      <c r="D1930" t="inlineStr">
        <is>
          <t>RR</t>
        </is>
      </c>
      <c r="E1930" t="inlineStr">
        <is>
          <t>NORTE</t>
        </is>
      </c>
      <c r="F1930" t="inlineStr">
        <is>
          <t>Cliente A - Refrigerador</t>
        </is>
      </c>
      <c r="G1930" t="inlineStr">
        <is>
          <t>Misturadores</t>
        </is>
      </c>
      <c r="H1930" s="10" t="n">
        <v>50</v>
      </c>
      <c r="I1930" s="10">
        <f>IFERROR(T1930*H1930,0)</f>
        <v/>
      </c>
      <c r="J1930" s="11" t="n">
        <v>46253</v>
      </c>
      <c r="K1930" s="11" t="n"/>
      <c r="L1930" t="inlineStr">
        <is>
          <t>Não Devolve-Norte</t>
        </is>
      </c>
      <c r="M1930">
        <f>IF(L1930="","",IFERROR(VLOOKUP(L1930,mapGrupoStatus,2,0),"Outros"))</f>
        <v/>
      </c>
      <c r="N1930">
        <f>IF(O1930="","",IF(O1930&lt;=30,"0-30 dias",IF(O1930&lt;=60,"31-60 dias",IF(O1930&lt;=90,"61-90 dias","Mais de 90 dias"))))</f>
        <v/>
      </c>
      <c r="O1930">
        <f>IF(OR(M1930="Pendente",M1930="Em andamento"),IF(J1930="","",TODAY()-J1930),"")</f>
        <v/>
      </c>
      <c r="P1930" t="n">
        <v>11818</v>
      </c>
      <c r="Q1930" t="inlineStr">
        <is>
          <t>Termotec Ltda (11818)</t>
        </is>
      </c>
      <c r="R1930" t="inlineStr">
        <is>
          <t>PC-0045</t>
        </is>
      </c>
      <c r="S1930" t="inlineStr">
        <is>
          <t>Sensor de nível modelo 01</t>
        </is>
      </c>
      <c r="T1930" t="n">
        <v>1</v>
      </c>
      <c r="U1930" t="inlineStr"/>
      <c r="V1930">
        <f>IF(J1930="","",MONTH(J1930))</f>
        <v/>
      </c>
      <c r="W1930">
        <f>IF(J1930="","",YEAR(J1930))</f>
        <v/>
      </c>
      <c r="X1930" t="inlineStr"/>
      <c r="Y1930">
        <f>IFERROR(INDEX(Rastreio!$H$2:$H$200,MATCH(X1930&amp;"|"&amp;U1930,Rastreio!$A$2:$A$200,0)),"")</f>
        <v/>
      </c>
    </row>
    <row r="1931">
      <c r="A1931">
        <f>IFERROR(INDEX(STAs!$G$2:$G$61,MATCH(P1931,STAs!$F$2:$F$61,0))&amp;"","")</f>
        <v/>
      </c>
      <c r="B1931" t="n">
        <v>20023180</v>
      </c>
      <c r="C1931" t="inlineStr">
        <is>
          <t>Não</t>
        </is>
      </c>
      <c r="D1931" t="inlineStr">
        <is>
          <t>RJ</t>
        </is>
      </c>
      <c r="E1931" t="inlineStr">
        <is>
          <t>SUDESTE RJ e ES</t>
        </is>
      </c>
      <c r="F1931" t="inlineStr">
        <is>
          <t>Cliente C - Misturador</t>
        </is>
      </c>
      <c r="G1931" t="inlineStr">
        <is>
          <t>Refrigeradores</t>
        </is>
      </c>
      <c r="H1931" s="10" t="n">
        <v>35</v>
      </c>
      <c r="I1931" s="10">
        <f>IFERROR(T1931*H1931,0)</f>
        <v/>
      </c>
      <c r="J1931" s="11" t="n">
        <v>46253</v>
      </c>
      <c r="K1931" s="11" t="n">
        <v>46312</v>
      </c>
      <c r="L1931" t="inlineStr">
        <is>
          <t>Ok. Devolvida</t>
        </is>
      </c>
      <c r="M1931">
        <f>IF(L1931="","",IFERROR(VLOOKUP(L1931,mapGrupoStatus,2,0),"Outros"))</f>
        <v/>
      </c>
      <c r="N1931">
        <f>IF(O1931="","",IF(O1931&lt;=30,"0-30 dias",IF(O1931&lt;=60,"31-60 dias",IF(O1931&lt;=90,"61-90 dias","Mais de 90 dias"))))</f>
        <v/>
      </c>
      <c r="O1931">
        <f>IF(OR(M1931="Pendente",M1931="Em andamento"),IF(J1931="","",TODAY()-J1931),"")</f>
        <v/>
      </c>
      <c r="P1931" t="n">
        <v>11059</v>
      </c>
      <c r="Q1931" t="inlineStr">
        <is>
          <t>Frio Ltda (11059)</t>
        </is>
      </c>
      <c r="R1931" t="inlineStr">
        <is>
          <t>PC-0020</t>
        </is>
      </c>
      <c r="S1931" t="inlineStr">
        <is>
          <t>Gaxeta da porta modelo 03</t>
        </is>
      </c>
      <c r="T1931" t="n">
        <v>2</v>
      </c>
      <c r="U1931" t="n">
        <v>135</v>
      </c>
      <c r="V1931">
        <f>IF(J1931="","",MONTH(J1931))</f>
        <v/>
      </c>
      <c r="W1931">
        <f>IF(J1931="","",YEAR(J1931))</f>
        <v/>
      </c>
      <c r="X1931" t="inlineStr">
        <is>
          <t>EntregaJá</t>
        </is>
      </c>
      <c r="Y1931">
        <f>IFERROR(INDEX(Rastreio!$H$2:$H$200,MATCH(X1931&amp;"|"&amp;U1931,Rastreio!$A$2:$A$200,0)),"")</f>
        <v/>
      </c>
    </row>
    <row r="1932">
      <c r="A1932">
        <f>IFERROR(INDEX(STAs!$G$2:$G$61,MATCH(P1932,STAs!$F$2:$F$61,0))&amp;"","")</f>
        <v/>
      </c>
      <c r="B1932" t="n">
        <v>20036657</v>
      </c>
      <c r="C1932" t="inlineStr">
        <is>
          <t>Não</t>
        </is>
      </c>
      <c r="D1932" t="inlineStr">
        <is>
          <t>TO</t>
        </is>
      </c>
      <c r="E1932" t="inlineStr">
        <is>
          <t>NORTE</t>
        </is>
      </c>
      <c r="F1932" t="inlineStr">
        <is>
          <t>Cliente B - Chopeira</t>
        </is>
      </c>
      <c r="G1932" t="inlineStr">
        <is>
          <t>Refrigeradores</t>
        </is>
      </c>
      <c r="H1932" s="10" t="n">
        <v>155</v>
      </c>
      <c r="I1932" s="10">
        <f>IFERROR(T1932*H1932,0)</f>
        <v/>
      </c>
      <c r="J1932" s="11" t="n">
        <v>46253</v>
      </c>
      <c r="K1932" s="11" t="n"/>
      <c r="L1932" t="inlineStr">
        <is>
          <t>Não Devolve-Norte</t>
        </is>
      </c>
      <c r="M1932">
        <f>IF(L1932="","",IFERROR(VLOOKUP(L1932,mapGrupoStatus,2,0),"Outros"))</f>
        <v/>
      </c>
      <c r="N1932">
        <f>IF(O1932="","",IF(O1932&lt;=30,"0-30 dias",IF(O1932&lt;=60,"31-60 dias",IF(O1932&lt;=90,"61-90 dias","Mais de 90 dias"))))</f>
        <v/>
      </c>
      <c r="O1932">
        <f>IF(OR(M1932="Pendente",M1932="Em andamento"),IF(J1932="","",TODAY()-J1932),"")</f>
        <v/>
      </c>
      <c r="P1932" t="n">
        <v>10939</v>
      </c>
      <c r="Q1932" t="inlineStr">
        <is>
          <t>Zero Grau Manutenção (10939)</t>
        </is>
      </c>
      <c r="R1932" t="inlineStr">
        <is>
          <t>PC-0022</t>
        </is>
      </c>
      <c r="S1932" t="inlineStr">
        <is>
          <t>Controlador digital modelo 02</t>
        </is>
      </c>
      <c r="T1932" t="n">
        <v>1</v>
      </c>
      <c r="U1932" t="inlineStr"/>
      <c r="V1932">
        <f>IF(J1932="","",MONTH(J1932))</f>
        <v/>
      </c>
      <c r="W1932">
        <f>IF(J1932="","",YEAR(J1932))</f>
        <v/>
      </c>
      <c r="X1932" t="inlineStr"/>
      <c r="Y1932">
        <f>IFERROR(INDEX(Rastreio!$H$2:$H$200,MATCH(X1932&amp;"|"&amp;U1932,Rastreio!$A$2:$A$200,0)),"")</f>
        <v/>
      </c>
    </row>
    <row r="1933">
      <c r="A1933">
        <f>IFERROR(INDEX(STAs!$G$2:$G$61,MATCH(P1933,STAs!$F$2:$F$61,0))&amp;"","")</f>
        <v/>
      </c>
      <c r="B1933" t="n">
        <v>20039957</v>
      </c>
      <c r="C1933" t="inlineStr">
        <is>
          <t>Não</t>
        </is>
      </c>
      <c r="D1933" t="inlineStr">
        <is>
          <t>MT</t>
        </is>
      </c>
      <c r="E1933" t="inlineStr">
        <is>
          <t>CENTRO OESTE</t>
        </is>
      </c>
      <c r="F1933" t="inlineStr">
        <is>
          <t>Cliente B - Chopeira</t>
        </is>
      </c>
      <c r="G1933" t="inlineStr">
        <is>
          <t>Refrigeradores</t>
        </is>
      </c>
      <c r="H1933" s="10" t="n">
        <v>45</v>
      </c>
      <c r="I1933" s="10">
        <f>IFERROR(T1933*H1933,0)</f>
        <v/>
      </c>
      <c r="J1933" s="11" t="n">
        <v>46253</v>
      </c>
      <c r="K1933" s="11" t="n">
        <v>46273</v>
      </c>
      <c r="L1933" t="inlineStr">
        <is>
          <t>Ok. Devolvida</t>
        </is>
      </c>
      <c r="M1933">
        <f>IF(L1933="","",IFERROR(VLOOKUP(L1933,mapGrupoStatus,2,0),"Outros"))</f>
        <v/>
      </c>
      <c r="N1933">
        <f>IF(O1933="","",IF(O1933&lt;=30,"0-30 dias",IF(O1933&lt;=60,"31-60 dias",IF(O1933&lt;=90,"61-90 dias","Mais de 90 dias"))))</f>
        <v/>
      </c>
      <c r="O1933">
        <f>IF(OR(M1933="Pendente",M1933="Em andamento"),IF(J1933="","",TODAY()-J1933),"")</f>
        <v/>
      </c>
      <c r="P1933" t="n">
        <v>10227</v>
      </c>
      <c r="Q1933" t="inlineStr">
        <is>
          <t>Assistência Técnica ME (10227)</t>
        </is>
      </c>
      <c r="R1933" t="inlineStr">
        <is>
          <t>PC-0019</t>
        </is>
      </c>
      <c r="S1933" t="inlineStr">
        <is>
          <t>Gaxeta da porta modelo 02</t>
        </is>
      </c>
      <c r="T1933" t="n">
        <v>1</v>
      </c>
      <c r="U1933" t="n">
        <v>158</v>
      </c>
      <c r="V1933">
        <f>IF(J1933="","",MONTH(J1933))</f>
        <v/>
      </c>
      <c r="W1933">
        <f>IF(J1933="","",YEAR(J1933))</f>
        <v/>
      </c>
      <c r="X1933" t="inlineStr">
        <is>
          <t>EntregaJá</t>
        </is>
      </c>
      <c r="Y1933">
        <f>IFERROR(INDEX(Rastreio!$H$2:$H$200,MATCH(X1933&amp;"|"&amp;U1933,Rastreio!$A$2:$A$200,0)),"")</f>
        <v/>
      </c>
    </row>
    <row r="1934">
      <c r="A1934">
        <f>IFERROR(INDEX(STAs!$G$2:$G$61,MATCH(P1934,STAs!$F$2:$F$61,0))&amp;"","")</f>
        <v/>
      </c>
      <c r="B1934" t="n">
        <v>20008729</v>
      </c>
      <c r="C1934" t="inlineStr">
        <is>
          <t>Não</t>
        </is>
      </c>
      <c r="D1934" t="inlineStr">
        <is>
          <t>ES</t>
        </is>
      </c>
      <c r="E1934" t="inlineStr">
        <is>
          <t>SUDESTE RJ e ES</t>
        </is>
      </c>
      <c r="F1934" t="inlineStr">
        <is>
          <t>Cliente B - Chopeira</t>
        </is>
      </c>
      <c r="G1934" t="inlineStr">
        <is>
          <t>Refrigeradores</t>
        </is>
      </c>
      <c r="H1934" s="10" t="n">
        <v>315</v>
      </c>
      <c r="I1934" s="10">
        <f>IFERROR(T1934*H1934,0)</f>
        <v/>
      </c>
      <c r="J1934" s="11" t="n">
        <v>46254</v>
      </c>
      <c r="K1934" s="11" t="n">
        <v>46287</v>
      </c>
      <c r="L1934" t="inlineStr">
        <is>
          <t>Ok. Devolvida</t>
        </is>
      </c>
      <c r="M1934">
        <f>IF(L1934="","",IFERROR(VLOOKUP(L1934,mapGrupoStatus,2,0),"Outros"))</f>
        <v/>
      </c>
      <c r="N1934">
        <f>IF(O1934="","",IF(O1934&lt;=30,"0-30 dias",IF(O1934&lt;=60,"31-60 dias",IF(O1934&lt;=90,"61-90 dias","Mais de 90 dias"))))</f>
        <v/>
      </c>
      <c r="O1934">
        <f>IF(OR(M1934="Pendente",M1934="Em andamento"),IF(J1934="","",TODAY()-J1934),"")</f>
        <v/>
      </c>
      <c r="P1934" t="n">
        <v>12555</v>
      </c>
      <c r="Q1934" t="inlineStr">
        <is>
          <t>Cool Service Serviços (12555)</t>
        </is>
      </c>
      <c r="R1934" t="inlineStr">
        <is>
          <t>PC-0002</t>
        </is>
      </c>
      <c r="S1934" t="inlineStr">
        <is>
          <t>Compressor modelo 02</t>
        </is>
      </c>
      <c r="T1934" t="n">
        <v>1</v>
      </c>
      <c r="U1934" t="n">
        <v>116</v>
      </c>
      <c r="V1934">
        <f>IF(J1934="","",MONTH(J1934))</f>
        <v/>
      </c>
      <c r="W1934">
        <f>IF(J1934="","",YEAR(J1934))</f>
        <v/>
      </c>
      <c r="X1934" t="inlineStr">
        <is>
          <t>RotaSul</t>
        </is>
      </c>
      <c r="Y1934">
        <f>IFERROR(INDEX(Rastreio!$H$2:$H$200,MATCH(X1934&amp;"|"&amp;U1934,Rastreio!$A$2:$A$200,0)),"")</f>
        <v/>
      </c>
    </row>
    <row r="1935">
      <c r="A1935">
        <f>IFERROR(INDEX(STAs!$G$2:$G$61,MATCH(P1935,STAs!$F$2:$F$61,0))&amp;"","")</f>
        <v/>
      </c>
      <c r="B1935" t="n">
        <v>20022031</v>
      </c>
      <c r="C1935" t="inlineStr">
        <is>
          <t>Não</t>
        </is>
      </c>
      <c r="D1935" t="inlineStr">
        <is>
          <t>RO</t>
        </is>
      </c>
      <c r="E1935" t="inlineStr">
        <is>
          <t>NORTE</t>
        </is>
      </c>
      <c r="F1935" t="inlineStr">
        <is>
          <t>Cliente A - Refrigerador</t>
        </is>
      </c>
      <c r="G1935" t="inlineStr">
        <is>
          <t>Refrigeradores</t>
        </is>
      </c>
      <c r="H1935" s="10" t="n">
        <v>55</v>
      </c>
      <c r="I1935" s="10">
        <f>IFERROR(T1935*H1935,0)</f>
        <v/>
      </c>
      <c r="J1935" s="11" t="n">
        <v>46254</v>
      </c>
      <c r="K1935" s="11" t="n"/>
      <c r="L1935" t="inlineStr">
        <is>
          <t>Não Devolve-Norte</t>
        </is>
      </c>
      <c r="M1935">
        <f>IF(L1935="","",IFERROR(VLOOKUP(L1935,mapGrupoStatus,2,0),"Outros"))</f>
        <v/>
      </c>
      <c r="N1935">
        <f>IF(O1935="","",IF(O1935&lt;=30,"0-30 dias",IF(O1935&lt;=60,"31-60 dias",IF(O1935&lt;=90,"61-90 dias","Mais de 90 dias"))))</f>
        <v/>
      </c>
      <c r="O1935">
        <f>IF(OR(M1935="Pendente",M1935="Em andamento"),IF(J1935="","",TODAY()-J1935),"")</f>
        <v/>
      </c>
      <c r="P1935" t="n">
        <v>12019</v>
      </c>
      <c r="Q1935" t="inlineStr">
        <is>
          <t>Ártico Serviços (12019)</t>
        </is>
      </c>
      <c r="R1935" t="inlineStr">
        <is>
          <t>PC-0007</t>
        </is>
      </c>
      <c r="S1935" t="inlineStr">
        <is>
          <t>Ventilador modelo 01</t>
        </is>
      </c>
      <c r="T1935" t="n">
        <v>1</v>
      </c>
      <c r="U1935" t="inlineStr"/>
      <c r="V1935">
        <f>IF(J1935="","",MONTH(J1935))</f>
        <v/>
      </c>
      <c r="W1935">
        <f>IF(J1935="","",YEAR(J1935))</f>
        <v/>
      </c>
      <c r="X1935" t="inlineStr"/>
      <c r="Y1935">
        <f>IFERROR(INDEX(Rastreio!$H$2:$H$200,MATCH(X1935&amp;"|"&amp;U1935,Rastreio!$A$2:$A$200,0)),"")</f>
        <v/>
      </c>
    </row>
    <row r="1936">
      <c r="A1936">
        <f>IFERROR(INDEX(STAs!$G$2:$G$61,MATCH(P1936,STAs!$F$2:$F$61,0))&amp;"","")</f>
        <v/>
      </c>
      <c r="B1936" t="n">
        <v>20029184</v>
      </c>
      <c r="C1936" t="inlineStr">
        <is>
          <t>Não</t>
        </is>
      </c>
      <c r="D1936" t="inlineStr">
        <is>
          <t>SP</t>
        </is>
      </c>
      <c r="E1936" t="inlineStr">
        <is>
          <t>SUDESTE SP</t>
        </is>
      </c>
      <c r="F1936" t="inlineStr">
        <is>
          <t>Cliente C - Misturador</t>
        </is>
      </c>
      <c r="G1936" t="inlineStr">
        <is>
          <t>Chopeiras</t>
        </is>
      </c>
      <c r="H1936" s="10" t="n">
        <v>85</v>
      </c>
      <c r="I1936" s="10">
        <f>IFERROR(T1936*H1936,0)</f>
        <v/>
      </c>
      <c r="J1936" s="11" t="n">
        <v>46254</v>
      </c>
      <c r="K1936" s="11" t="n">
        <v>46263</v>
      </c>
      <c r="L1936" t="inlineStr">
        <is>
          <t>Ok. Devolvida</t>
        </is>
      </c>
      <c r="M1936">
        <f>IF(L1936="","",IFERROR(VLOOKUP(L1936,mapGrupoStatus,2,0),"Outros"))</f>
        <v/>
      </c>
      <c r="N1936">
        <f>IF(O1936="","",IF(O1936&lt;=30,"0-30 dias",IF(O1936&lt;=60,"31-60 dias",IF(O1936&lt;=90,"61-90 dias","Mais de 90 dias"))))</f>
        <v/>
      </c>
      <c r="O1936">
        <f>IF(OR(M1936="Pendente",M1936="Em andamento"),IF(J1936="","",TODAY()-J1936),"")</f>
        <v/>
      </c>
      <c r="P1936" t="n">
        <v>10111</v>
      </c>
      <c r="Q1936" t="inlineStr">
        <is>
          <t>Refrigel Manutenção (10111)</t>
        </is>
      </c>
      <c r="R1936" t="inlineStr">
        <is>
          <t>PC-0028</t>
        </is>
      </c>
      <c r="S1936" t="inlineStr">
        <is>
          <t>Torneira de chopp modelo 03</t>
        </is>
      </c>
      <c r="T1936" t="n">
        <v>2</v>
      </c>
      <c r="U1936" t="n">
        <v>150</v>
      </c>
      <c r="V1936">
        <f>IF(J1936="","",MONTH(J1936))</f>
        <v/>
      </c>
      <c r="W1936">
        <f>IF(J1936="","",YEAR(J1936))</f>
        <v/>
      </c>
      <c r="X1936" t="inlineStr">
        <is>
          <t>TransNorte</t>
        </is>
      </c>
      <c r="Y1936">
        <f>IFERROR(INDEX(Rastreio!$H$2:$H$200,MATCH(X1936&amp;"|"&amp;U1936,Rastreio!$A$2:$A$200,0)),"")</f>
        <v/>
      </c>
    </row>
    <row r="1937">
      <c r="A1937">
        <f>IFERROR(INDEX(STAs!$G$2:$G$61,MATCH(P1937,STAs!$F$2:$F$61,0))&amp;"","")</f>
        <v/>
      </c>
      <c r="B1937" t="n">
        <v>20032343</v>
      </c>
      <c r="C1937" t="inlineStr">
        <is>
          <t>Não</t>
        </is>
      </c>
      <c r="D1937" t="inlineStr">
        <is>
          <t>GO</t>
        </is>
      </c>
      <c r="E1937" t="inlineStr">
        <is>
          <t>CENTRO OESTE</t>
        </is>
      </c>
      <c r="F1937" t="inlineStr">
        <is>
          <t>Cliente C - Misturador</t>
        </is>
      </c>
      <c r="G1937" t="inlineStr">
        <is>
          <t>Refrigeradores</t>
        </is>
      </c>
      <c r="H1937" s="10" t="n">
        <v>35</v>
      </c>
      <c r="I1937" s="10">
        <f>IFERROR(T1937*H1937,0)</f>
        <v/>
      </c>
      <c r="J1937" s="11" t="n">
        <v>46254</v>
      </c>
      <c r="K1937" s="11" t="n"/>
      <c r="L1937" t="inlineStr">
        <is>
          <t>Aguardando Transporte</t>
        </is>
      </c>
      <c r="M1937">
        <f>IF(L1937="","",IFERROR(VLOOKUP(L1937,mapGrupoStatus,2,0),"Outros"))</f>
        <v/>
      </c>
      <c r="N1937">
        <f>IF(O1937="","",IF(O1937&lt;=30,"0-30 dias",IF(O1937&lt;=60,"31-60 dias",IF(O1937&lt;=90,"61-90 dias","Mais de 90 dias"))))</f>
        <v/>
      </c>
      <c r="O1937">
        <f>IF(OR(M1937="Pendente",M1937="Em andamento"),IF(J1937="","",TODAY()-J1937),"")</f>
        <v/>
      </c>
      <c r="P1937" t="n">
        <v>12007</v>
      </c>
      <c r="Q1937" t="inlineStr">
        <is>
          <t>Refrigel Ltda (12007)</t>
        </is>
      </c>
      <c r="R1937" t="inlineStr">
        <is>
          <t>PC-0016</t>
        </is>
      </c>
      <c r="S1937" t="inlineStr">
        <is>
          <t>Filtro secador modelo 02</t>
        </is>
      </c>
      <c r="T1937" t="n">
        <v>1</v>
      </c>
      <c r="U1937" t="n">
        <v>158</v>
      </c>
      <c r="V1937">
        <f>IF(J1937="","",MONTH(J1937))</f>
        <v/>
      </c>
      <c r="W1937">
        <f>IF(J1937="","",YEAR(J1937))</f>
        <v/>
      </c>
      <c r="X1937" t="inlineStr">
        <is>
          <t>TransNorte</t>
        </is>
      </c>
      <c r="Y1937">
        <f>IFERROR(INDEX(Rastreio!$H$2:$H$200,MATCH(X1937&amp;"|"&amp;U1937,Rastreio!$A$2:$A$200,0)),"")</f>
        <v/>
      </c>
    </row>
    <row r="1938">
      <c r="A1938">
        <f>IFERROR(INDEX(STAs!$G$2:$G$61,MATCH(P1938,STAs!$F$2:$F$61,0))&amp;"","")</f>
        <v/>
      </c>
      <c r="B1938" t="n">
        <v>20037419</v>
      </c>
      <c r="C1938" t="inlineStr">
        <is>
          <t>Sim</t>
        </is>
      </c>
      <c r="D1938" t="inlineStr">
        <is>
          <t>PR</t>
        </is>
      </c>
      <c r="E1938" t="inlineStr">
        <is>
          <t>SUL</t>
        </is>
      </c>
      <c r="F1938" t="inlineStr">
        <is>
          <t>Cliente C - Misturador</t>
        </is>
      </c>
      <c r="G1938" t="inlineStr">
        <is>
          <t>Refrigeradores</t>
        </is>
      </c>
      <c r="H1938" s="10" t="n">
        <v>185</v>
      </c>
      <c r="I1938" s="10">
        <f>IFERROR(T1938*H1938,0)</f>
        <v/>
      </c>
      <c r="J1938" s="11" t="n">
        <v>46254</v>
      </c>
      <c r="K1938" s="11" t="n">
        <v>46259</v>
      </c>
      <c r="L1938" t="inlineStr">
        <is>
          <t>Ok. Devolvida</t>
        </is>
      </c>
      <c r="M1938">
        <f>IF(L1938="","",IFERROR(VLOOKUP(L1938,mapGrupoStatus,2,0),"Outros"))</f>
        <v/>
      </c>
      <c r="N1938">
        <f>IF(O1938="","",IF(O1938&lt;=30,"0-30 dias",IF(O1938&lt;=60,"31-60 dias",IF(O1938&lt;=90,"61-90 dias","Mais de 90 dias"))))</f>
        <v/>
      </c>
      <c r="O1938">
        <f>IF(OR(M1938="Pendente",M1938="Em andamento"),IF(J1938="","",TODAY()-J1938),"")</f>
        <v/>
      </c>
      <c r="P1938" t="n">
        <v>10913</v>
      </c>
      <c r="Q1938" t="inlineStr">
        <is>
          <t>Ice Tech &amp; Cia (10913)</t>
        </is>
      </c>
      <c r="R1938" t="inlineStr">
        <is>
          <t>PC-0013</t>
        </is>
      </c>
      <c r="S1938" t="inlineStr">
        <is>
          <t>Placa eletrônica modelo 03</t>
        </is>
      </c>
      <c r="T1938" t="n">
        <v>2</v>
      </c>
      <c r="U1938" t="n">
        <v>155</v>
      </c>
      <c r="V1938">
        <f>IF(J1938="","",MONTH(J1938))</f>
        <v/>
      </c>
      <c r="W1938">
        <f>IF(J1938="","",YEAR(J1938))</f>
        <v/>
      </c>
      <c r="X1938" t="inlineStr">
        <is>
          <t>EntregaJá</t>
        </is>
      </c>
      <c r="Y1938">
        <f>IFERROR(INDEX(Rastreio!$H$2:$H$200,MATCH(X1938&amp;"|"&amp;U1938,Rastreio!$A$2:$A$200,0)),"")</f>
        <v/>
      </c>
    </row>
    <row r="1939">
      <c r="A1939">
        <f>IFERROR(INDEX(STAs!$G$2:$G$61,MATCH(P1939,STAs!$F$2:$F$61,0))&amp;"","")</f>
        <v/>
      </c>
      <c r="B1939" t="n">
        <v>20040883</v>
      </c>
      <c r="C1939" t="inlineStr">
        <is>
          <t>Não</t>
        </is>
      </c>
      <c r="D1939" t="inlineStr">
        <is>
          <t>PI</t>
        </is>
      </c>
      <c r="E1939" t="inlineStr">
        <is>
          <t>NORDESTE</t>
        </is>
      </c>
      <c r="F1939" t="inlineStr">
        <is>
          <t>Cliente C - Misturador</t>
        </is>
      </c>
      <c r="G1939" t="inlineStr">
        <is>
          <t>Misturadores</t>
        </is>
      </c>
      <c r="H1939" s="10" t="n">
        <v>60</v>
      </c>
      <c r="I1939" s="10">
        <f>IFERROR(T1939*H1939,0)</f>
        <v/>
      </c>
      <c r="J1939" s="11" t="n">
        <v>46254</v>
      </c>
      <c r="K1939" s="11" t="n">
        <v>46270</v>
      </c>
      <c r="L1939" t="inlineStr">
        <is>
          <t>Ok. Devolvida</t>
        </is>
      </c>
      <c r="M1939">
        <f>IF(L1939="","",IFERROR(VLOOKUP(L1939,mapGrupoStatus,2,0),"Outros"))</f>
        <v/>
      </c>
      <c r="N1939">
        <f>IF(O1939="","",IF(O1939&lt;=30,"0-30 dias",IF(O1939&lt;=60,"31-60 dias",IF(O1939&lt;=90,"61-90 dias","Mais de 90 dias"))))</f>
        <v/>
      </c>
      <c r="O1939">
        <f>IF(OR(M1939="Pendente",M1939="Em andamento"),IF(J1939="","",TODAY()-J1939),"")</f>
        <v/>
      </c>
      <c r="P1939" t="n">
        <v>10562</v>
      </c>
      <c r="Q1939" t="inlineStr">
        <is>
          <t>Clima &amp; Cia (10562)</t>
        </is>
      </c>
      <c r="R1939" t="inlineStr">
        <is>
          <t>PC-0048</t>
        </is>
      </c>
      <c r="S1939" t="inlineStr">
        <is>
          <t>Sensor de nível modelo 04</t>
        </is>
      </c>
      <c r="T1939" t="n">
        <v>1</v>
      </c>
      <c r="U1939" t="n">
        <v>160</v>
      </c>
      <c r="V1939">
        <f>IF(J1939="","",MONTH(J1939))</f>
        <v/>
      </c>
      <c r="W1939">
        <f>IF(J1939="","",YEAR(J1939))</f>
        <v/>
      </c>
      <c r="X1939" t="inlineStr">
        <is>
          <t>EntregaJá</t>
        </is>
      </c>
      <c r="Y1939">
        <f>IFERROR(INDEX(Rastreio!$H$2:$H$200,MATCH(X1939&amp;"|"&amp;U1939,Rastreio!$A$2:$A$200,0)),"")</f>
        <v/>
      </c>
    </row>
    <row r="1940">
      <c r="A1940">
        <f>IFERROR(INDEX(STAs!$G$2:$G$61,MATCH(P1940,STAs!$F$2:$F$61,0))&amp;"","")</f>
        <v/>
      </c>
      <c r="B1940" t="n">
        <v>20005615</v>
      </c>
      <c r="C1940" t="inlineStr">
        <is>
          <t>Sim</t>
        </is>
      </c>
      <c r="D1940" t="inlineStr">
        <is>
          <t>CE</t>
        </is>
      </c>
      <c r="E1940" t="inlineStr">
        <is>
          <t>NORDESTE</t>
        </is>
      </c>
      <c r="F1940" t="inlineStr">
        <is>
          <t>Cliente A - Refrigerador</t>
        </is>
      </c>
      <c r="G1940" t="inlineStr">
        <is>
          <t>Chopeiras</t>
        </is>
      </c>
      <c r="H1940" s="10" t="n">
        <v>210</v>
      </c>
      <c r="I1940" s="10">
        <f>IFERROR(T1940*H1940,0)</f>
        <v/>
      </c>
      <c r="J1940" s="11" t="n">
        <v>46255</v>
      </c>
      <c r="K1940" s="11" t="n">
        <v>46314</v>
      </c>
      <c r="L1940" t="inlineStr">
        <is>
          <t>Ok. Devolvida</t>
        </is>
      </c>
      <c r="M1940">
        <f>IF(L1940="","",IFERROR(VLOOKUP(L1940,mapGrupoStatus,2,0),"Outros"))</f>
        <v/>
      </c>
      <c r="N1940">
        <f>IF(O1940="","",IF(O1940&lt;=30,"0-30 dias",IF(O1940&lt;=60,"31-60 dias",IF(O1940&lt;=90,"61-90 dias","Mais de 90 dias"))))</f>
        <v/>
      </c>
      <c r="O1940">
        <f>IF(OR(M1940="Pendente",M1940="Em andamento"),IF(J1940="","",TODAY()-J1940),"")</f>
        <v/>
      </c>
      <c r="P1940" t="n">
        <v>10615</v>
      </c>
      <c r="Q1940" t="inlineStr">
        <is>
          <t>Brisa Técnica (10615)</t>
        </is>
      </c>
      <c r="R1940" t="inlineStr">
        <is>
          <t>PC-0029</t>
        </is>
      </c>
      <c r="S1940" t="inlineStr">
        <is>
          <t>Serpentina modelo 01</t>
        </is>
      </c>
      <c r="T1940" t="n">
        <v>1</v>
      </c>
      <c r="U1940" t="n">
        <v>111</v>
      </c>
      <c r="V1940">
        <f>IF(J1940="","",MONTH(J1940))</f>
        <v/>
      </c>
      <c r="W1940">
        <f>IF(J1940="","",YEAR(J1940))</f>
        <v/>
      </c>
      <c r="X1940" t="inlineStr">
        <is>
          <t>RotaSul</t>
        </is>
      </c>
      <c r="Y1940">
        <f>IFERROR(INDEX(Rastreio!$H$2:$H$200,MATCH(X1940&amp;"|"&amp;U1940,Rastreio!$A$2:$A$200,0)),"")</f>
        <v/>
      </c>
    </row>
    <row r="1941">
      <c r="A1941">
        <f>IFERROR(INDEX(STAs!$G$2:$G$61,MATCH(P1941,STAs!$F$2:$F$61,0))&amp;"","")</f>
        <v/>
      </c>
      <c r="B1941" t="n">
        <v>20025712</v>
      </c>
      <c r="C1941" t="inlineStr">
        <is>
          <t>Não</t>
        </is>
      </c>
      <c r="D1941" t="inlineStr">
        <is>
          <t>PR</t>
        </is>
      </c>
      <c r="E1941" t="inlineStr">
        <is>
          <t>SUL</t>
        </is>
      </c>
      <c r="F1941" t="inlineStr">
        <is>
          <t>Cliente C - Misturador</t>
        </is>
      </c>
      <c r="G1941" t="inlineStr">
        <is>
          <t>Chopeiras</t>
        </is>
      </c>
      <c r="H1941" s="10" t="n">
        <v>85</v>
      </c>
      <c r="I1941" s="10">
        <f>IFERROR(T1941*H1941,0)</f>
        <v/>
      </c>
      <c r="J1941" s="11" t="n">
        <v>46255</v>
      </c>
      <c r="K1941" s="11" t="n"/>
      <c r="L1941" t="inlineStr">
        <is>
          <t>Em transporte</t>
        </is>
      </c>
      <c r="M1941">
        <f>IF(L1941="","",IFERROR(VLOOKUP(L1941,mapGrupoStatus,2,0),"Outros"))</f>
        <v/>
      </c>
      <c r="N1941">
        <f>IF(O1941="","",IF(O1941&lt;=30,"0-30 dias",IF(O1941&lt;=60,"31-60 dias",IF(O1941&lt;=90,"61-90 dias","Mais de 90 dias"))))</f>
        <v/>
      </c>
      <c r="O1941">
        <f>IF(OR(M1941="Pendente",M1941="Em andamento"),IF(J1941="","",TODAY()-J1941),"")</f>
        <v/>
      </c>
      <c r="P1941" t="n">
        <v>12089</v>
      </c>
      <c r="Q1941" t="inlineStr">
        <is>
          <t>Termotec Serviços (12089)</t>
        </is>
      </c>
      <c r="R1941" t="inlineStr">
        <is>
          <t>PC-0028</t>
        </is>
      </c>
      <c r="S1941" t="inlineStr">
        <is>
          <t>Torneira de chopp modelo 03</t>
        </is>
      </c>
      <c r="T1941" t="n">
        <v>1</v>
      </c>
      <c r="U1941" t="n">
        <v>147</v>
      </c>
      <c r="V1941">
        <f>IF(J1941="","",MONTH(J1941))</f>
        <v/>
      </c>
      <c r="W1941">
        <f>IF(J1941="","",YEAR(J1941))</f>
        <v/>
      </c>
      <c r="X1941" t="inlineStr">
        <is>
          <t>LogExpress</t>
        </is>
      </c>
      <c r="Y1941">
        <f>IFERROR(INDEX(Rastreio!$H$2:$H$200,MATCH(X1941&amp;"|"&amp;U1941,Rastreio!$A$2:$A$200,0)),"")</f>
        <v/>
      </c>
    </row>
    <row r="1942">
      <c r="A1942">
        <f>IFERROR(INDEX(STAs!$G$2:$G$61,MATCH(P1942,STAs!$F$2:$F$61,0))&amp;"","")</f>
        <v/>
      </c>
      <c r="B1942" t="n">
        <v>20001126</v>
      </c>
      <c r="C1942" t="inlineStr">
        <is>
          <t>Não</t>
        </is>
      </c>
      <c r="D1942" t="inlineStr">
        <is>
          <t>GO</t>
        </is>
      </c>
      <c r="E1942" t="inlineStr">
        <is>
          <t>CENTRO OESTE</t>
        </is>
      </c>
      <c r="F1942" t="inlineStr">
        <is>
          <t>Cliente A - Refrigerador</t>
        </is>
      </c>
      <c r="G1942" t="inlineStr">
        <is>
          <t>Chopeiras</t>
        </is>
      </c>
      <c r="H1942" s="10" t="n">
        <v>210</v>
      </c>
      <c r="I1942" s="10">
        <f>IFERROR(T1942*H1942,0)</f>
        <v/>
      </c>
      <c r="J1942" s="11" t="n">
        <v>46256</v>
      </c>
      <c r="K1942" s="11" t="n">
        <v>46262</v>
      </c>
      <c r="L1942" t="inlineStr">
        <is>
          <t>Ok. Devolvida</t>
        </is>
      </c>
      <c r="M1942">
        <f>IF(L1942="","",IFERROR(VLOOKUP(L1942,mapGrupoStatus,2,0),"Outros"))</f>
        <v/>
      </c>
      <c r="N1942">
        <f>IF(O1942="","",IF(O1942&lt;=30,"0-30 dias",IF(O1942&lt;=60,"31-60 dias",IF(O1942&lt;=90,"61-90 dias","Mais de 90 dias"))))</f>
        <v/>
      </c>
      <c r="O1942">
        <f>IF(OR(M1942="Pendente",M1942="Em andamento"),IF(J1942="","",TODAY()-J1942),"")</f>
        <v/>
      </c>
      <c r="P1942" t="n">
        <v>10317</v>
      </c>
      <c r="Q1942" t="inlineStr">
        <is>
          <t>Termotec Manutenção (10317)</t>
        </is>
      </c>
      <c r="R1942" t="inlineStr">
        <is>
          <t>PC-0029</t>
        </is>
      </c>
      <c r="S1942" t="inlineStr">
        <is>
          <t>Serpentina modelo 01</t>
        </is>
      </c>
      <c r="T1942" t="n">
        <v>1</v>
      </c>
      <c r="U1942" t="n">
        <v>103</v>
      </c>
      <c r="V1942">
        <f>IF(J1942="","",MONTH(J1942))</f>
        <v/>
      </c>
      <c r="W1942">
        <f>IF(J1942="","",YEAR(J1942))</f>
        <v/>
      </c>
      <c r="X1942" t="inlineStr">
        <is>
          <t>LogExpress</t>
        </is>
      </c>
      <c r="Y1942">
        <f>IFERROR(INDEX(Rastreio!$H$2:$H$200,MATCH(X1942&amp;"|"&amp;U1942,Rastreio!$A$2:$A$200,0)),"")</f>
        <v/>
      </c>
    </row>
    <row r="1943">
      <c r="A1943">
        <f>IFERROR(INDEX(STAs!$G$2:$G$61,MATCH(P1943,STAs!$F$2:$F$61,0))&amp;"","")</f>
        <v/>
      </c>
      <c r="B1943" t="n">
        <v>20003158</v>
      </c>
      <c r="C1943" t="inlineStr">
        <is>
          <t>Sim</t>
        </is>
      </c>
      <c r="D1943" t="inlineStr">
        <is>
          <t>CE</t>
        </is>
      </c>
      <c r="E1943" t="inlineStr">
        <is>
          <t>NORDESTE</t>
        </is>
      </c>
      <c r="F1943" t="inlineStr">
        <is>
          <t>Cliente B - Chopeira</t>
        </is>
      </c>
      <c r="G1943" t="inlineStr">
        <is>
          <t>Misturadores</t>
        </is>
      </c>
      <c r="H1943" s="10" t="n">
        <v>200</v>
      </c>
      <c r="I1943" s="10">
        <f>IFERROR(T1943*H1943,0)</f>
        <v/>
      </c>
      <c r="J1943" s="11" t="n">
        <v>46256</v>
      </c>
      <c r="K1943" s="11" t="n"/>
      <c r="L1943" t="inlineStr">
        <is>
          <t>Debitar do STA</t>
        </is>
      </c>
      <c r="M1943">
        <f>IF(L1943="","",IFERROR(VLOOKUP(L1943,mapGrupoStatus,2,0),"Outros"))</f>
        <v/>
      </c>
      <c r="N1943">
        <f>IF(O1943="","",IF(O1943&lt;=30,"0-30 dias",IF(O1943&lt;=60,"31-60 dias",IF(O1943&lt;=90,"61-90 dias","Mais de 90 dias"))))</f>
        <v/>
      </c>
      <c r="O1943">
        <f>IF(OR(M1943="Pendente",M1943="Em andamento"),IF(J1943="","",TODAY()-J1943),"")</f>
        <v/>
      </c>
      <c r="P1943" t="n">
        <v>10615</v>
      </c>
      <c r="Q1943" t="inlineStr">
        <is>
          <t>Brisa Técnica (10615)</t>
        </is>
      </c>
      <c r="R1943" t="inlineStr">
        <is>
          <t>PC-0040</t>
        </is>
      </c>
      <c r="S1943" t="inlineStr">
        <is>
          <t>Motor agitador modelo 01</t>
        </is>
      </c>
      <c r="T1943" t="n">
        <v>1</v>
      </c>
      <c r="U1943" t="inlineStr"/>
      <c r="V1943">
        <f>IF(J1943="","",MONTH(J1943))</f>
        <v/>
      </c>
      <c r="W1943">
        <f>IF(J1943="","",YEAR(J1943))</f>
        <v/>
      </c>
      <c r="X1943" t="inlineStr"/>
      <c r="Y1943">
        <f>IFERROR(INDEX(Rastreio!$H$2:$H$200,MATCH(X1943&amp;"|"&amp;U1943,Rastreio!$A$2:$A$200,0)),"")</f>
        <v/>
      </c>
    </row>
    <row r="1944">
      <c r="A1944">
        <f>IFERROR(INDEX(STAs!$G$2:$G$61,MATCH(P1944,STAs!$F$2:$F$61,0))&amp;"","")</f>
        <v/>
      </c>
      <c r="B1944" t="n">
        <v>20005536</v>
      </c>
      <c r="C1944" t="inlineStr">
        <is>
          <t>Não</t>
        </is>
      </c>
      <c r="D1944" t="inlineStr">
        <is>
          <t>PE</t>
        </is>
      </c>
      <c r="E1944" t="inlineStr">
        <is>
          <t>NORDESTE</t>
        </is>
      </c>
      <c r="F1944" t="inlineStr">
        <is>
          <t>Cliente B - Chopeira</t>
        </is>
      </c>
      <c r="G1944" t="inlineStr">
        <is>
          <t>Refrigeradores</t>
        </is>
      </c>
      <c r="H1944" s="10" t="n">
        <v>155</v>
      </c>
      <c r="I1944" s="10">
        <f>IFERROR(T1944*H1944,0)</f>
        <v/>
      </c>
      <c r="J1944" s="11" t="n">
        <v>46256</v>
      </c>
      <c r="K1944" s="11" t="n"/>
      <c r="L1944" t="inlineStr">
        <is>
          <t>Em andamento</t>
        </is>
      </c>
      <c r="M1944">
        <f>IF(L1944="","",IFERROR(VLOOKUP(L1944,mapGrupoStatus,2,0),"Outros"))</f>
        <v/>
      </c>
      <c r="N1944">
        <f>IF(O1944="","",IF(O1944&lt;=30,"0-30 dias",IF(O1944&lt;=60,"31-60 dias",IF(O1944&lt;=90,"61-90 dias","Mais de 90 dias"))))</f>
        <v/>
      </c>
      <c r="O1944">
        <f>IF(OR(M1944="Pendente",M1944="Em andamento"),IF(J1944="","",TODAY()-J1944),"")</f>
        <v/>
      </c>
      <c r="P1944" t="n">
        <v>11352</v>
      </c>
      <c r="Q1944" t="inlineStr">
        <is>
          <t>Frio Express (11352)</t>
        </is>
      </c>
      <c r="R1944" t="inlineStr">
        <is>
          <t>PC-0021</t>
        </is>
      </c>
      <c r="S1944" t="inlineStr">
        <is>
          <t>Controlador digital modelo 01</t>
        </is>
      </c>
      <c r="T1944" t="n">
        <v>1</v>
      </c>
      <c r="U1944" t="n">
        <v>107</v>
      </c>
      <c r="V1944">
        <f>IF(J1944="","",MONTH(J1944))</f>
        <v/>
      </c>
      <c r="W1944">
        <f>IF(J1944="","",YEAR(J1944))</f>
        <v/>
      </c>
      <c r="X1944" t="inlineStr">
        <is>
          <t>CargoMax</t>
        </is>
      </c>
      <c r="Y1944">
        <f>IFERROR(INDEX(Rastreio!$H$2:$H$200,MATCH(X1944&amp;"|"&amp;U1944,Rastreio!$A$2:$A$200,0)),"")</f>
        <v/>
      </c>
    </row>
    <row r="1945">
      <c r="A1945">
        <f>IFERROR(INDEX(STAs!$G$2:$G$61,MATCH(P1945,STAs!$F$2:$F$61,0))&amp;"","")</f>
        <v/>
      </c>
      <c r="B1945" t="n">
        <v>20005970</v>
      </c>
      <c r="C1945" t="inlineStr">
        <is>
          <t>Não</t>
        </is>
      </c>
      <c r="D1945" t="inlineStr">
        <is>
          <t>AC</t>
        </is>
      </c>
      <c r="E1945" t="inlineStr">
        <is>
          <t>NORTE</t>
        </is>
      </c>
      <c r="F1945" t="inlineStr">
        <is>
          <t>Cliente C - Misturador</t>
        </is>
      </c>
      <c r="G1945" t="inlineStr">
        <is>
          <t>Refrigeradores</t>
        </is>
      </c>
      <c r="H1945" s="10" t="n">
        <v>175</v>
      </c>
      <c r="I1945" s="10">
        <f>IFERROR(T1945*H1945,0)</f>
        <v/>
      </c>
      <c r="J1945" s="11" t="n">
        <v>46256</v>
      </c>
      <c r="K1945" s="11" t="n"/>
      <c r="L1945" t="inlineStr">
        <is>
          <t>Não Devolve-Norte</t>
        </is>
      </c>
      <c r="M1945">
        <f>IF(L1945="","",IFERROR(VLOOKUP(L1945,mapGrupoStatus,2,0),"Outros"))</f>
        <v/>
      </c>
      <c r="N1945">
        <f>IF(O1945="","",IF(O1945&lt;=30,"0-30 dias",IF(O1945&lt;=60,"31-60 dias",IF(O1945&lt;=90,"61-90 dias","Mais de 90 dias"))))</f>
        <v/>
      </c>
      <c r="O1945">
        <f>IF(OR(M1945="Pendente",M1945="Em andamento"),IF(J1945="","",TODAY()-J1945),"")</f>
        <v/>
      </c>
      <c r="P1945" t="n">
        <v>10372</v>
      </c>
      <c r="Q1945" t="inlineStr">
        <is>
          <t>Zero Grau ME (10372)</t>
        </is>
      </c>
      <c r="R1945" t="inlineStr">
        <is>
          <t>PC-0012</t>
        </is>
      </c>
      <c r="S1945" t="inlineStr">
        <is>
          <t>Placa eletrônica modelo 02</t>
        </is>
      </c>
      <c r="T1945" t="n">
        <v>1</v>
      </c>
      <c r="U1945" t="inlineStr"/>
      <c r="V1945">
        <f>IF(J1945="","",MONTH(J1945))</f>
        <v/>
      </c>
      <c r="W1945">
        <f>IF(J1945="","",YEAR(J1945))</f>
        <v/>
      </c>
      <c r="X1945" t="inlineStr"/>
      <c r="Y1945">
        <f>IFERROR(INDEX(Rastreio!$H$2:$H$200,MATCH(X1945&amp;"|"&amp;U1945,Rastreio!$A$2:$A$200,0)),"")</f>
        <v/>
      </c>
    </row>
    <row r="1946">
      <c r="A1946">
        <f>IFERROR(INDEX(STAs!$G$2:$G$61,MATCH(P1946,STAs!$F$2:$F$61,0))&amp;"","")</f>
        <v/>
      </c>
      <c r="B1946" t="n">
        <v>20013632</v>
      </c>
      <c r="C1946" t="inlineStr">
        <is>
          <t>Não</t>
        </is>
      </c>
      <c r="D1946" t="inlineStr">
        <is>
          <t>MG</t>
        </is>
      </c>
      <c r="E1946" t="inlineStr">
        <is>
          <t>SUDESTE MG</t>
        </is>
      </c>
      <c r="F1946" t="inlineStr">
        <is>
          <t>Cliente B - Chopeira</t>
        </is>
      </c>
      <c r="G1946" t="inlineStr">
        <is>
          <t>Refrigeradores</t>
        </is>
      </c>
      <c r="H1946" s="10" t="n">
        <v>70</v>
      </c>
      <c r="I1946" s="10">
        <f>IFERROR(T1946*H1946,0)</f>
        <v/>
      </c>
      <c r="J1946" s="11" t="n">
        <v>46256</v>
      </c>
      <c r="K1946" s="11" t="n"/>
      <c r="L1946" t="inlineStr">
        <is>
          <t>Aguardando devolução</t>
        </is>
      </c>
      <c r="M1946">
        <f>IF(L1946="","",IFERROR(VLOOKUP(L1946,mapGrupoStatus,2,0),"Outros"))</f>
        <v/>
      </c>
      <c r="N1946">
        <f>IF(O1946="","",IF(O1946&lt;=30,"0-30 dias",IF(O1946&lt;=60,"31-60 dias",IF(O1946&lt;=90,"61-90 dias","Mais de 90 dias"))))</f>
        <v/>
      </c>
      <c r="O1946">
        <f>IF(OR(M1946="Pendente",M1946="Em andamento"),IF(J1946="","",TODAY()-J1946),"")</f>
        <v/>
      </c>
      <c r="P1946" t="n">
        <v>11494</v>
      </c>
      <c r="Q1946" t="inlineStr">
        <is>
          <t>Clima Técnica (11494)</t>
        </is>
      </c>
      <c r="R1946" t="inlineStr">
        <is>
          <t>PC-0009</t>
        </is>
      </c>
      <c r="S1946" t="inlineStr">
        <is>
          <t>Ventilador modelo 03</t>
        </is>
      </c>
      <c r="T1946" t="n">
        <v>1</v>
      </c>
      <c r="U1946" t="inlineStr"/>
      <c r="V1946">
        <f>IF(J1946="","",MONTH(J1946))</f>
        <v/>
      </c>
      <c r="W1946">
        <f>IF(J1946="","",YEAR(J1946))</f>
        <v/>
      </c>
      <c r="X1946" t="inlineStr"/>
      <c r="Y1946">
        <f>IFERROR(INDEX(Rastreio!$H$2:$H$200,MATCH(X1946&amp;"|"&amp;U1946,Rastreio!$A$2:$A$200,0)),"")</f>
        <v/>
      </c>
    </row>
    <row r="1947">
      <c r="A1947">
        <f>IFERROR(INDEX(STAs!$G$2:$G$61,MATCH(P1947,STAs!$F$2:$F$61,0))&amp;"","")</f>
        <v/>
      </c>
      <c r="B1947" t="n">
        <v>20015506</v>
      </c>
      <c r="C1947" t="inlineStr">
        <is>
          <t>Sim</t>
        </is>
      </c>
      <c r="D1947" t="inlineStr">
        <is>
          <t>PR</t>
        </is>
      </c>
      <c r="E1947" t="inlineStr">
        <is>
          <t>SUL</t>
        </is>
      </c>
      <c r="F1947" t="inlineStr">
        <is>
          <t>Cliente B - Chopeira</t>
        </is>
      </c>
      <c r="G1947" t="inlineStr">
        <is>
          <t>Refrigeradores</t>
        </is>
      </c>
      <c r="H1947" s="10" t="n">
        <v>45</v>
      </c>
      <c r="I1947" s="10">
        <f>IFERROR(T1947*H1947,0)</f>
        <v/>
      </c>
      <c r="J1947" s="11" t="n">
        <v>46256</v>
      </c>
      <c r="K1947" s="11" t="n"/>
      <c r="L1947" t="inlineStr">
        <is>
          <t>Aguardando devolução</t>
        </is>
      </c>
      <c r="M1947">
        <f>IF(L1947="","",IFERROR(VLOOKUP(L1947,mapGrupoStatus,2,0),"Outros"))</f>
        <v/>
      </c>
      <c r="N1947">
        <f>IF(O1947="","",IF(O1947&lt;=30,"0-30 dias",IF(O1947&lt;=60,"31-60 dias",IF(O1947&lt;=90,"61-90 dias","Mais de 90 dias"))))</f>
        <v/>
      </c>
      <c r="O1947">
        <f>IF(OR(M1947="Pendente",M1947="Em andamento"),IF(J1947="","",TODAY()-J1947),"")</f>
        <v/>
      </c>
      <c r="P1947" t="n">
        <v>12724</v>
      </c>
      <c r="Q1947" t="inlineStr">
        <is>
          <t>Cool Service &amp; Cia (12724)</t>
        </is>
      </c>
      <c r="R1947" t="inlineStr">
        <is>
          <t>PC-0019</t>
        </is>
      </c>
      <c r="S1947" t="inlineStr">
        <is>
          <t>Gaxeta da porta modelo 02</t>
        </is>
      </c>
      <c r="T1947" t="n">
        <v>1</v>
      </c>
      <c r="U1947" t="inlineStr"/>
      <c r="V1947">
        <f>IF(J1947="","",MONTH(J1947))</f>
        <v/>
      </c>
      <c r="W1947">
        <f>IF(J1947="","",YEAR(J1947))</f>
        <v/>
      </c>
      <c r="X1947" t="inlineStr"/>
      <c r="Y1947">
        <f>IFERROR(INDEX(Rastreio!$H$2:$H$200,MATCH(X1947&amp;"|"&amp;U1947,Rastreio!$A$2:$A$200,0)),"")</f>
        <v/>
      </c>
    </row>
    <row r="1948">
      <c r="A1948">
        <f>IFERROR(INDEX(STAs!$G$2:$G$61,MATCH(P1948,STAs!$F$2:$F$61,0))&amp;"","")</f>
        <v/>
      </c>
      <c r="B1948" t="n">
        <v>20016661</v>
      </c>
      <c r="C1948" t="inlineStr">
        <is>
          <t>Não</t>
        </is>
      </c>
      <c r="D1948" t="inlineStr">
        <is>
          <t>PA</t>
        </is>
      </c>
      <c r="E1948" t="inlineStr">
        <is>
          <t>NORTE</t>
        </is>
      </c>
      <c r="F1948" t="inlineStr">
        <is>
          <t>Cliente C - Misturador</t>
        </is>
      </c>
      <c r="G1948" t="inlineStr">
        <is>
          <t>Misturadores</t>
        </is>
      </c>
      <c r="H1948" s="10" t="n">
        <v>50</v>
      </c>
      <c r="I1948" s="10">
        <f>IFERROR(T1948*H1948,0)</f>
        <v/>
      </c>
      <c r="J1948" s="11" t="n">
        <v>46256</v>
      </c>
      <c r="K1948" s="11" t="n"/>
      <c r="L1948" t="inlineStr">
        <is>
          <t>Não Devolve-Norte</t>
        </is>
      </c>
      <c r="M1948">
        <f>IF(L1948="","",IFERROR(VLOOKUP(L1948,mapGrupoStatus,2,0),"Outros"))</f>
        <v/>
      </c>
      <c r="N1948">
        <f>IF(O1948="","",IF(O1948&lt;=30,"0-30 dias",IF(O1948&lt;=60,"31-60 dias",IF(O1948&lt;=90,"61-90 dias","Mais de 90 dias"))))</f>
        <v/>
      </c>
      <c r="O1948">
        <f>IF(OR(M1948="Pendente",M1948="Em andamento"),IF(J1948="","",TODAY()-J1948),"")</f>
        <v/>
      </c>
      <c r="P1948" t="n">
        <v>11986</v>
      </c>
      <c r="Q1948" t="inlineStr">
        <is>
          <t>Polar Serviços (11986)</t>
        </is>
      </c>
      <c r="R1948" t="inlineStr">
        <is>
          <t>PC-0044</t>
        </is>
      </c>
      <c r="S1948" t="inlineStr">
        <is>
          <t>Bico dosador modelo 03</t>
        </is>
      </c>
      <c r="T1948" t="n">
        <v>1</v>
      </c>
      <c r="U1948" t="inlineStr"/>
      <c r="V1948">
        <f>IF(J1948="","",MONTH(J1948))</f>
        <v/>
      </c>
      <c r="W1948">
        <f>IF(J1948="","",YEAR(J1948))</f>
        <v/>
      </c>
      <c r="X1948" t="inlineStr"/>
      <c r="Y1948">
        <f>IFERROR(INDEX(Rastreio!$H$2:$H$200,MATCH(X1948&amp;"|"&amp;U1948,Rastreio!$A$2:$A$200,0)),"")</f>
        <v/>
      </c>
    </row>
    <row r="1949">
      <c r="A1949">
        <f>IFERROR(INDEX(STAs!$G$2:$G$61,MATCH(P1949,STAs!$F$2:$F$61,0))&amp;"","")</f>
        <v/>
      </c>
      <c r="B1949" t="n">
        <v>20018025</v>
      </c>
      <c r="C1949" t="inlineStr">
        <is>
          <t>Não</t>
        </is>
      </c>
      <c r="D1949" t="inlineStr">
        <is>
          <t>BA</t>
        </is>
      </c>
      <c r="E1949" t="inlineStr">
        <is>
          <t>NORDESTE</t>
        </is>
      </c>
      <c r="F1949" t="inlineStr">
        <is>
          <t>Cliente C - Misturador</t>
        </is>
      </c>
      <c r="G1949" t="inlineStr">
        <is>
          <t>Refrigeradores</t>
        </is>
      </c>
      <c r="H1949" s="10" t="n">
        <v>155</v>
      </c>
      <c r="I1949" s="10">
        <f>IFERROR(T1949*H1949,0)</f>
        <v/>
      </c>
      <c r="J1949" s="11" t="n">
        <v>46256</v>
      </c>
      <c r="K1949" s="11" t="n">
        <v>46264</v>
      </c>
      <c r="L1949" t="inlineStr">
        <is>
          <t>Ok. Devolvida</t>
        </is>
      </c>
      <c r="M1949">
        <f>IF(L1949="","",IFERROR(VLOOKUP(L1949,mapGrupoStatus,2,0),"Outros"))</f>
        <v/>
      </c>
      <c r="N1949">
        <f>IF(O1949="","",IF(O1949&lt;=30,"0-30 dias",IF(O1949&lt;=60,"31-60 dias",IF(O1949&lt;=90,"61-90 dias","Mais de 90 dias"))))</f>
        <v/>
      </c>
      <c r="O1949">
        <f>IF(OR(M1949="Pendente",M1949="Em andamento"),IF(J1949="","",TODAY()-J1949),"")</f>
        <v/>
      </c>
      <c r="P1949" t="n">
        <v>12194</v>
      </c>
      <c r="Q1949" t="inlineStr">
        <is>
          <t>Polar &amp; Cia (12194)</t>
        </is>
      </c>
      <c r="R1949" t="inlineStr">
        <is>
          <t>PC-0021</t>
        </is>
      </c>
      <c r="S1949" t="inlineStr">
        <is>
          <t>Controlador digital modelo 01</t>
        </is>
      </c>
      <c r="T1949" t="n">
        <v>1</v>
      </c>
      <c r="U1949" t="n">
        <v>127</v>
      </c>
      <c r="V1949">
        <f>IF(J1949="","",MONTH(J1949))</f>
        <v/>
      </c>
      <c r="W1949">
        <f>IF(J1949="","",YEAR(J1949))</f>
        <v/>
      </c>
      <c r="X1949" t="inlineStr">
        <is>
          <t>EntregaJá</t>
        </is>
      </c>
      <c r="Y1949">
        <f>IFERROR(INDEX(Rastreio!$H$2:$H$200,MATCH(X1949&amp;"|"&amp;U1949,Rastreio!$A$2:$A$200,0)),"")</f>
        <v/>
      </c>
    </row>
    <row r="1950">
      <c r="A1950">
        <f>IFERROR(INDEX(STAs!$G$2:$G$61,MATCH(P1950,STAs!$F$2:$F$61,0))&amp;"","")</f>
        <v/>
      </c>
      <c r="B1950" t="n">
        <v>20023595</v>
      </c>
      <c r="C1950" t="inlineStr">
        <is>
          <t>Não</t>
        </is>
      </c>
      <c r="D1950" t="inlineStr">
        <is>
          <t>MS</t>
        </is>
      </c>
      <c r="E1950" t="inlineStr">
        <is>
          <t>CENTRO OESTE</t>
        </is>
      </c>
      <c r="F1950" t="inlineStr">
        <is>
          <t>Cliente B - Chopeira</t>
        </is>
      </c>
      <c r="G1950" t="inlineStr">
        <is>
          <t>Refrigeradores</t>
        </is>
      </c>
      <c r="H1950" s="10" t="n">
        <v>30</v>
      </c>
      <c r="I1950" s="10">
        <f>IFERROR(T1950*H1950,0)</f>
        <v/>
      </c>
      <c r="J1950" s="11" t="n">
        <v>46256</v>
      </c>
      <c r="K1950" s="11" t="n">
        <v>46274</v>
      </c>
      <c r="L1950" t="inlineStr">
        <is>
          <t>Ok. Devolvida</t>
        </is>
      </c>
      <c r="M1950">
        <f>IF(L1950="","",IFERROR(VLOOKUP(L1950,mapGrupoStatus,2,0),"Outros"))</f>
        <v/>
      </c>
      <c r="N1950">
        <f>IF(O1950="","",IF(O1950&lt;=30,"0-30 dias",IF(O1950&lt;=60,"31-60 dias",IF(O1950&lt;=90,"61-90 dias","Mais de 90 dias"))))</f>
        <v/>
      </c>
      <c r="O1950">
        <f>IF(OR(M1950="Pendente",M1950="Em andamento"),IF(J1950="","",TODAY()-J1950),"")</f>
        <v/>
      </c>
      <c r="P1950" t="n">
        <v>10302</v>
      </c>
      <c r="Q1950" t="inlineStr">
        <is>
          <t>Ice Tech Express (10302)</t>
        </is>
      </c>
      <c r="R1950" t="inlineStr">
        <is>
          <t>PC-0017</t>
        </is>
      </c>
      <c r="S1950" t="inlineStr">
        <is>
          <t>Filtro secador modelo 03</t>
        </is>
      </c>
      <c r="T1950" t="n">
        <v>3</v>
      </c>
      <c r="U1950" t="n">
        <v>140</v>
      </c>
      <c r="V1950">
        <f>IF(J1950="","",MONTH(J1950))</f>
        <v/>
      </c>
      <c r="W1950">
        <f>IF(J1950="","",YEAR(J1950))</f>
        <v/>
      </c>
      <c r="X1950" t="inlineStr">
        <is>
          <t>LogExpress</t>
        </is>
      </c>
      <c r="Y1950">
        <f>IFERROR(INDEX(Rastreio!$H$2:$H$200,MATCH(X1950&amp;"|"&amp;U1950,Rastreio!$A$2:$A$200,0)),"")</f>
        <v/>
      </c>
    </row>
    <row r="1951">
      <c r="A1951">
        <f>IFERROR(INDEX(STAs!$G$2:$G$61,MATCH(P1951,STAs!$F$2:$F$61,0))&amp;"","")</f>
        <v/>
      </c>
      <c r="B1951" t="n">
        <v>20026771</v>
      </c>
      <c r="C1951" t="inlineStr">
        <is>
          <t>Não</t>
        </is>
      </c>
      <c r="D1951" t="inlineStr">
        <is>
          <t>MG</t>
        </is>
      </c>
      <c r="E1951" t="inlineStr">
        <is>
          <t>SUDESTE MG</t>
        </is>
      </c>
      <c r="F1951" t="inlineStr">
        <is>
          <t>Cliente C - Misturador</t>
        </is>
      </c>
      <c r="G1951" t="inlineStr">
        <is>
          <t>Refrigeradores</t>
        </is>
      </c>
      <c r="H1951" s="10" t="n">
        <v>35</v>
      </c>
      <c r="I1951" s="10">
        <f>IFERROR(T1951*H1951,0)</f>
        <v/>
      </c>
      <c r="J1951" s="11" t="n">
        <v>46256</v>
      </c>
      <c r="K1951" s="11" t="n">
        <v>46292</v>
      </c>
      <c r="L1951" t="inlineStr">
        <is>
          <t>Ok. Devolvida</t>
        </is>
      </c>
      <c r="M1951">
        <f>IF(L1951="","",IFERROR(VLOOKUP(L1951,mapGrupoStatus,2,0),"Outros"))</f>
        <v/>
      </c>
      <c r="N1951">
        <f>IF(O1951="","",IF(O1951&lt;=30,"0-30 dias",IF(O1951&lt;=60,"31-60 dias",IF(O1951&lt;=90,"61-90 dias","Mais de 90 dias"))))</f>
        <v/>
      </c>
      <c r="O1951">
        <f>IF(OR(M1951="Pendente",M1951="Em andamento"),IF(J1951="","",TODAY()-J1951),"")</f>
        <v/>
      </c>
      <c r="P1951" t="n">
        <v>12689</v>
      </c>
      <c r="Q1951" t="inlineStr">
        <is>
          <t>Norte Frio Manutenção (12689)</t>
        </is>
      </c>
      <c r="R1951" t="inlineStr">
        <is>
          <t>PC-0016</t>
        </is>
      </c>
      <c r="S1951" t="inlineStr">
        <is>
          <t>Filtro secador modelo 02</t>
        </is>
      </c>
      <c r="T1951" t="n">
        <v>1</v>
      </c>
      <c r="U1951" t="n">
        <v>149</v>
      </c>
      <c r="V1951">
        <f>IF(J1951="","",MONTH(J1951))</f>
        <v/>
      </c>
      <c r="W1951">
        <f>IF(J1951="","",YEAR(J1951))</f>
        <v/>
      </c>
      <c r="X1951" t="inlineStr">
        <is>
          <t>LogExpress</t>
        </is>
      </c>
      <c r="Y1951">
        <f>IFERROR(INDEX(Rastreio!$H$2:$H$200,MATCH(X1951&amp;"|"&amp;U1951,Rastreio!$A$2:$A$200,0)),"")</f>
        <v/>
      </c>
    </row>
    <row r="1952">
      <c r="A1952">
        <f>IFERROR(INDEX(STAs!$G$2:$G$61,MATCH(P1952,STAs!$F$2:$F$61,0))&amp;"","")</f>
        <v/>
      </c>
      <c r="B1952" t="n">
        <v>20038301</v>
      </c>
      <c r="C1952" t="inlineStr">
        <is>
          <t>Não</t>
        </is>
      </c>
      <c r="D1952" t="inlineStr">
        <is>
          <t>GO</t>
        </is>
      </c>
      <c r="E1952" t="inlineStr">
        <is>
          <t>CENTRO OESTE</t>
        </is>
      </c>
      <c r="F1952" t="inlineStr">
        <is>
          <t>Cliente C - Misturador</t>
        </is>
      </c>
      <c r="G1952" t="inlineStr">
        <is>
          <t>Misturadores</t>
        </is>
      </c>
      <c r="H1952" s="10" t="n">
        <v>50</v>
      </c>
      <c r="I1952" s="10">
        <f>IFERROR(T1952*H1952,0)</f>
        <v/>
      </c>
      <c r="J1952" s="11" t="n">
        <v>46256</v>
      </c>
      <c r="K1952" s="11" t="n"/>
      <c r="L1952" t="inlineStr">
        <is>
          <t>Em transporte</t>
        </is>
      </c>
      <c r="M1952">
        <f>IF(L1952="","",IFERROR(VLOOKUP(L1952,mapGrupoStatus,2,0),"Outros"))</f>
        <v/>
      </c>
      <c r="N1952">
        <f>IF(O1952="","",IF(O1952&lt;=30,"0-30 dias",IF(O1952&lt;=60,"31-60 dias",IF(O1952&lt;=90,"61-90 dias","Mais de 90 dias"))))</f>
        <v/>
      </c>
      <c r="O1952">
        <f>IF(OR(M1952="Pendente",M1952="Em andamento"),IF(J1952="","",TODAY()-J1952),"")</f>
        <v/>
      </c>
      <c r="P1952" t="n">
        <v>11293</v>
      </c>
      <c r="Q1952" t="inlineStr">
        <is>
          <t>Assistência Técnica Ltda (11293)</t>
        </is>
      </c>
      <c r="R1952" t="inlineStr">
        <is>
          <t>PC-0045</t>
        </is>
      </c>
      <c r="S1952" t="inlineStr">
        <is>
          <t>Sensor de nível modelo 01</t>
        </is>
      </c>
      <c r="T1952" t="n">
        <v>1</v>
      </c>
      <c r="U1952" t="n">
        <v>156</v>
      </c>
      <c r="V1952">
        <f>IF(J1952="","",MONTH(J1952))</f>
        <v/>
      </c>
      <c r="W1952">
        <f>IF(J1952="","",YEAR(J1952))</f>
        <v/>
      </c>
      <c r="X1952" t="inlineStr">
        <is>
          <t>EntregaJá</t>
        </is>
      </c>
      <c r="Y1952">
        <f>IFERROR(INDEX(Rastreio!$H$2:$H$200,MATCH(X1952&amp;"|"&amp;U1952,Rastreio!$A$2:$A$200,0)),"")</f>
        <v/>
      </c>
    </row>
    <row r="1953">
      <c r="A1953">
        <f>IFERROR(INDEX(STAs!$G$2:$G$61,MATCH(P1953,STAs!$F$2:$F$61,0))&amp;"","")</f>
        <v/>
      </c>
      <c r="B1953" t="n">
        <v>20010688</v>
      </c>
      <c r="C1953" t="inlineStr">
        <is>
          <t>Não</t>
        </is>
      </c>
      <c r="D1953" t="inlineStr">
        <is>
          <t>GO</t>
        </is>
      </c>
      <c r="E1953" t="inlineStr">
        <is>
          <t>CENTRO OESTE</t>
        </is>
      </c>
      <c r="F1953" t="inlineStr">
        <is>
          <t>Cliente B - Chopeira</t>
        </is>
      </c>
      <c r="G1953" t="inlineStr">
        <is>
          <t>Refrigeradores</t>
        </is>
      </c>
      <c r="H1953" s="10" t="n">
        <v>35</v>
      </c>
      <c r="I1953" s="10">
        <f>IFERROR(T1953*H1953,0)</f>
        <v/>
      </c>
      <c r="J1953" s="11" t="n">
        <v>46257</v>
      </c>
      <c r="K1953" s="11" t="n"/>
      <c r="L1953" t="inlineStr">
        <is>
          <t>Em transporte</t>
        </is>
      </c>
      <c r="M1953">
        <f>IF(L1953="","",IFERROR(VLOOKUP(L1953,mapGrupoStatus,2,0),"Outros"))</f>
        <v/>
      </c>
      <c r="N1953">
        <f>IF(O1953="","",IF(O1953&lt;=30,"0-30 dias",IF(O1953&lt;=60,"31-60 dias",IF(O1953&lt;=90,"61-90 dias","Mais de 90 dias"))))</f>
        <v/>
      </c>
      <c r="O1953">
        <f>IF(OR(M1953="Pendente",M1953="Em andamento"),IF(J1953="","",TODAY()-J1953),"")</f>
        <v/>
      </c>
      <c r="P1953" t="n">
        <v>11293</v>
      </c>
      <c r="Q1953" t="inlineStr">
        <is>
          <t>Assistência Técnica Ltda (11293)</t>
        </is>
      </c>
      <c r="R1953" t="inlineStr">
        <is>
          <t>PC-0023</t>
        </is>
      </c>
      <c r="S1953" t="inlineStr">
        <is>
          <t>Relé de partida modelo 01</t>
        </is>
      </c>
      <c r="T1953" t="n">
        <v>1</v>
      </c>
      <c r="U1953" t="n">
        <v>119</v>
      </c>
      <c r="V1953">
        <f>IF(J1953="","",MONTH(J1953))</f>
        <v/>
      </c>
      <c r="W1953">
        <f>IF(J1953="","",YEAR(J1953))</f>
        <v/>
      </c>
      <c r="X1953" t="inlineStr">
        <is>
          <t>RotaSul</t>
        </is>
      </c>
      <c r="Y1953">
        <f>IFERROR(INDEX(Rastreio!$H$2:$H$200,MATCH(X1953&amp;"|"&amp;U1953,Rastreio!$A$2:$A$200,0)),"")</f>
        <v/>
      </c>
    </row>
    <row r="1954">
      <c r="A1954">
        <f>IFERROR(INDEX(STAs!$G$2:$G$61,MATCH(P1954,STAs!$F$2:$F$61,0))&amp;"","")</f>
        <v/>
      </c>
      <c r="B1954" t="n">
        <v>20010834</v>
      </c>
      <c r="C1954" t="inlineStr">
        <is>
          <t>Não</t>
        </is>
      </c>
      <c r="D1954" t="inlineStr">
        <is>
          <t>ES</t>
        </is>
      </c>
      <c r="E1954" t="inlineStr">
        <is>
          <t>SUDESTE RJ e ES</t>
        </is>
      </c>
      <c r="F1954" t="inlineStr">
        <is>
          <t>Cliente C - Misturador</t>
        </is>
      </c>
      <c r="G1954" t="inlineStr">
        <is>
          <t>Chopeiras</t>
        </is>
      </c>
      <c r="H1954" s="10" t="n">
        <v>85</v>
      </c>
      <c r="I1954" s="10">
        <f>IFERROR(T1954*H1954,0)</f>
        <v/>
      </c>
      <c r="J1954" s="11" t="n">
        <v>46257</v>
      </c>
      <c r="K1954" s="11" t="n"/>
      <c r="L1954" t="inlineStr">
        <is>
          <t>Em andamento</t>
        </is>
      </c>
      <c r="M1954">
        <f>IF(L1954="","",IFERROR(VLOOKUP(L1954,mapGrupoStatus,2,0),"Outros"))</f>
        <v/>
      </c>
      <c r="N1954">
        <f>IF(O1954="","",IF(O1954&lt;=30,"0-30 dias",IF(O1954&lt;=60,"31-60 dias",IF(O1954&lt;=90,"61-90 dias","Mais de 90 dias"))))</f>
        <v/>
      </c>
      <c r="O1954">
        <f>IF(OR(M1954="Pendente",M1954="Em andamento"),IF(J1954="","",TODAY()-J1954),"")</f>
        <v/>
      </c>
      <c r="P1954" t="n">
        <v>11099</v>
      </c>
      <c r="Q1954" t="inlineStr">
        <is>
          <t>Refrigel Serviços (11099)</t>
        </is>
      </c>
      <c r="R1954" t="inlineStr">
        <is>
          <t>PC-0036</t>
        </is>
      </c>
      <c r="S1954" t="inlineStr">
        <is>
          <t>Válvula extratora modelo 02</t>
        </is>
      </c>
      <c r="T1954" t="n">
        <v>1</v>
      </c>
      <c r="U1954" t="n">
        <v>121</v>
      </c>
      <c r="V1954">
        <f>IF(J1954="","",MONTH(J1954))</f>
        <v/>
      </c>
      <c r="W1954">
        <f>IF(J1954="","",YEAR(J1954))</f>
        <v/>
      </c>
      <c r="X1954" t="inlineStr">
        <is>
          <t>LogExpress</t>
        </is>
      </c>
      <c r="Y1954">
        <f>IFERROR(INDEX(Rastreio!$H$2:$H$200,MATCH(X1954&amp;"|"&amp;U1954,Rastreio!$A$2:$A$200,0)),"")</f>
        <v/>
      </c>
    </row>
    <row r="1955">
      <c r="A1955">
        <f>IFERROR(INDEX(STAs!$G$2:$G$61,MATCH(P1955,STAs!$F$2:$F$61,0))&amp;"","")</f>
        <v/>
      </c>
      <c r="B1955" t="n">
        <v>20027261</v>
      </c>
      <c r="C1955" t="inlineStr">
        <is>
          <t>Não</t>
        </is>
      </c>
      <c r="D1955" t="inlineStr">
        <is>
          <t>DF</t>
        </is>
      </c>
      <c r="E1955" t="inlineStr">
        <is>
          <t>CENTRO OESTE</t>
        </is>
      </c>
      <c r="F1955" t="inlineStr">
        <is>
          <t>Cliente B - Chopeira</t>
        </is>
      </c>
      <c r="G1955" t="inlineStr">
        <is>
          <t>Refrigeradores</t>
        </is>
      </c>
      <c r="H1955" s="10" t="n">
        <v>35</v>
      </c>
      <c r="I1955" s="10">
        <f>IFERROR(T1955*H1955,0)</f>
        <v/>
      </c>
      <c r="J1955" s="11" t="n">
        <v>46257</v>
      </c>
      <c r="K1955" s="11" t="n"/>
      <c r="L1955" t="inlineStr">
        <is>
          <t>Não Devolve-Norte</t>
        </is>
      </c>
      <c r="M1955">
        <f>IF(L1955="","",IFERROR(VLOOKUP(L1955,mapGrupoStatus,2,0),"Outros"))</f>
        <v/>
      </c>
      <c r="N1955">
        <f>IF(O1955="","",IF(O1955&lt;=30,"0-30 dias",IF(O1955&lt;=60,"31-60 dias",IF(O1955&lt;=90,"61-90 dias","Mais de 90 dias"))))</f>
        <v/>
      </c>
      <c r="O1955">
        <f>IF(OR(M1955="Pendente",M1955="Em andamento"),IF(J1955="","",TODAY()-J1955),"")</f>
        <v/>
      </c>
      <c r="P1955" t="n">
        <v>10021</v>
      </c>
      <c r="Q1955" t="inlineStr">
        <is>
          <t>Termotec Técnica (10021)</t>
        </is>
      </c>
      <c r="R1955" t="inlineStr">
        <is>
          <t>PC-0016</t>
        </is>
      </c>
      <c r="S1955" t="inlineStr">
        <is>
          <t>Filtro secador modelo 02</t>
        </is>
      </c>
      <c r="T1955" t="n">
        <v>1</v>
      </c>
      <c r="U1955" t="inlineStr"/>
      <c r="V1955">
        <f>IF(J1955="","",MONTH(J1955))</f>
        <v/>
      </c>
      <c r="W1955">
        <f>IF(J1955="","",YEAR(J1955))</f>
        <v/>
      </c>
      <c r="X1955" t="inlineStr"/>
      <c r="Y1955">
        <f>IFERROR(INDEX(Rastreio!$H$2:$H$200,MATCH(X1955&amp;"|"&amp;U1955,Rastreio!$A$2:$A$200,0)),"")</f>
        <v/>
      </c>
    </row>
    <row r="1956">
      <c r="A1956">
        <f>IFERROR(INDEX(STAs!$G$2:$G$61,MATCH(P1956,STAs!$F$2:$F$61,0))&amp;"","")</f>
        <v/>
      </c>
      <c r="B1956" t="n">
        <v>20034652</v>
      </c>
      <c r="C1956" t="inlineStr">
        <is>
          <t>Não</t>
        </is>
      </c>
      <c r="D1956" t="inlineStr">
        <is>
          <t>RS</t>
        </is>
      </c>
      <c r="E1956" t="inlineStr">
        <is>
          <t>SUL</t>
        </is>
      </c>
      <c r="F1956" t="inlineStr">
        <is>
          <t>Cliente C - Misturador</t>
        </is>
      </c>
      <c r="G1956" t="inlineStr">
        <is>
          <t>Refrigeradores</t>
        </is>
      </c>
      <c r="H1956" s="10" t="n">
        <v>35</v>
      </c>
      <c r="I1956" s="10">
        <f>IFERROR(T1956*H1956,0)</f>
        <v/>
      </c>
      <c r="J1956" s="11" t="n">
        <v>46257</v>
      </c>
      <c r="K1956" s="11" t="n"/>
      <c r="L1956" t="inlineStr">
        <is>
          <t>Em andamento</t>
        </is>
      </c>
      <c r="M1956">
        <f>IF(L1956="","",IFERROR(VLOOKUP(L1956,mapGrupoStatus,2,0),"Outros"))</f>
        <v/>
      </c>
      <c r="N1956">
        <f>IF(O1956="","",IF(O1956&lt;=30,"0-30 dias",IF(O1956&lt;=60,"31-60 dias",IF(O1956&lt;=90,"61-90 dias","Mais de 90 dias"))))</f>
        <v/>
      </c>
      <c r="O1956">
        <f>IF(OR(M1956="Pendente",M1956="Em andamento"),IF(J1956="","",TODAY()-J1956),"")</f>
        <v/>
      </c>
      <c r="P1956" t="n">
        <v>11459</v>
      </c>
      <c r="Q1956" t="inlineStr">
        <is>
          <t>Frio ME (11459)</t>
        </is>
      </c>
      <c r="R1956" t="inlineStr">
        <is>
          <t>PC-0020</t>
        </is>
      </c>
      <c r="S1956" t="inlineStr">
        <is>
          <t>Gaxeta da porta modelo 03</t>
        </is>
      </c>
      <c r="T1956" t="n">
        <v>2</v>
      </c>
      <c r="U1956" t="n">
        <v>155</v>
      </c>
      <c r="V1956">
        <f>IF(J1956="","",MONTH(J1956))</f>
        <v/>
      </c>
      <c r="W1956">
        <f>IF(J1956="","",YEAR(J1956))</f>
        <v/>
      </c>
      <c r="X1956" t="inlineStr">
        <is>
          <t>ViaCargo</t>
        </is>
      </c>
      <c r="Y1956">
        <f>IFERROR(INDEX(Rastreio!$H$2:$H$200,MATCH(X1956&amp;"|"&amp;U1956,Rastreio!$A$2:$A$200,0)),"")</f>
        <v/>
      </c>
    </row>
    <row r="1957">
      <c r="A1957">
        <f>IFERROR(INDEX(STAs!$G$2:$G$61,MATCH(P1957,STAs!$F$2:$F$61,0))&amp;"","")</f>
        <v/>
      </c>
      <c r="B1957" t="n">
        <v>20036108</v>
      </c>
      <c r="C1957" t="inlineStr">
        <is>
          <t>Não</t>
        </is>
      </c>
      <c r="D1957" t="inlineStr">
        <is>
          <t>PR</t>
        </is>
      </c>
      <c r="E1957" t="inlineStr">
        <is>
          <t>SUL</t>
        </is>
      </c>
      <c r="F1957" t="inlineStr">
        <is>
          <t>Cliente B - Chopeira</t>
        </is>
      </c>
      <c r="G1957" t="inlineStr">
        <is>
          <t>Misturadores</t>
        </is>
      </c>
      <c r="H1957" s="10" t="n">
        <v>50</v>
      </c>
      <c r="I1957" s="10">
        <f>IFERROR(T1957*H1957,0)</f>
        <v/>
      </c>
      <c r="J1957" s="11" t="n">
        <v>46257</v>
      </c>
      <c r="K1957" s="11" t="n">
        <v>46285</v>
      </c>
      <c r="L1957" t="inlineStr">
        <is>
          <t>Ok. Devolvida</t>
        </is>
      </c>
      <c r="M1957">
        <f>IF(L1957="","",IFERROR(VLOOKUP(L1957,mapGrupoStatus,2,0),"Outros"))</f>
        <v/>
      </c>
      <c r="N1957">
        <f>IF(O1957="","",IF(O1957&lt;=30,"0-30 dias",IF(O1957&lt;=60,"31-60 dias",IF(O1957&lt;=90,"61-90 dias","Mais de 90 dias"))))</f>
        <v/>
      </c>
      <c r="O1957">
        <f>IF(OR(M1957="Pendente",M1957="Em andamento"),IF(J1957="","",TODAY()-J1957),"")</f>
        <v/>
      </c>
      <c r="P1957" t="n">
        <v>12089</v>
      </c>
      <c r="Q1957" t="inlineStr">
        <is>
          <t>Termotec Serviços (12089)</t>
        </is>
      </c>
      <c r="R1957" t="inlineStr">
        <is>
          <t>PC-0044</t>
        </is>
      </c>
      <c r="S1957" t="inlineStr">
        <is>
          <t>Bico dosador modelo 03</t>
        </is>
      </c>
      <c r="T1957" t="n">
        <v>1</v>
      </c>
      <c r="U1957" t="n">
        <v>162</v>
      </c>
      <c r="V1957">
        <f>IF(J1957="","",MONTH(J1957))</f>
        <v/>
      </c>
      <c r="W1957">
        <f>IF(J1957="","",YEAR(J1957))</f>
        <v/>
      </c>
      <c r="X1957" t="inlineStr">
        <is>
          <t>CargoMax</t>
        </is>
      </c>
      <c r="Y1957">
        <f>IFERROR(INDEX(Rastreio!$H$2:$H$200,MATCH(X1957&amp;"|"&amp;U1957,Rastreio!$A$2:$A$200,0)),"")</f>
        <v/>
      </c>
    </row>
    <row r="1958">
      <c r="A1958">
        <f>IFERROR(INDEX(STAs!$G$2:$G$61,MATCH(P1958,STAs!$F$2:$F$61,0))&amp;"","")</f>
        <v/>
      </c>
      <c r="B1958" t="n">
        <v>20017995</v>
      </c>
      <c r="C1958" t="inlineStr">
        <is>
          <t>Sim</t>
        </is>
      </c>
      <c r="D1958" t="inlineStr">
        <is>
          <t>PR</t>
        </is>
      </c>
      <c r="E1958" t="inlineStr">
        <is>
          <t>SUL</t>
        </is>
      </c>
      <c r="F1958" t="inlineStr">
        <is>
          <t>Cliente C - Misturador</t>
        </is>
      </c>
      <c r="G1958" t="inlineStr">
        <is>
          <t>Refrigeradores</t>
        </is>
      </c>
      <c r="H1958" s="10" t="n">
        <v>55</v>
      </c>
      <c r="I1958" s="10">
        <f>IFERROR(T1958*H1958,0)</f>
        <v/>
      </c>
      <c r="J1958" s="11" t="n">
        <v>46258</v>
      </c>
      <c r="K1958" s="11" t="n">
        <v>46267</v>
      </c>
      <c r="L1958" t="inlineStr">
        <is>
          <t>Ok. Devolvida</t>
        </is>
      </c>
      <c r="M1958">
        <f>IF(L1958="","",IFERROR(VLOOKUP(L1958,mapGrupoStatus,2,0),"Outros"))</f>
        <v/>
      </c>
      <c r="N1958">
        <f>IF(O1958="","",IF(O1958&lt;=30,"0-30 dias",IF(O1958&lt;=60,"31-60 dias",IF(O1958&lt;=90,"61-90 dias","Mais de 90 dias"))))</f>
        <v/>
      </c>
      <c r="O1958">
        <f>IF(OR(M1958="Pendente",M1958="Em andamento"),IF(J1958="","",TODAY()-J1958),"")</f>
        <v/>
      </c>
      <c r="P1958" t="n">
        <v>12724</v>
      </c>
      <c r="Q1958" t="inlineStr">
        <is>
          <t>Cool Service &amp; Cia (12724)</t>
        </is>
      </c>
      <c r="R1958" t="inlineStr">
        <is>
          <t>PC-0007</t>
        </is>
      </c>
      <c r="S1958" t="inlineStr">
        <is>
          <t>Ventilador modelo 01</t>
        </is>
      </c>
      <c r="T1958" t="n">
        <v>2</v>
      </c>
      <c r="U1958" t="n">
        <v>133</v>
      </c>
      <c r="V1958">
        <f>IF(J1958="","",MONTH(J1958))</f>
        <v/>
      </c>
      <c r="W1958">
        <f>IF(J1958="","",YEAR(J1958))</f>
        <v/>
      </c>
      <c r="X1958" t="inlineStr">
        <is>
          <t>ViaCargo</t>
        </is>
      </c>
      <c r="Y1958">
        <f>IFERROR(INDEX(Rastreio!$H$2:$H$200,MATCH(X1958&amp;"|"&amp;U1958,Rastreio!$A$2:$A$200,0)),"")</f>
        <v/>
      </c>
    </row>
    <row r="1959">
      <c r="A1959">
        <f>IFERROR(INDEX(STAs!$G$2:$G$61,MATCH(P1959,STAs!$F$2:$F$61,0))&amp;"","")</f>
        <v/>
      </c>
      <c r="B1959" t="n">
        <v>20019676</v>
      </c>
      <c r="C1959" t="inlineStr">
        <is>
          <t>Não</t>
        </is>
      </c>
      <c r="D1959" t="inlineStr">
        <is>
          <t>PR</t>
        </is>
      </c>
      <c r="E1959" t="inlineStr">
        <is>
          <t>SUL</t>
        </is>
      </c>
      <c r="F1959" t="inlineStr">
        <is>
          <t>Cliente A - Refrigerador</t>
        </is>
      </c>
      <c r="G1959" t="inlineStr">
        <is>
          <t>Misturadores</t>
        </is>
      </c>
      <c r="H1959" s="10" t="n">
        <v>40</v>
      </c>
      <c r="I1959" s="10">
        <f>IFERROR(T1959*H1959,0)</f>
        <v/>
      </c>
      <c r="J1959" s="11" t="n">
        <v>46258</v>
      </c>
      <c r="K1959" s="11" t="n">
        <v>46314</v>
      </c>
      <c r="L1959" t="inlineStr">
        <is>
          <t>Ok. Devolvida</t>
        </is>
      </c>
      <c r="M1959">
        <f>IF(L1959="","",IFERROR(VLOOKUP(L1959,mapGrupoStatus,2,0),"Outros"))</f>
        <v/>
      </c>
      <c r="N1959">
        <f>IF(O1959="","",IF(O1959&lt;=30,"0-30 dias",IF(O1959&lt;=60,"31-60 dias",IF(O1959&lt;=90,"61-90 dias","Mais de 90 dias"))))</f>
        <v/>
      </c>
      <c r="O1959">
        <f>IF(OR(M1959="Pendente",M1959="Em andamento"),IF(J1959="","",TODAY()-J1959),"")</f>
        <v/>
      </c>
      <c r="P1959" t="n">
        <v>11898</v>
      </c>
      <c r="Q1959" t="inlineStr">
        <is>
          <t>Refrigel Express (11898)</t>
        </is>
      </c>
      <c r="R1959" t="inlineStr">
        <is>
          <t>PC-0042</t>
        </is>
      </c>
      <c r="S1959" t="inlineStr">
        <is>
          <t>Bico dosador modelo 01</t>
        </is>
      </c>
      <c r="T1959" t="n">
        <v>2</v>
      </c>
      <c r="U1959" t="n">
        <v>128</v>
      </c>
      <c r="V1959">
        <f>IF(J1959="","",MONTH(J1959))</f>
        <v/>
      </c>
      <c r="W1959">
        <f>IF(J1959="","",YEAR(J1959))</f>
        <v/>
      </c>
      <c r="X1959" t="inlineStr">
        <is>
          <t>EntregaJá</t>
        </is>
      </c>
      <c r="Y1959">
        <f>IFERROR(INDEX(Rastreio!$H$2:$H$200,MATCH(X1959&amp;"|"&amp;U1959,Rastreio!$A$2:$A$200,0)),"")</f>
        <v/>
      </c>
    </row>
    <row r="1960">
      <c r="A1960">
        <f>IFERROR(INDEX(STAs!$G$2:$G$61,MATCH(P1960,STAs!$F$2:$F$61,0))&amp;"","")</f>
        <v/>
      </c>
      <c r="B1960" t="n">
        <v>20022654</v>
      </c>
      <c r="C1960" t="inlineStr">
        <is>
          <t>Não</t>
        </is>
      </c>
      <c r="D1960" t="inlineStr">
        <is>
          <t>PI</t>
        </is>
      </c>
      <c r="E1960" t="inlineStr">
        <is>
          <t>NORDESTE</t>
        </is>
      </c>
      <c r="F1960" t="inlineStr">
        <is>
          <t>Cliente A - Refrigerador</t>
        </is>
      </c>
      <c r="G1960" t="inlineStr">
        <is>
          <t>Misturadores</t>
        </is>
      </c>
      <c r="H1960" s="10" t="n">
        <v>60</v>
      </c>
      <c r="I1960" s="10">
        <f>IFERROR(T1960*H1960,0)</f>
        <v/>
      </c>
      <c r="J1960" s="11" t="n">
        <v>46258</v>
      </c>
      <c r="K1960" s="11" t="n">
        <v>46273</v>
      </c>
      <c r="L1960" t="inlineStr">
        <is>
          <t>Ok. Devolvida</t>
        </is>
      </c>
      <c r="M1960">
        <f>IF(L1960="","",IFERROR(VLOOKUP(L1960,mapGrupoStatus,2,0),"Outros"))</f>
        <v/>
      </c>
      <c r="N1960">
        <f>IF(O1960="","",IF(O1960&lt;=30,"0-30 dias",IF(O1960&lt;=60,"31-60 dias",IF(O1960&lt;=90,"61-90 dias","Mais de 90 dias"))))</f>
        <v/>
      </c>
      <c r="O1960">
        <f>IF(OR(M1960="Pendente",M1960="Em andamento"),IF(J1960="","",TODAY()-J1960),"")</f>
        <v/>
      </c>
      <c r="P1960" t="n">
        <v>12936</v>
      </c>
      <c r="Q1960" t="inlineStr">
        <is>
          <t>Frigo Técnica (12936)</t>
        </is>
      </c>
      <c r="R1960" t="inlineStr">
        <is>
          <t>PC-0048</t>
        </is>
      </c>
      <c r="S1960" t="inlineStr">
        <is>
          <t>Sensor de nível modelo 04</t>
        </is>
      </c>
      <c r="T1960" t="n">
        <v>1</v>
      </c>
      <c r="U1960" t="n">
        <v>138</v>
      </c>
      <c r="V1960">
        <f>IF(J1960="","",MONTH(J1960))</f>
        <v/>
      </c>
      <c r="W1960">
        <f>IF(J1960="","",YEAR(J1960))</f>
        <v/>
      </c>
      <c r="X1960" t="inlineStr">
        <is>
          <t>RotaSul</t>
        </is>
      </c>
      <c r="Y1960">
        <f>IFERROR(INDEX(Rastreio!$H$2:$H$200,MATCH(X1960&amp;"|"&amp;U1960,Rastreio!$A$2:$A$200,0)),"")</f>
        <v/>
      </c>
    </row>
    <row r="1961">
      <c r="A1961">
        <f>IFERROR(INDEX(STAs!$G$2:$G$61,MATCH(P1961,STAs!$F$2:$F$61,0))&amp;"","")</f>
        <v/>
      </c>
      <c r="B1961" t="n">
        <v>20030968</v>
      </c>
      <c r="C1961" t="inlineStr">
        <is>
          <t>Não</t>
        </is>
      </c>
      <c r="D1961" t="inlineStr">
        <is>
          <t>PR</t>
        </is>
      </c>
      <c r="E1961" t="inlineStr">
        <is>
          <t>SUL</t>
        </is>
      </c>
      <c r="F1961" t="inlineStr">
        <is>
          <t>Cliente A - Refrigerador</t>
        </is>
      </c>
      <c r="G1961" t="inlineStr">
        <is>
          <t>Refrigeradores</t>
        </is>
      </c>
      <c r="H1961" s="10" t="n">
        <v>35</v>
      </c>
      <c r="I1961" s="10">
        <f>IFERROR(T1961*H1961,0)</f>
        <v/>
      </c>
      <c r="J1961" s="11" t="n">
        <v>46258</v>
      </c>
      <c r="K1961" s="11" t="n"/>
      <c r="L1961" t="inlineStr">
        <is>
          <t>Debitar do STA</t>
        </is>
      </c>
      <c r="M1961">
        <f>IF(L1961="","",IFERROR(VLOOKUP(L1961,mapGrupoStatus,2,0),"Outros"))</f>
        <v/>
      </c>
      <c r="N1961">
        <f>IF(O1961="","",IF(O1961&lt;=30,"0-30 dias",IF(O1961&lt;=60,"31-60 dias",IF(O1961&lt;=90,"61-90 dias","Mais de 90 dias"))))</f>
        <v/>
      </c>
      <c r="O1961">
        <f>IF(OR(M1961="Pendente",M1961="Em andamento"),IF(J1961="","",TODAY()-J1961),"")</f>
        <v/>
      </c>
      <c r="P1961" t="n">
        <v>10504</v>
      </c>
      <c r="Q1961" t="inlineStr">
        <is>
          <t>Zero Grau Ltda (10504)</t>
        </is>
      </c>
      <c r="R1961" t="inlineStr">
        <is>
          <t>PC-0020</t>
        </is>
      </c>
      <c r="S1961" t="inlineStr">
        <is>
          <t>Gaxeta da porta modelo 03</t>
        </is>
      </c>
      <c r="T1961" t="n">
        <v>3</v>
      </c>
      <c r="U1961" t="inlineStr"/>
      <c r="V1961">
        <f>IF(J1961="","",MONTH(J1961))</f>
        <v/>
      </c>
      <c r="W1961">
        <f>IF(J1961="","",YEAR(J1961))</f>
        <v/>
      </c>
      <c r="X1961" t="inlineStr"/>
      <c r="Y1961">
        <f>IFERROR(INDEX(Rastreio!$H$2:$H$200,MATCH(X1961&amp;"|"&amp;U1961,Rastreio!$A$2:$A$200,0)),"")</f>
        <v/>
      </c>
    </row>
    <row r="1962">
      <c r="A1962">
        <f>IFERROR(INDEX(STAs!$G$2:$G$61,MATCH(P1962,STAs!$F$2:$F$61,0))&amp;"","")</f>
        <v/>
      </c>
      <c r="B1962" t="n">
        <v>20037988</v>
      </c>
      <c r="C1962" t="inlineStr">
        <is>
          <t>Não</t>
        </is>
      </c>
      <c r="D1962" t="inlineStr">
        <is>
          <t>RS</t>
        </is>
      </c>
      <c r="E1962" t="inlineStr">
        <is>
          <t>SUL</t>
        </is>
      </c>
      <c r="F1962" t="inlineStr">
        <is>
          <t>Cliente B - Chopeira</t>
        </is>
      </c>
      <c r="G1962" t="inlineStr">
        <is>
          <t>Chopeiras</t>
        </is>
      </c>
      <c r="H1962" s="10" t="n">
        <v>120</v>
      </c>
      <c r="I1962" s="10">
        <f>IFERROR(T1962*H1962,0)</f>
        <v/>
      </c>
      <c r="J1962" s="11" t="n">
        <v>46258</v>
      </c>
      <c r="K1962" s="11" t="n">
        <v>46308</v>
      </c>
      <c r="L1962" t="inlineStr">
        <is>
          <t>Ok. Devolvida</t>
        </is>
      </c>
      <c r="M1962">
        <f>IF(L1962="","",IFERROR(VLOOKUP(L1962,mapGrupoStatus,2,0),"Outros"))</f>
        <v/>
      </c>
      <c r="N1962">
        <f>IF(O1962="","",IF(O1962&lt;=30,"0-30 dias",IF(O1962&lt;=60,"31-60 dias",IF(O1962&lt;=90,"61-90 dias","Mais de 90 dias"))))</f>
        <v/>
      </c>
      <c r="O1962">
        <f>IF(OR(M1962="Pendente",M1962="Em andamento"),IF(J1962="","",TODAY()-J1962),"")</f>
        <v/>
      </c>
      <c r="P1962" t="n">
        <v>11459</v>
      </c>
      <c r="Q1962" t="inlineStr">
        <is>
          <t>Frio ME (11459)</t>
        </is>
      </c>
      <c r="R1962" t="inlineStr">
        <is>
          <t>PC-0032</t>
        </is>
      </c>
      <c r="S1962" t="inlineStr">
        <is>
          <t>Regulador de pressão modelo 01</t>
        </is>
      </c>
      <c r="T1962" t="n">
        <v>1</v>
      </c>
      <c r="U1962" t="n">
        <v>165</v>
      </c>
      <c r="V1962">
        <f>IF(J1962="","",MONTH(J1962))</f>
        <v/>
      </c>
      <c r="W1962">
        <f>IF(J1962="","",YEAR(J1962))</f>
        <v/>
      </c>
      <c r="X1962" t="inlineStr">
        <is>
          <t>CargoMax</t>
        </is>
      </c>
      <c r="Y1962">
        <f>IFERROR(INDEX(Rastreio!$H$2:$H$200,MATCH(X1962&amp;"|"&amp;U1962,Rastreio!$A$2:$A$200,0)),"")</f>
        <v/>
      </c>
    </row>
    <row r="1963">
      <c r="A1963">
        <f>IFERROR(INDEX(STAs!$G$2:$G$61,MATCH(P1963,STAs!$F$2:$F$61,0))&amp;"","")</f>
        <v/>
      </c>
      <c r="B1963" t="n">
        <v>20007006</v>
      </c>
      <c r="C1963" t="inlineStr">
        <is>
          <t>Não</t>
        </is>
      </c>
      <c r="D1963" t="inlineStr">
        <is>
          <t>RS</t>
        </is>
      </c>
      <c r="E1963" t="inlineStr">
        <is>
          <t>SUL</t>
        </is>
      </c>
      <c r="F1963" t="inlineStr">
        <is>
          <t>Cliente B - Chopeira</t>
        </is>
      </c>
      <c r="G1963" t="inlineStr">
        <is>
          <t>Refrigeradores</t>
        </is>
      </c>
      <c r="H1963" s="10" t="n">
        <v>155</v>
      </c>
      <c r="I1963" s="10">
        <f>IFERROR(T1963*H1963,0)</f>
        <v/>
      </c>
      <c r="J1963" s="11" t="n">
        <v>46259</v>
      </c>
      <c r="K1963" s="11" t="n"/>
      <c r="L1963" t="inlineStr">
        <is>
          <t>Aguardando devolução</t>
        </is>
      </c>
      <c r="M1963">
        <f>IF(L1963="","",IFERROR(VLOOKUP(L1963,mapGrupoStatus,2,0),"Outros"))</f>
        <v/>
      </c>
      <c r="N1963">
        <f>IF(O1963="","",IF(O1963&lt;=30,"0-30 dias",IF(O1963&lt;=60,"31-60 dias",IF(O1963&lt;=90,"61-90 dias","Mais de 90 dias"))))</f>
        <v/>
      </c>
      <c r="O1963">
        <f>IF(OR(M1963="Pendente",M1963="Em andamento"),IF(J1963="","",TODAY()-J1963),"")</f>
        <v/>
      </c>
      <c r="P1963" t="n">
        <v>12617</v>
      </c>
      <c r="Q1963" t="inlineStr">
        <is>
          <t>Gelo Manutenção (12617)</t>
        </is>
      </c>
      <c r="R1963" t="inlineStr">
        <is>
          <t>PC-0021</t>
        </is>
      </c>
      <c r="S1963" t="inlineStr">
        <is>
          <t>Controlador digital modelo 01</t>
        </is>
      </c>
      <c r="T1963" t="n">
        <v>1</v>
      </c>
      <c r="U1963" t="inlineStr"/>
      <c r="V1963">
        <f>IF(J1963="","",MONTH(J1963))</f>
        <v/>
      </c>
      <c r="W1963">
        <f>IF(J1963="","",YEAR(J1963))</f>
        <v/>
      </c>
      <c r="X1963" t="inlineStr"/>
      <c r="Y1963">
        <f>IFERROR(INDEX(Rastreio!$H$2:$H$200,MATCH(X1963&amp;"|"&amp;U1963,Rastreio!$A$2:$A$200,0)),"")</f>
        <v/>
      </c>
    </row>
    <row r="1964">
      <c r="A1964">
        <f>IFERROR(INDEX(STAs!$G$2:$G$61,MATCH(P1964,STAs!$F$2:$F$61,0))&amp;"","")</f>
        <v/>
      </c>
      <c r="B1964" t="n">
        <v>20009897</v>
      </c>
      <c r="C1964" t="inlineStr">
        <is>
          <t>Não</t>
        </is>
      </c>
      <c r="D1964" t="inlineStr">
        <is>
          <t>BA</t>
        </is>
      </c>
      <c r="E1964" t="inlineStr">
        <is>
          <t>NORDESTE</t>
        </is>
      </c>
      <c r="F1964" t="inlineStr">
        <is>
          <t>Cliente B - Chopeira</t>
        </is>
      </c>
      <c r="G1964" t="inlineStr">
        <is>
          <t>Misturadores</t>
        </is>
      </c>
      <c r="H1964" s="10" t="n">
        <v>265</v>
      </c>
      <c r="I1964" s="10">
        <f>IFERROR(T1964*H1964,0)</f>
        <v/>
      </c>
      <c r="J1964" s="11" t="n">
        <v>46259</v>
      </c>
      <c r="K1964" s="11" t="n"/>
      <c r="L1964" t="inlineStr">
        <is>
          <t>Aguardando devolução</t>
        </is>
      </c>
      <c r="M1964">
        <f>IF(L1964="","",IFERROR(VLOOKUP(L1964,mapGrupoStatus,2,0),"Outros"))</f>
        <v/>
      </c>
      <c r="N1964">
        <f>IF(O1964="","",IF(O1964&lt;=30,"0-30 dias",IF(O1964&lt;=60,"31-60 dias",IF(O1964&lt;=90,"61-90 dias","Mais de 90 dias"))))</f>
        <v/>
      </c>
      <c r="O1964">
        <f>IF(OR(M1964="Pendente",M1964="Em andamento"),IF(J1964="","",TODAY()-J1964),"")</f>
        <v/>
      </c>
      <c r="P1964" t="n">
        <v>12194</v>
      </c>
      <c r="Q1964" t="inlineStr">
        <is>
          <t>Polar &amp; Cia (12194)</t>
        </is>
      </c>
      <c r="R1964" t="inlineStr">
        <is>
          <t>PC-0038</t>
        </is>
      </c>
      <c r="S1964" t="inlineStr">
        <is>
          <t>Bomba de recirculação modelo 02</t>
        </is>
      </c>
      <c r="T1964" t="n">
        <v>2</v>
      </c>
      <c r="U1964" t="inlineStr"/>
      <c r="V1964">
        <f>IF(J1964="","",MONTH(J1964))</f>
        <v/>
      </c>
      <c r="W1964">
        <f>IF(J1964="","",YEAR(J1964))</f>
        <v/>
      </c>
      <c r="X1964" t="inlineStr"/>
      <c r="Y1964">
        <f>IFERROR(INDEX(Rastreio!$H$2:$H$200,MATCH(X1964&amp;"|"&amp;U1964,Rastreio!$A$2:$A$200,0)),"")</f>
        <v/>
      </c>
    </row>
    <row r="1965">
      <c r="A1965">
        <f>IFERROR(INDEX(STAs!$G$2:$G$61,MATCH(P1965,STAs!$F$2:$F$61,0))&amp;"","")</f>
        <v/>
      </c>
      <c r="B1965" t="n">
        <v>20014106</v>
      </c>
      <c r="C1965" t="inlineStr">
        <is>
          <t>Não</t>
        </is>
      </c>
      <c r="D1965" t="inlineStr">
        <is>
          <t>BA</t>
        </is>
      </c>
      <c r="E1965" t="inlineStr">
        <is>
          <t>NORDESTE</t>
        </is>
      </c>
      <c r="F1965" t="inlineStr">
        <is>
          <t>Cliente B - Chopeira</t>
        </is>
      </c>
      <c r="G1965" t="inlineStr">
        <is>
          <t>Chopeiras</t>
        </is>
      </c>
      <c r="H1965" s="10" t="n">
        <v>85</v>
      </c>
      <c r="I1965" s="10">
        <f>IFERROR(T1965*H1965,0)</f>
        <v/>
      </c>
      <c r="J1965" s="11" t="n">
        <v>46259</v>
      </c>
      <c r="K1965" s="11" t="n"/>
      <c r="L1965" t="inlineStr">
        <is>
          <t>Debitar do STA</t>
        </is>
      </c>
      <c r="M1965">
        <f>IF(L1965="","",IFERROR(VLOOKUP(L1965,mapGrupoStatus,2,0),"Outros"))</f>
        <v/>
      </c>
      <c r="N1965">
        <f>IF(O1965="","",IF(O1965&lt;=30,"0-30 dias",IF(O1965&lt;=60,"31-60 dias",IF(O1965&lt;=90,"61-90 dias","Mais de 90 dias"))))</f>
        <v/>
      </c>
      <c r="O1965">
        <f>IF(OR(M1965="Pendente",M1965="Em andamento"),IF(J1965="","",TODAY()-J1965),"")</f>
        <v/>
      </c>
      <c r="P1965" t="n">
        <v>11244</v>
      </c>
      <c r="Q1965" t="inlineStr">
        <is>
          <t>Refrigeração Manutenção (11244)</t>
        </is>
      </c>
      <c r="R1965" t="inlineStr">
        <is>
          <t>PC-0026</t>
        </is>
      </c>
      <c r="S1965" t="inlineStr">
        <is>
          <t>Torneira de chopp modelo 01</t>
        </is>
      </c>
      <c r="T1965" t="n">
        <v>1</v>
      </c>
      <c r="U1965" t="inlineStr"/>
      <c r="V1965">
        <f>IF(J1965="","",MONTH(J1965))</f>
        <v/>
      </c>
      <c r="W1965">
        <f>IF(J1965="","",YEAR(J1965))</f>
        <v/>
      </c>
      <c r="X1965" t="inlineStr"/>
      <c r="Y1965">
        <f>IFERROR(INDEX(Rastreio!$H$2:$H$200,MATCH(X1965&amp;"|"&amp;U1965,Rastreio!$A$2:$A$200,0)),"")</f>
        <v/>
      </c>
    </row>
    <row r="1966">
      <c r="A1966">
        <f>IFERROR(INDEX(STAs!$G$2:$G$61,MATCH(P1966,STAs!$F$2:$F$61,0))&amp;"","")</f>
        <v/>
      </c>
      <c r="B1966" t="n">
        <v>20023220</v>
      </c>
      <c r="C1966" t="inlineStr">
        <is>
          <t>Não</t>
        </is>
      </c>
      <c r="D1966" t="inlineStr">
        <is>
          <t>SC</t>
        </is>
      </c>
      <c r="E1966" t="inlineStr">
        <is>
          <t>SUL</t>
        </is>
      </c>
      <c r="F1966" t="inlineStr">
        <is>
          <t>Cliente C - Misturador</t>
        </is>
      </c>
      <c r="G1966" t="inlineStr">
        <is>
          <t>Refrigeradores</t>
        </is>
      </c>
      <c r="H1966" s="10" t="n">
        <v>190</v>
      </c>
      <c r="I1966" s="10">
        <f>IFERROR(T1966*H1966,0)</f>
        <v/>
      </c>
      <c r="J1966" s="11" t="n">
        <v>46259</v>
      </c>
      <c r="K1966" s="11" t="n"/>
      <c r="L1966" t="inlineStr">
        <is>
          <t>Aguardando Transporte</t>
        </is>
      </c>
      <c r="M1966">
        <f>IF(L1966="","",IFERROR(VLOOKUP(L1966,mapGrupoStatus,2,0),"Outros"))</f>
        <v/>
      </c>
      <c r="N1966">
        <f>IF(O1966="","",IF(O1966&lt;=30,"0-30 dias",IF(O1966&lt;=60,"31-60 dias",IF(O1966&lt;=90,"61-90 dias","Mais de 90 dias"))))</f>
        <v/>
      </c>
      <c r="O1966">
        <f>IF(OR(M1966="Pendente",M1966="Em andamento"),IF(J1966="","",TODAY()-J1966),"")</f>
        <v/>
      </c>
      <c r="P1966" t="n">
        <v>12138</v>
      </c>
      <c r="Q1966" t="inlineStr">
        <is>
          <t>Refrigeração Serviços (12138)</t>
        </is>
      </c>
      <c r="R1966" t="inlineStr">
        <is>
          <t>PC-0014</t>
        </is>
      </c>
      <c r="S1966" t="inlineStr">
        <is>
          <t>Placa eletrônica modelo 04</t>
        </is>
      </c>
      <c r="T1966" t="n">
        <v>1</v>
      </c>
      <c r="U1966" t="n">
        <v>138</v>
      </c>
      <c r="V1966">
        <f>IF(J1966="","",MONTH(J1966))</f>
        <v/>
      </c>
      <c r="W1966">
        <f>IF(J1966="","",YEAR(J1966))</f>
        <v/>
      </c>
      <c r="X1966" t="inlineStr">
        <is>
          <t>TransNorte</t>
        </is>
      </c>
      <c r="Y1966">
        <f>IFERROR(INDEX(Rastreio!$H$2:$H$200,MATCH(X1966&amp;"|"&amp;U1966,Rastreio!$A$2:$A$200,0)),"")</f>
        <v/>
      </c>
    </row>
    <row r="1967">
      <c r="A1967">
        <f>IFERROR(INDEX(STAs!$G$2:$G$61,MATCH(P1967,STAs!$F$2:$F$61,0))&amp;"","")</f>
        <v/>
      </c>
      <c r="B1967" t="n">
        <v>20027021</v>
      </c>
      <c r="C1967" t="inlineStr">
        <is>
          <t>Sim</t>
        </is>
      </c>
      <c r="D1967" t="inlineStr">
        <is>
          <t>PR</t>
        </is>
      </c>
      <c r="E1967" t="inlineStr">
        <is>
          <t>SUL</t>
        </is>
      </c>
      <c r="F1967" t="inlineStr">
        <is>
          <t>Cliente A - Refrigerador</t>
        </is>
      </c>
      <c r="G1967" t="inlineStr">
        <is>
          <t>Refrigeradores</t>
        </is>
      </c>
      <c r="H1967" s="10" t="n">
        <v>25</v>
      </c>
      <c r="I1967" s="10">
        <f>IFERROR(T1967*H1967,0)</f>
        <v/>
      </c>
      <c r="J1967" s="11" t="n">
        <v>46259</v>
      </c>
      <c r="K1967" s="11" t="n"/>
      <c r="L1967" t="inlineStr">
        <is>
          <t>Aguardando Transporte</t>
        </is>
      </c>
      <c r="M1967">
        <f>IF(L1967="","",IFERROR(VLOOKUP(L1967,mapGrupoStatus,2,0),"Outros"))</f>
        <v/>
      </c>
      <c r="N1967">
        <f>IF(O1967="","",IF(O1967&lt;=30,"0-30 dias",IF(O1967&lt;=60,"31-60 dias",IF(O1967&lt;=90,"61-90 dias","Mais de 90 dias"))))</f>
        <v/>
      </c>
      <c r="O1967">
        <f>IF(OR(M1967="Pendente",M1967="Em andamento"),IF(J1967="","",TODAY()-J1967),"")</f>
        <v/>
      </c>
      <c r="P1967" t="n">
        <v>10913</v>
      </c>
      <c r="Q1967" t="inlineStr">
        <is>
          <t>Ice Tech &amp; Cia (10913)</t>
        </is>
      </c>
      <c r="R1967" t="inlineStr">
        <is>
          <t>PC-0015</t>
        </is>
      </c>
      <c r="S1967" t="inlineStr">
        <is>
          <t>Filtro secador modelo 01</t>
        </is>
      </c>
      <c r="T1967" t="n">
        <v>1</v>
      </c>
      <c r="U1967" t="n">
        <v>147</v>
      </c>
      <c r="V1967">
        <f>IF(J1967="","",MONTH(J1967))</f>
        <v/>
      </c>
      <c r="W1967">
        <f>IF(J1967="","",YEAR(J1967))</f>
        <v/>
      </c>
      <c r="X1967" t="inlineStr">
        <is>
          <t>RotaSul</t>
        </is>
      </c>
      <c r="Y1967">
        <f>IFERROR(INDEX(Rastreio!$H$2:$H$200,MATCH(X1967&amp;"|"&amp;U1967,Rastreio!$A$2:$A$200,0)),"")</f>
        <v/>
      </c>
    </row>
    <row r="1968">
      <c r="A1968">
        <f>IFERROR(INDEX(STAs!$G$2:$G$61,MATCH(P1968,STAs!$F$2:$F$61,0))&amp;"","")</f>
        <v/>
      </c>
      <c r="B1968" t="n">
        <v>20006601</v>
      </c>
      <c r="C1968" t="inlineStr">
        <is>
          <t>Não</t>
        </is>
      </c>
      <c r="D1968" t="inlineStr">
        <is>
          <t>MS</t>
        </is>
      </c>
      <c r="E1968" t="inlineStr">
        <is>
          <t>CENTRO OESTE</t>
        </is>
      </c>
      <c r="F1968" t="inlineStr">
        <is>
          <t>Cliente A - Refrigerador</t>
        </is>
      </c>
      <c r="G1968" t="inlineStr">
        <is>
          <t>Chopeiras</t>
        </is>
      </c>
      <c r="H1968" s="10" t="n">
        <v>100</v>
      </c>
      <c r="I1968" s="10">
        <f>IFERROR(T1968*H1968,0)</f>
        <v/>
      </c>
      <c r="J1968" s="11" t="n">
        <v>46260</v>
      </c>
      <c r="K1968" s="11" t="n">
        <v>46305</v>
      </c>
      <c r="L1968" t="inlineStr">
        <is>
          <t>Ok. Devolvida</t>
        </is>
      </c>
      <c r="M1968">
        <f>IF(L1968="","",IFERROR(VLOOKUP(L1968,mapGrupoStatus,2,0),"Outros"))</f>
        <v/>
      </c>
      <c r="N1968">
        <f>IF(O1968="","",IF(O1968&lt;=30,"0-30 dias",IF(O1968&lt;=60,"31-60 dias",IF(O1968&lt;=90,"61-90 dias","Mais de 90 dias"))))</f>
        <v/>
      </c>
      <c r="O1968">
        <f>IF(OR(M1968="Pendente",M1968="Em andamento"),IF(J1968="","",TODAY()-J1968),"")</f>
        <v/>
      </c>
      <c r="P1968" t="n">
        <v>12280</v>
      </c>
      <c r="Q1968" t="inlineStr">
        <is>
          <t>Termotec &amp; Cia (12280)</t>
        </is>
      </c>
      <c r="R1968" t="inlineStr">
        <is>
          <t>PC-0027</t>
        </is>
      </c>
      <c r="S1968" t="inlineStr">
        <is>
          <t>Torneira de chopp modelo 02</t>
        </is>
      </c>
      <c r="T1968" t="n">
        <v>1</v>
      </c>
      <c r="U1968" t="n">
        <v>110</v>
      </c>
      <c r="V1968">
        <f>IF(J1968="","",MONTH(J1968))</f>
        <v/>
      </c>
      <c r="W1968">
        <f>IF(J1968="","",YEAR(J1968))</f>
        <v/>
      </c>
      <c r="X1968" t="inlineStr">
        <is>
          <t>CargoMax</t>
        </is>
      </c>
      <c r="Y1968">
        <f>IFERROR(INDEX(Rastreio!$H$2:$H$200,MATCH(X1968&amp;"|"&amp;U1968,Rastreio!$A$2:$A$200,0)),"")</f>
        <v/>
      </c>
    </row>
    <row r="1969">
      <c r="A1969">
        <f>IFERROR(INDEX(STAs!$G$2:$G$61,MATCH(P1969,STAs!$F$2:$F$61,0))&amp;"","")</f>
        <v/>
      </c>
      <c r="B1969" t="n">
        <v>20012026</v>
      </c>
      <c r="C1969" t="inlineStr">
        <is>
          <t>Não</t>
        </is>
      </c>
      <c r="D1969" t="inlineStr">
        <is>
          <t>ES</t>
        </is>
      </c>
      <c r="E1969" t="inlineStr">
        <is>
          <t>SUDESTE RJ e ES</t>
        </is>
      </c>
      <c r="F1969" t="inlineStr">
        <is>
          <t>Cliente B - Chopeira</t>
        </is>
      </c>
      <c r="G1969" t="inlineStr">
        <is>
          <t>Misturadores</t>
        </is>
      </c>
      <c r="H1969" s="10" t="n">
        <v>40</v>
      </c>
      <c r="I1969" s="10">
        <f>IFERROR(T1969*H1969,0)</f>
        <v/>
      </c>
      <c r="J1969" s="11" t="n">
        <v>46260</v>
      </c>
      <c r="K1969" s="11" t="n">
        <v>46271</v>
      </c>
      <c r="L1969" t="inlineStr">
        <is>
          <t>Ok. Devolvida</t>
        </is>
      </c>
      <c r="M1969">
        <f>IF(L1969="","",IFERROR(VLOOKUP(L1969,mapGrupoStatus,2,0),"Outros"))</f>
        <v/>
      </c>
      <c r="N1969">
        <f>IF(O1969="","",IF(O1969&lt;=30,"0-30 dias",IF(O1969&lt;=60,"31-60 dias",IF(O1969&lt;=90,"61-90 dias","Mais de 90 dias"))))</f>
        <v/>
      </c>
      <c r="O1969">
        <f>IF(OR(M1969="Pendente",M1969="Em andamento"),IF(J1969="","",TODAY()-J1969),"")</f>
        <v/>
      </c>
      <c r="P1969" t="n">
        <v>11162</v>
      </c>
      <c r="Q1969" t="inlineStr">
        <is>
          <t>Ártico Refrigeração (11162)</t>
        </is>
      </c>
      <c r="R1969" t="inlineStr">
        <is>
          <t>PC-0042</t>
        </is>
      </c>
      <c r="S1969" t="inlineStr">
        <is>
          <t>Bico dosador modelo 01</t>
        </is>
      </c>
      <c r="T1969" t="n">
        <v>3</v>
      </c>
      <c r="U1969" t="n">
        <v>121</v>
      </c>
      <c r="V1969">
        <f>IF(J1969="","",MONTH(J1969))</f>
        <v/>
      </c>
      <c r="W1969">
        <f>IF(J1969="","",YEAR(J1969))</f>
        <v/>
      </c>
      <c r="X1969" t="inlineStr">
        <is>
          <t>TransNorte</t>
        </is>
      </c>
      <c r="Y1969">
        <f>IFERROR(INDEX(Rastreio!$H$2:$H$200,MATCH(X1969&amp;"|"&amp;U1969,Rastreio!$A$2:$A$200,0)),"")</f>
        <v/>
      </c>
    </row>
    <row r="1970">
      <c r="A1970">
        <f>IFERROR(INDEX(STAs!$G$2:$G$61,MATCH(P1970,STAs!$F$2:$F$61,0))&amp;"","")</f>
        <v/>
      </c>
      <c r="B1970" t="n">
        <v>20016781</v>
      </c>
      <c r="C1970" t="inlineStr">
        <is>
          <t>Sim</t>
        </is>
      </c>
      <c r="D1970" t="inlineStr">
        <is>
          <t>GO</t>
        </is>
      </c>
      <c r="E1970" t="inlineStr">
        <is>
          <t>CENTRO OESTE</t>
        </is>
      </c>
      <c r="F1970" t="inlineStr">
        <is>
          <t>Cliente A - Refrigerador</t>
        </is>
      </c>
      <c r="G1970" t="inlineStr">
        <is>
          <t>Chopeiras</t>
        </is>
      </c>
      <c r="H1970" s="10" t="n">
        <v>85</v>
      </c>
      <c r="I1970" s="10">
        <f>IFERROR(T1970*H1970,0)</f>
        <v/>
      </c>
      <c r="J1970" s="11" t="n">
        <v>46260</v>
      </c>
      <c r="K1970" s="11" t="n"/>
      <c r="L1970" t="inlineStr">
        <is>
          <t>Aguardando devolução</t>
        </is>
      </c>
      <c r="M1970">
        <f>IF(L1970="","",IFERROR(VLOOKUP(L1970,mapGrupoStatus,2,0),"Outros"))</f>
        <v/>
      </c>
      <c r="N1970">
        <f>IF(O1970="","",IF(O1970&lt;=30,"0-30 dias",IF(O1970&lt;=60,"31-60 dias",IF(O1970&lt;=90,"61-90 dias","Mais de 90 dias"))))</f>
        <v/>
      </c>
      <c r="O1970">
        <f>IF(OR(M1970="Pendente",M1970="Em andamento"),IF(J1970="","",TODAY()-J1970),"")</f>
        <v/>
      </c>
      <c r="P1970" t="n">
        <v>11677</v>
      </c>
      <c r="Q1970" t="inlineStr">
        <is>
          <t>Cool Service Manutenção (11677)</t>
        </is>
      </c>
      <c r="R1970" t="inlineStr">
        <is>
          <t>PC-0035</t>
        </is>
      </c>
      <c r="S1970" t="inlineStr">
        <is>
          <t>Válvula extratora modelo 01</t>
        </is>
      </c>
      <c r="T1970" t="n">
        <v>1</v>
      </c>
      <c r="U1970" t="inlineStr"/>
      <c r="V1970">
        <f>IF(J1970="","",MONTH(J1970))</f>
        <v/>
      </c>
      <c r="W1970">
        <f>IF(J1970="","",YEAR(J1970))</f>
        <v/>
      </c>
      <c r="X1970" t="inlineStr"/>
      <c r="Y1970">
        <f>IFERROR(INDEX(Rastreio!$H$2:$H$200,MATCH(X1970&amp;"|"&amp;U1970,Rastreio!$A$2:$A$200,0)),"")</f>
        <v/>
      </c>
    </row>
    <row r="1971">
      <c r="A1971">
        <f>IFERROR(INDEX(STAs!$G$2:$G$61,MATCH(P1971,STAs!$F$2:$F$61,0))&amp;"","")</f>
        <v/>
      </c>
      <c r="B1971" t="n">
        <v>20027641</v>
      </c>
      <c r="C1971" t="inlineStr">
        <is>
          <t>Não</t>
        </is>
      </c>
      <c r="D1971" t="inlineStr">
        <is>
          <t>BA</t>
        </is>
      </c>
      <c r="E1971" t="inlineStr">
        <is>
          <t>NORDESTE</t>
        </is>
      </c>
      <c r="F1971" t="inlineStr">
        <is>
          <t>Cliente B - Chopeira</t>
        </is>
      </c>
      <c r="G1971" t="inlineStr">
        <is>
          <t>Misturadores</t>
        </is>
      </c>
      <c r="H1971" s="10" t="n">
        <v>60</v>
      </c>
      <c r="I1971" s="10">
        <f>IFERROR(T1971*H1971,0)</f>
        <v/>
      </c>
      <c r="J1971" s="11" t="n">
        <v>46260</v>
      </c>
      <c r="K1971" s="11" t="n">
        <v>46274</v>
      </c>
      <c r="L1971" t="inlineStr">
        <is>
          <t>Ok. Devolvida</t>
        </is>
      </c>
      <c r="M1971">
        <f>IF(L1971="","",IFERROR(VLOOKUP(L1971,mapGrupoStatus,2,0),"Outros"))</f>
        <v/>
      </c>
      <c r="N1971">
        <f>IF(O1971="","",IF(O1971&lt;=30,"0-30 dias",IF(O1971&lt;=60,"31-60 dias",IF(O1971&lt;=90,"61-90 dias","Mais de 90 dias"))))</f>
        <v/>
      </c>
      <c r="O1971">
        <f>IF(OR(M1971="Pendente",M1971="Em andamento"),IF(J1971="","",TODAY()-J1971),"")</f>
        <v/>
      </c>
      <c r="P1971" t="n">
        <v>12194</v>
      </c>
      <c r="Q1971" t="inlineStr">
        <is>
          <t>Polar &amp; Cia (12194)</t>
        </is>
      </c>
      <c r="R1971" t="inlineStr">
        <is>
          <t>PC-0046</t>
        </is>
      </c>
      <c r="S1971" t="inlineStr">
        <is>
          <t>Sensor de nível modelo 02</t>
        </is>
      </c>
      <c r="T1971" t="n">
        <v>1</v>
      </c>
      <c r="U1971" t="n">
        <v>147</v>
      </c>
      <c r="V1971">
        <f>IF(J1971="","",MONTH(J1971))</f>
        <v/>
      </c>
      <c r="W1971">
        <f>IF(J1971="","",YEAR(J1971))</f>
        <v/>
      </c>
      <c r="X1971" t="inlineStr">
        <is>
          <t>CargoMax</t>
        </is>
      </c>
      <c r="Y1971">
        <f>IFERROR(INDEX(Rastreio!$H$2:$H$200,MATCH(X1971&amp;"|"&amp;U1971,Rastreio!$A$2:$A$200,0)),"")</f>
        <v/>
      </c>
    </row>
    <row r="1972">
      <c r="A1972">
        <f>IFERROR(INDEX(STAs!$G$2:$G$61,MATCH(P1972,STAs!$F$2:$F$61,0))&amp;"","")</f>
        <v/>
      </c>
      <c r="B1972" t="n">
        <v>20030813</v>
      </c>
      <c r="C1972" t="inlineStr">
        <is>
          <t>Não</t>
        </is>
      </c>
      <c r="D1972" t="inlineStr">
        <is>
          <t>SP</t>
        </is>
      </c>
      <c r="E1972" t="inlineStr">
        <is>
          <t>SUDESTE SP</t>
        </is>
      </c>
      <c r="F1972" t="inlineStr">
        <is>
          <t>Cliente A - Refrigerador</t>
        </is>
      </c>
      <c r="G1972" t="inlineStr">
        <is>
          <t>Misturadores</t>
        </is>
      </c>
      <c r="H1972" s="10" t="n">
        <v>255</v>
      </c>
      <c r="I1972" s="10">
        <f>IFERROR(T1972*H1972,0)</f>
        <v/>
      </c>
      <c r="J1972" s="11" t="n">
        <v>46260</v>
      </c>
      <c r="K1972" s="11" t="n">
        <v>46306</v>
      </c>
      <c r="L1972" t="inlineStr">
        <is>
          <t>Ok. Devolvida</t>
        </is>
      </c>
      <c r="M1972">
        <f>IF(L1972="","",IFERROR(VLOOKUP(L1972,mapGrupoStatus,2,0),"Outros"))</f>
        <v/>
      </c>
      <c r="N1972">
        <f>IF(O1972="","",IF(O1972&lt;=30,"0-30 dias",IF(O1972&lt;=60,"31-60 dias",IF(O1972&lt;=90,"61-90 dias","Mais de 90 dias"))))</f>
        <v/>
      </c>
      <c r="O1972">
        <f>IF(OR(M1972="Pendente",M1972="Em andamento"),IF(J1972="","",TODAY()-J1972),"")</f>
        <v/>
      </c>
      <c r="P1972" t="n">
        <v>11710</v>
      </c>
      <c r="Q1972" t="inlineStr">
        <is>
          <t>Brisa &amp; Cia (11710)</t>
        </is>
      </c>
      <c r="R1972" t="inlineStr">
        <is>
          <t>PC-0037</t>
        </is>
      </c>
      <c r="S1972" t="inlineStr">
        <is>
          <t>Bomba de recirculação modelo 01</t>
        </is>
      </c>
      <c r="T1972" t="n">
        <v>1</v>
      </c>
      <c r="U1972" t="n">
        <v>145</v>
      </c>
      <c r="V1972">
        <f>IF(J1972="","",MONTH(J1972))</f>
        <v/>
      </c>
      <c r="W1972">
        <f>IF(J1972="","",YEAR(J1972))</f>
        <v/>
      </c>
      <c r="X1972" t="inlineStr">
        <is>
          <t>EntregaJá</t>
        </is>
      </c>
      <c r="Y1972">
        <f>IFERROR(INDEX(Rastreio!$H$2:$H$200,MATCH(X1972&amp;"|"&amp;U1972,Rastreio!$A$2:$A$200,0)),"")</f>
        <v/>
      </c>
    </row>
    <row r="1973">
      <c r="A1973">
        <f>IFERROR(INDEX(STAs!$G$2:$G$61,MATCH(P1973,STAs!$F$2:$F$61,0))&amp;"","")</f>
        <v/>
      </c>
      <c r="B1973" t="n">
        <v>20034012</v>
      </c>
      <c r="C1973" t="inlineStr">
        <is>
          <t>Não</t>
        </is>
      </c>
      <c r="D1973" t="inlineStr">
        <is>
          <t>RS</t>
        </is>
      </c>
      <c r="E1973" t="inlineStr">
        <is>
          <t>SUL</t>
        </is>
      </c>
      <c r="F1973" t="inlineStr">
        <is>
          <t>Cliente B - Chopeira</t>
        </is>
      </c>
      <c r="G1973" t="inlineStr">
        <is>
          <t>Misturadores</t>
        </is>
      </c>
      <c r="H1973" s="10" t="n">
        <v>35</v>
      </c>
      <c r="I1973" s="10">
        <f>IFERROR(T1973*H1973,0)</f>
        <v/>
      </c>
      <c r="J1973" s="11" t="n">
        <v>46260</v>
      </c>
      <c r="K1973" s="11" t="n"/>
      <c r="L1973" t="inlineStr">
        <is>
          <t>Não Devolve-Norte</t>
        </is>
      </c>
      <c r="M1973">
        <f>IF(L1973="","",IFERROR(VLOOKUP(L1973,mapGrupoStatus,2,0),"Outros"))</f>
        <v/>
      </c>
      <c r="N1973">
        <f>IF(O1973="","",IF(O1973&lt;=30,"0-30 dias",IF(O1973&lt;=60,"31-60 dias",IF(O1973&lt;=90,"61-90 dias","Mais de 90 dias"))))</f>
        <v/>
      </c>
      <c r="O1973">
        <f>IF(OR(M1973="Pendente",M1973="Em andamento"),IF(J1973="","",TODAY()-J1973),"")</f>
        <v/>
      </c>
      <c r="P1973" t="n">
        <v>12617</v>
      </c>
      <c r="Q1973" t="inlineStr">
        <is>
          <t>Gelo Manutenção (12617)</t>
        </is>
      </c>
      <c r="R1973" t="inlineStr">
        <is>
          <t>PC-0043</t>
        </is>
      </c>
      <c r="S1973" t="inlineStr">
        <is>
          <t>Bico dosador modelo 02</t>
        </is>
      </c>
      <c r="T1973" t="n">
        <v>1</v>
      </c>
      <c r="U1973" t="inlineStr"/>
      <c r="V1973">
        <f>IF(J1973="","",MONTH(J1973))</f>
        <v/>
      </c>
      <c r="W1973">
        <f>IF(J1973="","",YEAR(J1973))</f>
        <v/>
      </c>
      <c r="X1973" t="inlineStr"/>
      <c r="Y1973">
        <f>IFERROR(INDEX(Rastreio!$H$2:$H$200,MATCH(X1973&amp;"|"&amp;U1973,Rastreio!$A$2:$A$200,0)),"")</f>
        <v/>
      </c>
    </row>
    <row r="1974">
      <c r="A1974">
        <f>IFERROR(INDEX(STAs!$G$2:$G$61,MATCH(P1974,STAs!$F$2:$F$61,0))&amp;"","")</f>
        <v/>
      </c>
      <c r="B1974" t="n">
        <v>20035047</v>
      </c>
      <c r="C1974" t="inlineStr">
        <is>
          <t>Sim</t>
        </is>
      </c>
      <c r="D1974" t="inlineStr">
        <is>
          <t>GO</t>
        </is>
      </c>
      <c r="E1974" t="inlineStr">
        <is>
          <t>CENTRO OESTE</t>
        </is>
      </c>
      <c r="F1974" t="inlineStr">
        <is>
          <t>Cliente B - Chopeira</t>
        </is>
      </c>
      <c r="G1974" t="inlineStr">
        <is>
          <t>Misturadores</t>
        </is>
      </c>
      <c r="H1974" s="10" t="n">
        <v>255</v>
      </c>
      <c r="I1974" s="10">
        <f>IFERROR(T1974*H1974,0)</f>
        <v/>
      </c>
      <c r="J1974" s="11" t="n">
        <v>46260</v>
      </c>
      <c r="K1974" s="11" t="n">
        <v>46290</v>
      </c>
      <c r="L1974" t="inlineStr">
        <is>
          <t>Ok. Devolvida</t>
        </is>
      </c>
      <c r="M1974">
        <f>IF(L1974="","",IFERROR(VLOOKUP(L1974,mapGrupoStatus,2,0),"Outros"))</f>
        <v/>
      </c>
      <c r="N1974">
        <f>IF(O1974="","",IF(O1974&lt;=30,"0-30 dias",IF(O1974&lt;=60,"31-60 dias",IF(O1974&lt;=90,"61-90 dias","Mais de 90 dias"))))</f>
        <v/>
      </c>
      <c r="O1974">
        <f>IF(OR(M1974="Pendente",M1974="Em andamento"),IF(J1974="","",TODAY()-J1974),"")</f>
        <v/>
      </c>
      <c r="P1974" t="n">
        <v>11677</v>
      </c>
      <c r="Q1974" t="inlineStr">
        <is>
          <t>Cool Service Manutenção (11677)</t>
        </is>
      </c>
      <c r="R1974" t="inlineStr">
        <is>
          <t>PC-0037</t>
        </is>
      </c>
      <c r="S1974" t="inlineStr">
        <is>
          <t>Bomba de recirculação modelo 01</t>
        </is>
      </c>
      <c r="T1974" t="n">
        <v>1</v>
      </c>
      <c r="U1974" t="n">
        <v>161</v>
      </c>
      <c r="V1974">
        <f>IF(J1974="","",MONTH(J1974))</f>
        <v/>
      </c>
      <c r="W1974">
        <f>IF(J1974="","",YEAR(J1974))</f>
        <v/>
      </c>
      <c r="X1974" t="inlineStr">
        <is>
          <t>CargoMax</t>
        </is>
      </c>
      <c r="Y1974">
        <f>IFERROR(INDEX(Rastreio!$H$2:$H$200,MATCH(X1974&amp;"|"&amp;U1974,Rastreio!$A$2:$A$200,0)),"")</f>
        <v/>
      </c>
    </row>
    <row r="1975">
      <c r="A1975">
        <f>IFERROR(INDEX(STAs!$G$2:$G$61,MATCH(P1975,STAs!$F$2:$F$61,0))&amp;"","")</f>
        <v/>
      </c>
      <c r="B1975" t="n">
        <v>20037373</v>
      </c>
      <c r="C1975" t="inlineStr">
        <is>
          <t>Sim</t>
        </is>
      </c>
      <c r="D1975" t="inlineStr">
        <is>
          <t>PR</t>
        </is>
      </c>
      <c r="E1975" t="inlineStr">
        <is>
          <t>SUL</t>
        </is>
      </c>
      <c r="F1975" t="inlineStr">
        <is>
          <t>Cliente A - Refrigerador</t>
        </is>
      </c>
      <c r="G1975" t="inlineStr">
        <is>
          <t>Refrigeradores</t>
        </is>
      </c>
      <c r="H1975" s="10" t="n">
        <v>45</v>
      </c>
      <c r="I1975" s="10">
        <f>IFERROR(T1975*H1975,0)</f>
        <v/>
      </c>
      <c r="J1975" s="11" t="n">
        <v>46260</v>
      </c>
      <c r="K1975" s="11" t="n"/>
      <c r="L1975" t="inlineStr">
        <is>
          <t>Em transporte</t>
        </is>
      </c>
      <c r="M1975">
        <f>IF(L1975="","",IFERROR(VLOOKUP(L1975,mapGrupoStatus,2,0),"Outros"))</f>
        <v/>
      </c>
      <c r="N1975">
        <f>IF(O1975="","",IF(O1975&lt;=30,"0-30 dias",IF(O1975&lt;=60,"31-60 dias",IF(O1975&lt;=90,"61-90 dias","Mais de 90 dias"))))</f>
        <v/>
      </c>
      <c r="O1975">
        <f>IF(OR(M1975="Pendente",M1975="Em andamento"),IF(J1975="","",TODAY()-J1975),"")</f>
        <v/>
      </c>
      <c r="P1975" t="n">
        <v>10913</v>
      </c>
      <c r="Q1975" t="inlineStr">
        <is>
          <t>Ice Tech &amp; Cia (10913)</t>
        </is>
      </c>
      <c r="R1975" t="inlineStr">
        <is>
          <t>PC-0018</t>
        </is>
      </c>
      <c r="S1975" t="inlineStr">
        <is>
          <t>Gaxeta da porta modelo 01</t>
        </is>
      </c>
      <c r="T1975" t="n">
        <v>1</v>
      </c>
      <c r="U1975" t="n">
        <v>165</v>
      </c>
      <c r="V1975">
        <f>IF(J1975="","",MONTH(J1975))</f>
        <v/>
      </c>
      <c r="W1975">
        <f>IF(J1975="","",YEAR(J1975))</f>
        <v/>
      </c>
      <c r="X1975" t="inlineStr">
        <is>
          <t>LogExpress</t>
        </is>
      </c>
      <c r="Y1975">
        <f>IFERROR(INDEX(Rastreio!$H$2:$H$200,MATCH(X1975&amp;"|"&amp;U1975,Rastreio!$A$2:$A$200,0)),"")</f>
        <v/>
      </c>
    </row>
    <row r="1976">
      <c r="A1976">
        <f>IFERROR(INDEX(STAs!$G$2:$G$61,MATCH(P1976,STAs!$F$2:$F$61,0))&amp;"","")</f>
        <v/>
      </c>
      <c r="B1976" t="n">
        <v>20004222</v>
      </c>
      <c r="C1976" t="inlineStr">
        <is>
          <t>Não</t>
        </is>
      </c>
      <c r="D1976" t="inlineStr">
        <is>
          <t>PE</t>
        </is>
      </c>
      <c r="E1976" t="inlineStr">
        <is>
          <t>NORDESTE</t>
        </is>
      </c>
      <c r="F1976" t="inlineStr">
        <is>
          <t>Cliente C - Misturador</t>
        </is>
      </c>
      <c r="G1976" t="inlineStr">
        <is>
          <t>Misturadores</t>
        </is>
      </c>
      <c r="H1976" s="10" t="n">
        <v>50</v>
      </c>
      <c r="I1976" s="10">
        <f>IFERROR(T1976*H1976,0)</f>
        <v/>
      </c>
      <c r="J1976" s="11" t="n">
        <v>46261</v>
      </c>
      <c r="K1976" s="11" t="n"/>
      <c r="L1976" t="inlineStr">
        <is>
          <t>Aguardando devolução</t>
        </is>
      </c>
      <c r="M1976">
        <f>IF(L1976="","",IFERROR(VLOOKUP(L1976,mapGrupoStatus,2,0),"Outros"))</f>
        <v/>
      </c>
      <c r="N1976">
        <f>IF(O1976="","",IF(O1976&lt;=30,"0-30 dias",IF(O1976&lt;=60,"31-60 dias",IF(O1976&lt;=90,"61-90 dias","Mais de 90 dias"))))</f>
        <v/>
      </c>
      <c r="O1976">
        <f>IF(OR(M1976="Pendente",M1976="Em andamento"),IF(J1976="","",TODAY()-J1976),"")</f>
        <v/>
      </c>
      <c r="P1976" t="n">
        <v>11352</v>
      </c>
      <c r="Q1976" t="inlineStr">
        <is>
          <t>Frio Express (11352)</t>
        </is>
      </c>
      <c r="R1976" t="inlineStr">
        <is>
          <t>PC-0044</t>
        </is>
      </c>
      <c r="S1976" t="inlineStr">
        <is>
          <t>Bico dosador modelo 03</t>
        </is>
      </c>
      <c r="T1976" t="n">
        <v>1</v>
      </c>
      <c r="U1976" t="inlineStr"/>
      <c r="V1976">
        <f>IF(J1976="","",MONTH(J1976))</f>
        <v/>
      </c>
      <c r="W1976">
        <f>IF(J1976="","",YEAR(J1976))</f>
        <v/>
      </c>
      <c r="X1976" t="inlineStr"/>
      <c r="Y1976">
        <f>IFERROR(INDEX(Rastreio!$H$2:$H$200,MATCH(X1976&amp;"|"&amp;U1976,Rastreio!$A$2:$A$200,0)),"")</f>
        <v/>
      </c>
    </row>
    <row r="1977">
      <c r="A1977">
        <f>IFERROR(INDEX(STAs!$G$2:$G$61,MATCH(P1977,STAs!$F$2:$F$61,0))&amp;"","")</f>
        <v/>
      </c>
      <c r="B1977" t="n">
        <v>20014038</v>
      </c>
      <c r="C1977" t="inlineStr">
        <is>
          <t>Não</t>
        </is>
      </c>
      <c r="D1977" t="inlineStr">
        <is>
          <t>ES</t>
        </is>
      </c>
      <c r="E1977" t="inlineStr">
        <is>
          <t>SUDESTE RJ e ES</t>
        </is>
      </c>
      <c r="F1977" t="inlineStr">
        <is>
          <t>Cliente C - Misturador</t>
        </is>
      </c>
      <c r="G1977" t="inlineStr">
        <is>
          <t>Chopeiras</t>
        </is>
      </c>
      <c r="H1977" s="10" t="n">
        <v>85</v>
      </c>
      <c r="I1977" s="10">
        <f>IFERROR(T1977*H1977,0)</f>
        <v/>
      </c>
      <c r="J1977" s="11" t="n">
        <v>46261</v>
      </c>
      <c r="K1977" s="11" t="n"/>
      <c r="L1977" t="inlineStr">
        <is>
          <t>Em transporte</t>
        </is>
      </c>
      <c r="M1977">
        <f>IF(L1977="","",IFERROR(VLOOKUP(L1977,mapGrupoStatus,2,0),"Outros"))</f>
        <v/>
      </c>
      <c r="N1977">
        <f>IF(O1977="","",IF(O1977&lt;=30,"0-30 dias",IF(O1977&lt;=60,"31-60 dias",IF(O1977&lt;=90,"61-90 dias","Mais de 90 dias"))))</f>
        <v/>
      </c>
      <c r="O1977">
        <f>IF(OR(M1977="Pendente",M1977="Em andamento"),IF(J1977="","",TODAY()-J1977),"")</f>
        <v/>
      </c>
      <c r="P1977" t="n">
        <v>11396</v>
      </c>
      <c r="Q1977" t="inlineStr">
        <is>
          <t>Frio Manutenção (11396)</t>
        </is>
      </c>
      <c r="R1977" t="inlineStr">
        <is>
          <t>PC-0026</t>
        </is>
      </c>
      <c r="S1977" t="inlineStr">
        <is>
          <t>Torneira de chopp modelo 01</t>
        </is>
      </c>
      <c r="T1977" t="n">
        <v>1</v>
      </c>
      <c r="U1977" t="n">
        <v>127</v>
      </c>
      <c r="V1977">
        <f>IF(J1977="","",MONTH(J1977))</f>
        <v/>
      </c>
      <c r="W1977">
        <f>IF(J1977="","",YEAR(J1977))</f>
        <v/>
      </c>
      <c r="X1977" t="inlineStr">
        <is>
          <t>CargoMax</t>
        </is>
      </c>
      <c r="Y1977">
        <f>IFERROR(INDEX(Rastreio!$H$2:$H$200,MATCH(X1977&amp;"|"&amp;U1977,Rastreio!$A$2:$A$200,0)),"")</f>
        <v/>
      </c>
    </row>
    <row r="1978">
      <c r="A1978">
        <f>IFERROR(INDEX(STAs!$G$2:$G$61,MATCH(P1978,STAs!$F$2:$F$61,0))&amp;"","")</f>
        <v/>
      </c>
      <c r="B1978" t="n">
        <v>20016002</v>
      </c>
      <c r="C1978" t="inlineStr">
        <is>
          <t>Não</t>
        </is>
      </c>
      <c r="D1978" t="inlineStr">
        <is>
          <t>RJ</t>
        </is>
      </c>
      <c r="E1978" t="inlineStr">
        <is>
          <t>SUDESTE RJ e ES</t>
        </is>
      </c>
      <c r="F1978" t="inlineStr">
        <is>
          <t>Cliente C - Misturador</t>
        </is>
      </c>
      <c r="G1978" t="inlineStr">
        <is>
          <t>Refrigeradores</t>
        </is>
      </c>
      <c r="H1978" s="10" t="n">
        <v>35</v>
      </c>
      <c r="I1978" s="10">
        <f>IFERROR(T1978*H1978,0)</f>
        <v/>
      </c>
      <c r="J1978" s="11" t="n">
        <v>46261</v>
      </c>
      <c r="K1978" s="11" t="n"/>
      <c r="L1978" t="inlineStr">
        <is>
          <t>Em andamento</t>
        </is>
      </c>
      <c r="M1978">
        <f>IF(L1978="","",IFERROR(VLOOKUP(L1978,mapGrupoStatus,2,0),"Outros"))</f>
        <v/>
      </c>
      <c r="N1978">
        <f>IF(O1978="","",IF(O1978&lt;=30,"0-30 dias",IF(O1978&lt;=60,"31-60 dias",IF(O1978&lt;=90,"61-90 dias","Mais de 90 dias"))))</f>
        <v/>
      </c>
      <c r="O1978">
        <f>IF(OR(M1978="Pendente",M1978="Em andamento"),IF(J1978="","",TODAY()-J1978),"")</f>
        <v/>
      </c>
      <c r="P1978" t="n">
        <v>12336</v>
      </c>
      <c r="Q1978" t="inlineStr">
        <is>
          <t>Termotec ME (12336)</t>
        </is>
      </c>
      <c r="R1978" t="inlineStr">
        <is>
          <t>PC-0024</t>
        </is>
      </c>
      <c r="S1978" t="inlineStr">
        <is>
          <t>Relé de partida modelo 02</t>
        </is>
      </c>
      <c r="T1978" t="n">
        <v>1</v>
      </c>
      <c r="U1978" t="n">
        <v>127</v>
      </c>
      <c r="V1978">
        <f>IF(J1978="","",MONTH(J1978))</f>
        <v/>
      </c>
      <c r="W1978">
        <f>IF(J1978="","",YEAR(J1978))</f>
        <v/>
      </c>
      <c r="X1978" t="inlineStr">
        <is>
          <t>EntregaJá</t>
        </is>
      </c>
      <c r="Y1978">
        <f>IFERROR(INDEX(Rastreio!$H$2:$H$200,MATCH(X1978&amp;"|"&amp;U1978,Rastreio!$A$2:$A$200,0)),"")</f>
        <v/>
      </c>
    </row>
    <row r="1979">
      <c r="A1979">
        <f>IFERROR(INDEX(STAs!$G$2:$G$61,MATCH(P1979,STAs!$F$2:$F$61,0))&amp;"","")</f>
        <v/>
      </c>
      <c r="B1979" t="n">
        <v>20018922</v>
      </c>
      <c r="C1979" t="inlineStr">
        <is>
          <t>Não</t>
        </is>
      </c>
      <c r="D1979" t="inlineStr">
        <is>
          <t>SP</t>
        </is>
      </c>
      <c r="E1979" t="inlineStr">
        <is>
          <t>SUDESTE SP</t>
        </is>
      </c>
      <c r="F1979" t="inlineStr">
        <is>
          <t>Cliente C - Misturador</t>
        </is>
      </c>
      <c r="G1979" t="inlineStr">
        <is>
          <t>Refrigeradores</t>
        </is>
      </c>
      <c r="H1979" s="10" t="n">
        <v>50</v>
      </c>
      <c r="I1979" s="10">
        <f>IFERROR(T1979*H1979,0)</f>
        <v/>
      </c>
      <c r="J1979" s="11" t="n">
        <v>46261</v>
      </c>
      <c r="K1979" s="11" t="n">
        <v>46303</v>
      </c>
      <c r="L1979" t="inlineStr">
        <is>
          <t>Ok. Devolvida</t>
        </is>
      </c>
      <c r="M1979">
        <f>IF(L1979="","",IFERROR(VLOOKUP(L1979,mapGrupoStatus,2,0),"Outros"))</f>
        <v/>
      </c>
      <c r="N1979">
        <f>IF(O1979="","",IF(O1979&lt;=30,"0-30 dias",IF(O1979&lt;=60,"31-60 dias",IF(O1979&lt;=90,"61-90 dias","Mais de 90 dias"))))</f>
        <v/>
      </c>
      <c r="O1979">
        <f>IF(OR(M1979="Pendente",M1979="Em andamento"),IF(J1979="","",TODAY()-J1979),"")</f>
        <v/>
      </c>
      <c r="P1979" t="n">
        <v>10111</v>
      </c>
      <c r="Q1979" t="inlineStr">
        <is>
          <t>Refrigel Manutenção (10111)</t>
        </is>
      </c>
      <c r="R1979" t="inlineStr">
        <is>
          <t>PC-0006</t>
        </is>
      </c>
      <c r="S1979" t="inlineStr">
        <is>
          <t>Termostato modelo 03</t>
        </is>
      </c>
      <c r="T1979" t="n">
        <v>1</v>
      </c>
      <c r="U1979" t="n">
        <v>127</v>
      </c>
      <c r="V1979">
        <f>IF(J1979="","",MONTH(J1979))</f>
        <v/>
      </c>
      <c r="W1979">
        <f>IF(J1979="","",YEAR(J1979))</f>
        <v/>
      </c>
      <c r="X1979" t="inlineStr">
        <is>
          <t>EntregaJá</t>
        </is>
      </c>
      <c r="Y1979">
        <f>IFERROR(INDEX(Rastreio!$H$2:$H$200,MATCH(X1979&amp;"|"&amp;U1979,Rastreio!$A$2:$A$200,0)),"")</f>
        <v/>
      </c>
    </row>
    <row r="1980">
      <c r="A1980">
        <f>IFERROR(INDEX(STAs!$G$2:$G$61,MATCH(P1980,STAs!$F$2:$F$61,0))&amp;"","")</f>
        <v/>
      </c>
      <c r="B1980" t="n">
        <v>20029866</v>
      </c>
      <c r="C1980" t="inlineStr">
        <is>
          <t>Não</t>
        </is>
      </c>
      <c r="D1980" t="inlineStr">
        <is>
          <t>MT</t>
        </is>
      </c>
      <c r="E1980" t="inlineStr">
        <is>
          <t>CENTRO OESTE</t>
        </is>
      </c>
      <c r="F1980" t="inlineStr">
        <is>
          <t>Cliente B - Chopeira</t>
        </is>
      </c>
      <c r="G1980" t="inlineStr">
        <is>
          <t>Refrigeradores</t>
        </is>
      </c>
      <c r="H1980" s="10" t="n">
        <v>40</v>
      </c>
      <c r="I1980" s="10">
        <f>IFERROR(T1980*H1980,0)</f>
        <v/>
      </c>
      <c r="J1980" s="11" t="n">
        <v>46261</v>
      </c>
      <c r="K1980" s="11" t="n"/>
      <c r="L1980" t="inlineStr">
        <is>
          <t>Aguardando devolução</t>
        </is>
      </c>
      <c r="M1980">
        <f>IF(L1980="","",IFERROR(VLOOKUP(L1980,mapGrupoStatus,2,0),"Outros"))</f>
        <v/>
      </c>
      <c r="N1980">
        <f>IF(O1980="","",IF(O1980&lt;=30,"0-30 dias",IF(O1980&lt;=60,"31-60 dias",IF(O1980&lt;=90,"61-90 dias","Mais de 90 dias"))))</f>
        <v/>
      </c>
      <c r="O1980">
        <f>IF(OR(M1980="Pendente",M1980="Em andamento"),IF(J1980="","",TODAY()-J1980),"")</f>
        <v/>
      </c>
      <c r="P1980" t="n">
        <v>10227</v>
      </c>
      <c r="Q1980" t="inlineStr">
        <is>
          <t>Assistência Técnica ME (10227)</t>
        </is>
      </c>
      <c r="R1980" t="inlineStr">
        <is>
          <t>PC-0005</t>
        </is>
      </c>
      <c r="S1980" t="inlineStr">
        <is>
          <t>Termostato modelo 02</t>
        </is>
      </c>
      <c r="T1980" t="n">
        <v>1</v>
      </c>
      <c r="U1980" t="inlineStr"/>
      <c r="V1980">
        <f>IF(J1980="","",MONTH(J1980))</f>
        <v/>
      </c>
      <c r="W1980">
        <f>IF(J1980="","",YEAR(J1980))</f>
        <v/>
      </c>
      <c r="X1980" t="inlineStr"/>
      <c r="Y1980">
        <f>IFERROR(INDEX(Rastreio!$H$2:$H$200,MATCH(X1980&amp;"|"&amp;U1980,Rastreio!$A$2:$A$200,0)),"")</f>
        <v/>
      </c>
    </row>
    <row r="1981">
      <c r="A1981">
        <f>IFERROR(INDEX(STAs!$G$2:$G$61,MATCH(P1981,STAs!$F$2:$F$61,0))&amp;"","")</f>
        <v/>
      </c>
      <c r="B1981" t="n">
        <v>20034617</v>
      </c>
      <c r="C1981" t="inlineStr">
        <is>
          <t>Não</t>
        </is>
      </c>
      <c r="D1981" t="inlineStr">
        <is>
          <t>AP</t>
        </is>
      </c>
      <c r="E1981" t="inlineStr">
        <is>
          <t>NORTE</t>
        </is>
      </c>
      <c r="F1981" t="inlineStr">
        <is>
          <t>Cliente B - Chopeira</t>
        </is>
      </c>
      <c r="G1981" t="inlineStr">
        <is>
          <t>Chopeiras</t>
        </is>
      </c>
      <c r="H1981" s="10" t="n">
        <v>120</v>
      </c>
      <c r="I1981" s="10">
        <f>IFERROR(T1981*H1981,0)</f>
        <v/>
      </c>
      <c r="J1981" s="11" t="n">
        <v>46261</v>
      </c>
      <c r="K1981" s="11" t="n"/>
      <c r="L1981" t="inlineStr">
        <is>
          <t>Não Devolve-Norte</t>
        </is>
      </c>
      <c r="M1981">
        <f>IF(L1981="","",IFERROR(VLOOKUP(L1981,mapGrupoStatus,2,0),"Outros"))</f>
        <v/>
      </c>
      <c r="N1981">
        <f>IF(O1981="","",IF(O1981&lt;=30,"0-30 dias",IF(O1981&lt;=60,"31-60 dias",IF(O1981&lt;=90,"61-90 dias","Mais de 90 dias"))))</f>
        <v/>
      </c>
      <c r="O1981">
        <f>IF(OR(M1981="Pendente",M1981="Em andamento"),IF(J1981="","",TODAY()-J1981),"")</f>
        <v/>
      </c>
      <c r="P1981" t="n">
        <v>11859</v>
      </c>
      <c r="Q1981" t="inlineStr">
        <is>
          <t>Ice Tech Serviços (11859)</t>
        </is>
      </c>
      <c r="R1981" t="inlineStr">
        <is>
          <t>PC-0032</t>
        </is>
      </c>
      <c r="S1981" t="inlineStr">
        <is>
          <t>Regulador de pressão modelo 01</t>
        </is>
      </c>
      <c r="T1981" t="n">
        <v>1</v>
      </c>
      <c r="U1981" t="inlineStr"/>
      <c r="V1981">
        <f>IF(J1981="","",MONTH(J1981))</f>
        <v/>
      </c>
      <c r="W1981">
        <f>IF(J1981="","",YEAR(J1981))</f>
        <v/>
      </c>
      <c r="X1981" t="inlineStr"/>
      <c r="Y1981">
        <f>IFERROR(INDEX(Rastreio!$H$2:$H$200,MATCH(X1981&amp;"|"&amp;U1981,Rastreio!$A$2:$A$200,0)),"")</f>
        <v/>
      </c>
    </row>
    <row r="1982">
      <c r="A1982">
        <f>IFERROR(INDEX(STAs!$G$2:$G$61,MATCH(P1982,STAs!$F$2:$F$61,0))&amp;"","")</f>
        <v/>
      </c>
      <c r="B1982" t="n">
        <v>20012081</v>
      </c>
      <c r="C1982" t="inlineStr">
        <is>
          <t>Não</t>
        </is>
      </c>
      <c r="D1982" t="inlineStr">
        <is>
          <t>AM</t>
        </is>
      </c>
      <c r="E1982" t="inlineStr">
        <is>
          <t>NORTE</t>
        </is>
      </c>
      <c r="F1982" t="inlineStr">
        <is>
          <t>Cliente C - Misturador</t>
        </is>
      </c>
      <c r="G1982" t="inlineStr">
        <is>
          <t>Refrigeradores</t>
        </is>
      </c>
      <c r="H1982" s="10" t="n">
        <v>330</v>
      </c>
      <c r="I1982" s="10">
        <f>IFERROR(T1982*H1982,0)</f>
        <v/>
      </c>
      <c r="J1982" s="11" t="n">
        <v>46262</v>
      </c>
      <c r="K1982" s="11" t="n"/>
      <c r="L1982" t="inlineStr">
        <is>
          <t>Não Devolve-Norte</t>
        </is>
      </c>
      <c r="M1982">
        <f>IF(L1982="","",IFERROR(VLOOKUP(L1982,mapGrupoStatus,2,0),"Outros"))</f>
        <v/>
      </c>
      <c r="N1982">
        <f>IF(O1982="","",IF(O1982&lt;=30,"0-30 dias",IF(O1982&lt;=60,"31-60 dias",IF(O1982&lt;=90,"61-90 dias","Mais de 90 dias"))))</f>
        <v/>
      </c>
      <c r="O1982">
        <f>IF(OR(M1982="Pendente",M1982="Em andamento"),IF(J1982="","",TODAY()-J1982),"")</f>
        <v/>
      </c>
      <c r="P1982" t="n">
        <v>10842</v>
      </c>
      <c r="Q1982" t="inlineStr">
        <is>
          <t>Frigo &amp; Cia (10842)</t>
        </is>
      </c>
      <c r="R1982" t="inlineStr">
        <is>
          <t>PC-0003</t>
        </is>
      </c>
      <c r="S1982" t="inlineStr">
        <is>
          <t>Compressor modelo 03</t>
        </is>
      </c>
      <c r="T1982" t="n">
        <v>1</v>
      </c>
      <c r="U1982" t="inlineStr"/>
      <c r="V1982">
        <f>IF(J1982="","",MONTH(J1982))</f>
        <v/>
      </c>
      <c r="W1982">
        <f>IF(J1982="","",YEAR(J1982))</f>
        <v/>
      </c>
      <c r="X1982" t="inlineStr"/>
      <c r="Y1982">
        <f>IFERROR(INDEX(Rastreio!$H$2:$H$200,MATCH(X1982&amp;"|"&amp;U1982,Rastreio!$A$2:$A$200,0)),"")</f>
        <v/>
      </c>
    </row>
    <row r="1983">
      <c r="A1983">
        <f>IFERROR(INDEX(STAs!$G$2:$G$61,MATCH(P1983,STAs!$F$2:$F$61,0))&amp;"","")</f>
        <v/>
      </c>
      <c r="B1983" t="n">
        <v>20013418</v>
      </c>
      <c r="C1983" t="inlineStr">
        <is>
          <t>Não</t>
        </is>
      </c>
      <c r="D1983" t="inlineStr">
        <is>
          <t>AC</t>
        </is>
      </c>
      <c r="E1983" t="inlineStr">
        <is>
          <t>NORTE</t>
        </is>
      </c>
      <c r="F1983" t="inlineStr">
        <is>
          <t>Cliente C - Misturador</t>
        </is>
      </c>
      <c r="G1983" t="inlineStr">
        <is>
          <t>Refrigeradores</t>
        </is>
      </c>
      <c r="H1983" s="10" t="n">
        <v>50</v>
      </c>
      <c r="I1983" s="10">
        <f>IFERROR(T1983*H1983,0)</f>
        <v/>
      </c>
      <c r="J1983" s="11" t="n">
        <v>46262</v>
      </c>
      <c r="K1983" s="11" t="n"/>
      <c r="L1983" t="inlineStr">
        <is>
          <t>Não Devolve-Norte</t>
        </is>
      </c>
      <c r="M1983">
        <f>IF(L1983="","",IFERROR(VLOOKUP(L1983,mapGrupoStatus,2,0),"Outros"))</f>
        <v/>
      </c>
      <c r="N1983">
        <f>IF(O1983="","",IF(O1983&lt;=30,"0-30 dias",IF(O1983&lt;=60,"31-60 dias",IF(O1983&lt;=90,"61-90 dias","Mais de 90 dias"))))</f>
        <v/>
      </c>
      <c r="O1983">
        <f>IF(OR(M1983="Pendente",M1983="Em andamento"),IF(J1983="","",TODAY()-J1983),"")</f>
        <v/>
      </c>
      <c r="P1983" t="n">
        <v>10372</v>
      </c>
      <c r="Q1983" t="inlineStr">
        <is>
          <t>Zero Grau ME (10372)</t>
        </is>
      </c>
      <c r="R1983" t="inlineStr">
        <is>
          <t>PC-0006</t>
        </is>
      </c>
      <c r="S1983" t="inlineStr">
        <is>
          <t>Termostato modelo 03</t>
        </is>
      </c>
      <c r="T1983" t="n">
        <v>1</v>
      </c>
      <c r="U1983" t="inlineStr"/>
      <c r="V1983">
        <f>IF(J1983="","",MONTH(J1983))</f>
        <v/>
      </c>
      <c r="W1983">
        <f>IF(J1983="","",YEAR(J1983))</f>
        <v/>
      </c>
      <c r="X1983" t="inlineStr"/>
      <c r="Y1983">
        <f>IFERROR(INDEX(Rastreio!$H$2:$H$200,MATCH(X1983&amp;"|"&amp;U1983,Rastreio!$A$2:$A$200,0)),"")</f>
        <v/>
      </c>
    </row>
    <row r="1984">
      <c r="A1984">
        <f>IFERROR(INDEX(STAs!$G$2:$G$61,MATCH(P1984,STAs!$F$2:$F$61,0))&amp;"","")</f>
        <v/>
      </c>
      <c r="B1984" t="n">
        <v>20013685</v>
      </c>
      <c r="C1984" t="inlineStr">
        <is>
          <t>Não</t>
        </is>
      </c>
      <c r="D1984" t="inlineStr">
        <is>
          <t>MG</t>
        </is>
      </c>
      <c r="E1984" t="inlineStr">
        <is>
          <t>SUDESTE MG</t>
        </is>
      </c>
      <c r="F1984" t="inlineStr">
        <is>
          <t>Cliente C - Misturador</t>
        </is>
      </c>
      <c r="G1984" t="inlineStr">
        <is>
          <t>Misturadores</t>
        </is>
      </c>
      <c r="H1984" s="10" t="n">
        <v>50</v>
      </c>
      <c r="I1984" s="10">
        <f>IFERROR(T1984*H1984,0)</f>
        <v/>
      </c>
      <c r="J1984" s="11" t="n">
        <v>46262</v>
      </c>
      <c r="K1984" s="11" t="n">
        <v>46305</v>
      </c>
      <c r="L1984" t="inlineStr">
        <is>
          <t>Ok. Devolvida</t>
        </is>
      </c>
      <c r="M1984">
        <f>IF(L1984="","",IFERROR(VLOOKUP(L1984,mapGrupoStatus,2,0),"Outros"))</f>
        <v/>
      </c>
      <c r="N1984">
        <f>IF(O1984="","",IF(O1984&lt;=30,"0-30 dias",IF(O1984&lt;=60,"31-60 dias",IF(O1984&lt;=90,"61-90 dias","Mais de 90 dias"))))</f>
        <v/>
      </c>
      <c r="O1984">
        <f>IF(OR(M1984="Pendente",M1984="Em andamento"),IF(J1984="","",TODAY()-J1984),"")</f>
        <v/>
      </c>
      <c r="P1984" t="n">
        <v>11494</v>
      </c>
      <c r="Q1984" t="inlineStr">
        <is>
          <t>Clima Técnica (11494)</t>
        </is>
      </c>
      <c r="R1984" t="inlineStr">
        <is>
          <t>PC-0047</t>
        </is>
      </c>
      <c r="S1984" t="inlineStr">
        <is>
          <t>Sensor de nível modelo 03</t>
        </is>
      </c>
      <c r="T1984" t="n">
        <v>3</v>
      </c>
      <c r="U1984" t="n">
        <v>128</v>
      </c>
      <c r="V1984">
        <f>IF(J1984="","",MONTH(J1984))</f>
        <v/>
      </c>
      <c r="W1984">
        <f>IF(J1984="","",YEAR(J1984))</f>
        <v/>
      </c>
      <c r="X1984" t="inlineStr">
        <is>
          <t>ViaCargo</t>
        </is>
      </c>
      <c r="Y1984">
        <f>IFERROR(INDEX(Rastreio!$H$2:$H$200,MATCH(X1984&amp;"|"&amp;U1984,Rastreio!$A$2:$A$200,0)),"")</f>
        <v/>
      </c>
    </row>
    <row r="1985">
      <c r="A1985">
        <f>IFERROR(INDEX(STAs!$G$2:$G$61,MATCH(P1985,STAs!$F$2:$F$61,0))&amp;"","")</f>
        <v/>
      </c>
      <c r="B1985" t="n">
        <v>20030404</v>
      </c>
      <c r="C1985" t="inlineStr">
        <is>
          <t>Não</t>
        </is>
      </c>
      <c r="D1985" t="inlineStr">
        <is>
          <t>PE</t>
        </is>
      </c>
      <c r="E1985" t="inlineStr">
        <is>
          <t>NORDESTE</t>
        </is>
      </c>
      <c r="F1985" t="inlineStr">
        <is>
          <t>Cliente A - Refrigerador</t>
        </is>
      </c>
      <c r="G1985" t="inlineStr">
        <is>
          <t>Refrigeradores</t>
        </is>
      </c>
      <c r="H1985" s="10" t="n">
        <v>30</v>
      </c>
      <c r="I1985" s="10">
        <f>IFERROR(T1985*H1985,0)</f>
        <v/>
      </c>
      <c r="J1985" s="11" t="n">
        <v>46262</v>
      </c>
      <c r="K1985" s="11" t="n">
        <v>46286</v>
      </c>
      <c r="L1985" t="inlineStr">
        <is>
          <t>Ok. Devolvida</t>
        </is>
      </c>
      <c r="M1985">
        <f>IF(L1985="","",IFERROR(VLOOKUP(L1985,mapGrupoStatus,2,0),"Outros"))</f>
        <v/>
      </c>
      <c r="N1985">
        <f>IF(O1985="","",IF(O1985&lt;=30,"0-30 dias",IF(O1985&lt;=60,"31-60 dias",IF(O1985&lt;=90,"61-90 dias","Mais de 90 dias"))))</f>
        <v/>
      </c>
      <c r="O1985">
        <f>IF(OR(M1985="Pendente",M1985="Em andamento"),IF(J1985="","",TODAY()-J1985),"")</f>
        <v/>
      </c>
      <c r="P1985" t="n">
        <v>11352</v>
      </c>
      <c r="Q1985" t="inlineStr">
        <is>
          <t>Frio Express (11352)</t>
        </is>
      </c>
      <c r="R1985" t="inlineStr">
        <is>
          <t>PC-0025</t>
        </is>
      </c>
      <c r="S1985" t="inlineStr">
        <is>
          <t>Relé de partida modelo 03</t>
        </is>
      </c>
      <c r="T1985" t="n">
        <v>2</v>
      </c>
      <c r="U1985" t="n">
        <v>153</v>
      </c>
      <c r="V1985">
        <f>IF(J1985="","",MONTH(J1985))</f>
        <v/>
      </c>
      <c r="W1985">
        <f>IF(J1985="","",YEAR(J1985))</f>
        <v/>
      </c>
      <c r="X1985" t="inlineStr">
        <is>
          <t>CargoMax</t>
        </is>
      </c>
      <c r="Y1985">
        <f>IFERROR(INDEX(Rastreio!$H$2:$H$200,MATCH(X1985&amp;"|"&amp;U1985,Rastreio!$A$2:$A$200,0)),"")</f>
        <v/>
      </c>
    </row>
    <row r="1986">
      <c r="A1986">
        <f>IFERROR(INDEX(STAs!$G$2:$G$61,MATCH(P1986,STAs!$F$2:$F$61,0))&amp;"","")</f>
        <v/>
      </c>
      <c r="B1986" t="n">
        <v>20030603</v>
      </c>
      <c r="C1986" t="inlineStr">
        <is>
          <t>Não</t>
        </is>
      </c>
      <c r="D1986" t="inlineStr">
        <is>
          <t>PR</t>
        </is>
      </c>
      <c r="E1986" t="inlineStr">
        <is>
          <t>SUL</t>
        </is>
      </c>
      <c r="F1986" t="inlineStr">
        <is>
          <t>Cliente A - Refrigerador</t>
        </is>
      </c>
      <c r="G1986" t="inlineStr">
        <is>
          <t>Misturadores</t>
        </is>
      </c>
      <c r="H1986" s="10" t="n">
        <v>60</v>
      </c>
      <c r="I1986" s="10">
        <f>IFERROR(T1986*H1986,0)</f>
        <v/>
      </c>
      <c r="J1986" s="11" t="n">
        <v>46262</v>
      </c>
      <c r="K1986" s="11" t="n"/>
      <c r="L1986" t="inlineStr">
        <is>
          <t>Aguardando Transporte</t>
        </is>
      </c>
      <c r="M1986">
        <f>IF(L1986="","",IFERROR(VLOOKUP(L1986,mapGrupoStatus,2,0),"Outros"))</f>
        <v/>
      </c>
      <c r="N1986">
        <f>IF(O1986="","",IF(O1986&lt;=30,"0-30 dias",IF(O1986&lt;=60,"31-60 dias",IF(O1986&lt;=90,"61-90 dias","Mais de 90 dias"))))</f>
        <v/>
      </c>
      <c r="O1986">
        <f>IF(OR(M1986="Pendente",M1986="Em andamento"),IF(J1986="","",TODAY()-J1986),"")</f>
        <v/>
      </c>
      <c r="P1986" t="n">
        <v>11898</v>
      </c>
      <c r="Q1986" t="inlineStr">
        <is>
          <t>Refrigel Express (11898)</t>
        </is>
      </c>
      <c r="R1986" t="inlineStr">
        <is>
          <t>PC-0046</t>
        </is>
      </c>
      <c r="S1986" t="inlineStr">
        <is>
          <t>Sensor de nível modelo 02</t>
        </is>
      </c>
      <c r="T1986" t="n">
        <v>1</v>
      </c>
      <c r="U1986" t="n">
        <v>154</v>
      </c>
      <c r="V1986">
        <f>IF(J1986="","",MONTH(J1986))</f>
        <v/>
      </c>
      <c r="W1986">
        <f>IF(J1986="","",YEAR(J1986))</f>
        <v/>
      </c>
      <c r="X1986" t="inlineStr">
        <is>
          <t>TransNorte</t>
        </is>
      </c>
      <c r="Y1986">
        <f>IFERROR(INDEX(Rastreio!$H$2:$H$200,MATCH(X1986&amp;"|"&amp;U1986,Rastreio!$A$2:$A$200,0)),"")</f>
        <v/>
      </c>
    </row>
    <row r="1987">
      <c r="A1987">
        <f>IFERROR(INDEX(STAs!$G$2:$G$61,MATCH(P1987,STAs!$F$2:$F$61,0))&amp;"","")</f>
        <v/>
      </c>
      <c r="B1987" t="n">
        <v>20018307</v>
      </c>
      <c r="C1987" t="inlineStr">
        <is>
          <t>Sim</t>
        </is>
      </c>
      <c r="D1987" t="inlineStr">
        <is>
          <t>CE</t>
        </is>
      </c>
      <c r="E1987" t="inlineStr">
        <is>
          <t>NORDESTE</t>
        </is>
      </c>
      <c r="F1987" t="inlineStr">
        <is>
          <t>Cliente C - Misturador</t>
        </is>
      </c>
      <c r="G1987" t="inlineStr">
        <is>
          <t>Misturadores</t>
        </is>
      </c>
      <c r="H1987" s="10" t="n">
        <v>60</v>
      </c>
      <c r="I1987" s="10">
        <f>IFERROR(T1987*H1987,0)</f>
        <v/>
      </c>
      <c r="J1987" s="11" t="n">
        <v>46263</v>
      </c>
      <c r="K1987" s="11" t="n">
        <v>46306</v>
      </c>
      <c r="L1987" t="inlineStr">
        <is>
          <t>Ok. Devolvida</t>
        </is>
      </c>
      <c r="M1987">
        <f>IF(L1987="","",IFERROR(VLOOKUP(L1987,mapGrupoStatus,2,0),"Outros"))</f>
        <v/>
      </c>
      <c r="N1987">
        <f>IF(O1987="","",IF(O1987&lt;=30,"0-30 dias",IF(O1987&lt;=60,"31-60 dias",IF(O1987&lt;=90,"61-90 dias","Mais de 90 dias"))))</f>
        <v/>
      </c>
      <c r="O1987">
        <f>IF(OR(M1987="Pendente",M1987="Em andamento"),IF(J1987="","",TODAY()-J1987),"")</f>
        <v/>
      </c>
      <c r="P1987" t="n">
        <v>10615</v>
      </c>
      <c r="Q1987" t="inlineStr">
        <is>
          <t>Brisa Técnica (10615)</t>
        </is>
      </c>
      <c r="R1987" t="inlineStr">
        <is>
          <t>PC-0046</t>
        </is>
      </c>
      <c r="S1987" t="inlineStr">
        <is>
          <t>Sensor de nível modelo 02</t>
        </is>
      </c>
      <c r="T1987" t="n">
        <v>1</v>
      </c>
      <c r="U1987" t="n">
        <v>134</v>
      </c>
      <c r="V1987">
        <f>IF(J1987="","",MONTH(J1987))</f>
        <v/>
      </c>
      <c r="W1987">
        <f>IF(J1987="","",YEAR(J1987))</f>
        <v/>
      </c>
      <c r="X1987" t="inlineStr">
        <is>
          <t>ViaCargo</t>
        </is>
      </c>
      <c r="Y1987">
        <f>IFERROR(INDEX(Rastreio!$H$2:$H$200,MATCH(X1987&amp;"|"&amp;U1987,Rastreio!$A$2:$A$200,0)),"")</f>
        <v/>
      </c>
    </row>
    <row r="1988">
      <c r="A1988">
        <f>IFERROR(INDEX(STAs!$G$2:$G$61,MATCH(P1988,STAs!$F$2:$F$61,0))&amp;"","")</f>
        <v/>
      </c>
      <c r="B1988" t="n">
        <v>20036225</v>
      </c>
      <c r="C1988" t="inlineStr">
        <is>
          <t>Não</t>
        </is>
      </c>
      <c r="D1988" t="inlineStr">
        <is>
          <t>PI</t>
        </is>
      </c>
      <c r="E1988" t="inlineStr">
        <is>
          <t>NORDESTE</t>
        </is>
      </c>
      <c r="F1988" t="inlineStr">
        <is>
          <t>Cliente C - Misturador</t>
        </is>
      </c>
      <c r="G1988" t="inlineStr">
        <is>
          <t>Chopeiras</t>
        </is>
      </c>
      <c r="H1988" s="10" t="n">
        <v>205</v>
      </c>
      <c r="I1988" s="10">
        <f>IFERROR(T1988*H1988,0)</f>
        <v/>
      </c>
      <c r="J1988" s="11" t="n">
        <v>46263</v>
      </c>
      <c r="K1988" s="11" t="n"/>
      <c r="L1988" t="inlineStr">
        <is>
          <t>NPD</t>
        </is>
      </c>
      <c r="M1988">
        <f>IF(L1988="","",IFERROR(VLOOKUP(L1988,mapGrupoStatus,2,0),"Outros"))</f>
        <v/>
      </c>
      <c r="N1988">
        <f>IF(O1988="","",IF(O1988&lt;=30,"0-30 dias",IF(O1988&lt;=60,"31-60 dias",IF(O1988&lt;=90,"61-90 dias","Mais de 90 dias"))))</f>
        <v/>
      </c>
      <c r="O1988">
        <f>IF(OR(M1988="Pendente",M1988="Em andamento"),IF(J1988="","",TODAY()-J1988),"")</f>
        <v/>
      </c>
      <c r="P1988" t="n">
        <v>10562</v>
      </c>
      <c r="Q1988" t="inlineStr">
        <is>
          <t>Clima &amp; Cia (10562)</t>
        </is>
      </c>
      <c r="R1988" t="inlineStr">
        <is>
          <t>PC-0031</t>
        </is>
      </c>
      <c r="S1988" t="inlineStr">
        <is>
          <t>Serpentina modelo 03</t>
        </is>
      </c>
      <c r="T1988" t="n">
        <v>1</v>
      </c>
      <c r="U1988" t="inlineStr"/>
      <c r="V1988">
        <f>IF(J1988="","",MONTH(J1988))</f>
        <v/>
      </c>
      <c r="W1988">
        <f>IF(J1988="","",YEAR(J1988))</f>
        <v/>
      </c>
      <c r="X1988" t="inlineStr"/>
      <c r="Y1988">
        <f>IFERROR(INDEX(Rastreio!$H$2:$H$200,MATCH(X1988&amp;"|"&amp;U1988,Rastreio!$A$2:$A$200,0)),"")</f>
        <v/>
      </c>
    </row>
    <row r="1989">
      <c r="A1989">
        <f>IFERROR(INDEX(STAs!$G$2:$G$61,MATCH(P1989,STAs!$F$2:$F$61,0))&amp;"","")</f>
        <v/>
      </c>
      <c r="B1989" t="n">
        <v>20038925</v>
      </c>
      <c r="C1989" t="inlineStr">
        <is>
          <t>Não</t>
        </is>
      </c>
      <c r="D1989" t="inlineStr">
        <is>
          <t>AM</t>
        </is>
      </c>
      <c r="E1989" t="inlineStr">
        <is>
          <t>NORTE</t>
        </is>
      </c>
      <c r="F1989" t="inlineStr">
        <is>
          <t>Cliente C - Misturador</t>
        </is>
      </c>
      <c r="G1989" t="inlineStr">
        <is>
          <t>Refrigeradores</t>
        </is>
      </c>
      <c r="H1989" s="10" t="n">
        <v>25</v>
      </c>
      <c r="I1989" s="10">
        <f>IFERROR(T1989*H1989,0)</f>
        <v/>
      </c>
      <c r="J1989" s="11" t="n">
        <v>46263</v>
      </c>
      <c r="K1989" s="11" t="n"/>
      <c r="L1989" t="inlineStr">
        <is>
          <t>Não Devolve-Norte</t>
        </is>
      </c>
      <c r="M1989">
        <f>IF(L1989="","",IFERROR(VLOOKUP(L1989,mapGrupoStatus,2,0),"Outros"))</f>
        <v/>
      </c>
      <c r="N1989">
        <f>IF(O1989="","",IF(O1989&lt;=30,"0-30 dias",IF(O1989&lt;=60,"31-60 dias",IF(O1989&lt;=90,"61-90 dias","Mais de 90 dias"))))</f>
        <v/>
      </c>
      <c r="O1989">
        <f>IF(OR(M1989="Pendente",M1989="Em andamento"),IF(J1989="","",TODAY()-J1989),"")</f>
        <v/>
      </c>
      <c r="P1989" t="n">
        <v>12269</v>
      </c>
      <c r="Q1989" t="inlineStr">
        <is>
          <t>Polar Técnica (12269)</t>
        </is>
      </c>
      <c r="R1989" t="inlineStr">
        <is>
          <t>PC-0015</t>
        </is>
      </c>
      <c r="S1989" t="inlineStr">
        <is>
          <t>Filtro secador modelo 01</t>
        </is>
      </c>
      <c r="T1989" t="n">
        <v>1</v>
      </c>
      <c r="U1989" t="inlineStr"/>
      <c r="V1989">
        <f>IF(J1989="","",MONTH(J1989))</f>
        <v/>
      </c>
      <c r="W1989">
        <f>IF(J1989="","",YEAR(J1989))</f>
        <v/>
      </c>
      <c r="X1989" t="inlineStr"/>
      <c r="Y1989">
        <f>IFERROR(INDEX(Rastreio!$H$2:$H$200,MATCH(X1989&amp;"|"&amp;U1989,Rastreio!$A$2:$A$200,0)),"")</f>
        <v/>
      </c>
    </row>
    <row r="1990">
      <c r="A1990">
        <f>IFERROR(INDEX(STAs!$G$2:$G$61,MATCH(P1990,STAs!$F$2:$F$61,0))&amp;"","")</f>
        <v/>
      </c>
      <c r="B1990" t="n">
        <v>20003320</v>
      </c>
      <c r="C1990" t="inlineStr">
        <is>
          <t>Não</t>
        </is>
      </c>
      <c r="D1990" t="inlineStr">
        <is>
          <t>PR</t>
        </is>
      </c>
      <c r="E1990" t="inlineStr">
        <is>
          <t>SUL</t>
        </is>
      </c>
      <c r="F1990" t="inlineStr">
        <is>
          <t>Cliente B - Chopeira</t>
        </is>
      </c>
      <c r="G1990" t="inlineStr">
        <is>
          <t>Refrigeradores</t>
        </is>
      </c>
      <c r="H1990" s="10" t="n">
        <v>190</v>
      </c>
      <c r="I1990" s="10">
        <f>IFERROR(T1990*H1990,0)</f>
        <v/>
      </c>
      <c r="J1990" s="11" t="n">
        <v>46264</v>
      </c>
      <c r="K1990" s="11" t="n">
        <v>46302</v>
      </c>
      <c r="L1990" t="inlineStr">
        <is>
          <t>Ok. Devolvida</t>
        </is>
      </c>
      <c r="M1990">
        <f>IF(L1990="","",IFERROR(VLOOKUP(L1990,mapGrupoStatus,2,0),"Outros"))</f>
        <v/>
      </c>
      <c r="N1990">
        <f>IF(O1990="","",IF(O1990&lt;=30,"0-30 dias",IF(O1990&lt;=60,"31-60 dias",IF(O1990&lt;=90,"61-90 dias","Mais de 90 dias"))))</f>
        <v/>
      </c>
      <c r="O1990">
        <f>IF(OR(M1990="Pendente",M1990="Em andamento"),IF(J1990="","",TODAY()-J1990),"")</f>
        <v/>
      </c>
      <c r="P1990" t="n">
        <v>10504</v>
      </c>
      <c r="Q1990" t="inlineStr">
        <is>
          <t>Zero Grau Ltda (10504)</t>
        </is>
      </c>
      <c r="R1990" t="inlineStr">
        <is>
          <t>PC-0011</t>
        </is>
      </c>
      <c r="S1990" t="inlineStr">
        <is>
          <t>Placa eletrônica modelo 01</t>
        </is>
      </c>
      <c r="T1990" t="n">
        <v>1</v>
      </c>
      <c r="U1990" t="n">
        <v>109</v>
      </c>
      <c r="V1990">
        <f>IF(J1990="","",MONTH(J1990))</f>
        <v/>
      </c>
      <c r="W1990">
        <f>IF(J1990="","",YEAR(J1990))</f>
        <v/>
      </c>
      <c r="X1990" t="inlineStr">
        <is>
          <t>ViaCargo</t>
        </is>
      </c>
      <c r="Y1990">
        <f>IFERROR(INDEX(Rastreio!$H$2:$H$200,MATCH(X1990&amp;"|"&amp;U1990,Rastreio!$A$2:$A$200,0)),"")</f>
        <v/>
      </c>
    </row>
    <row r="1991">
      <c r="A1991">
        <f>IFERROR(INDEX(STAs!$G$2:$G$61,MATCH(P1991,STAs!$F$2:$F$61,0))&amp;"","")</f>
        <v/>
      </c>
      <c r="B1991" t="n">
        <v>20009412</v>
      </c>
      <c r="C1991" t="inlineStr">
        <is>
          <t>Não</t>
        </is>
      </c>
      <c r="D1991" t="inlineStr">
        <is>
          <t>PR</t>
        </is>
      </c>
      <c r="E1991" t="inlineStr">
        <is>
          <t>SUL</t>
        </is>
      </c>
      <c r="F1991" t="inlineStr">
        <is>
          <t>Cliente C - Misturador</t>
        </is>
      </c>
      <c r="G1991" t="inlineStr">
        <is>
          <t>Misturadores</t>
        </is>
      </c>
      <c r="H1991" s="10" t="n">
        <v>185</v>
      </c>
      <c r="I1991" s="10">
        <f>IFERROR(T1991*H1991,0)</f>
        <v/>
      </c>
      <c r="J1991" s="11" t="n">
        <v>46264</v>
      </c>
      <c r="K1991" s="11" t="n">
        <v>46291</v>
      </c>
      <c r="L1991" t="inlineStr">
        <is>
          <t>Ok. Devolvida</t>
        </is>
      </c>
      <c r="M1991">
        <f>IF(L1991="","",IFERROR(VLOOKUP(L1991,mapGrupoStatus,2,0),"Outros"))</f>
        <v/>
      </c>
      <c r="N1991">
        <f>IF(O1991="","",IF(O1991&lt;=30,"0-30 dias",IF(O1991&lt;=60,"31-60 dias",IF(O1991&lt;=90,"61-90 dias","Mais de 90 dias"))))</f>
        <v/>
      </c>
      <c r="O1991">
        <f>IF(OR(M1991="Pendente",M1991="Em andamento"),IF(J1991="","",TODAY()-J1991),"")</f>
        <v/>
      </c>
      <c r="P1991" t="n">
        <v>12089</v>
      </c>
      <c r="Q1991" t="inlineStr">
        <is>
          <t>Termotec Serviços (12089)</t>
        </is>
      </c>
      <c r="R1991" t="inlineStr">
        <is>
          <t>PC-0041</t>
        </is>
      </c>
      <c r="S1991" t="inlineStr">
        <is>
          <t>Motor agitador modelo 02</t>
        </is>
      </c>
      <c r="T1991" t="n">
        <v>2</v>
      </c>
      <c r="U1991" t="n">
        <v>117</v>
      </c>
      <c r="V1991">
        <f>IF(J1991="","",MONTH(J1991))</f>
        <v/>
      </c>
      <c r="W1991">
        <f>IF(J1991="","",YEAR(J1991))</f>
        <v/>
      </c>
      <c r="X1991" t="inlineStr">
        <is>
          <t>CargoMax</t>
        </is>
      </c>
      <c r="Y1991">
        <f>IFERROR(INDEX(Rastreio!$H$2:$H$200,MATCH(X1991&amp;"|"&amp;U1991,Rastreio!$A$2:$A$200,0)),"")</f>
        <v/>
      </c>
    </row>
    <row r="1992">
      <c r="A1992">
        <f>IFERROR(INDEX(STAs!$G$2:$G$61,MATCH(P1992,STAs!$F$2:$F$61,0))&amp;"","")</f>
        <v/>
      </c>
      <c r="B1992" t="n">
        <v>20013871</v>
      </c>
      <c r="C1992" t="inlineStr">
        <is>
          <t>Não</t>
        </is>
      </c>
      <c r="D1992" t="inlineStr">
        <is>
          <t>AM</t>
        </is>
      </c>
      <c r="E1992" t="inlineStr">
        <is>
          <t>NORTE</t>
        </is>
      </c>
      <c r="F1992" t="inlineStr">
        <is>
          <t>Cliente B - Chopeira</t>
        </is>
      </c>
      <c r="G1992" t="inlineStr">
        <is>
          <t>Refrigeradores</t>
        </is>
      </c>
      <c r="H1992" s="10" t="n">
        <v>35</v>
      </c>
      <c r="I1992" s="10">
        <f>IFERROR(T1992*H1992,0)</f>
        <v/>
      </c>
      <c r="J1992" s="11" t="n">
        <v>46264</v>
      </c>
      <c r="K1992" s="11" t="n"/>
      <c r="L1992" t="inlineStr">
        <is>
          <t>Não Devolve-Norte</t>
        </is>
      </c>
      <c r="M1992">
        <f>IF(L1992="","",IFERROR(VLOOKUP(L1992,mapGrupoStatus,2,0),"Outros"))</f>
        <v/>
      </c>
      <c r="N1992">
        <f>IF(O1992="","",IF(O1992&lt;=30,"0-30 dias",IF(O1992&lt;=60,"31-60 dias",IF(O1992&lt;=90,"61-90 dias","Mais de 90 dias"))))</f>
        <v/>
      </c>
      <c r="O1992">
        <f>IF(OR(M1992="Pendente",M1992="Em andamento"),IF(J1992="","",TODAY()-J1992),"")</f>
        <v/>
      </c>
      <c r="P1992" t="n">
        <v>12269</v>
      </c>
      <c r="Q1992" t="inlineStr">
        <is>
          <t>Polar Técnica (12269)</t>
        </is>
      </c>
      <c r="R1992" t="inlineStr">
        <is>
          <t>PC-0020</t>
        </is>
      </c>
      <c r="S1992" t="inlineStr">
        <is>
          <t>Gaxeta da porta modelo 03</t>
        </is>
      </c>
      <c r="T1992" t="n">
        <v>2</v>
      </c>
      <c r="U1992" t="inlineStr"/>
      <c r="V1992">
        <f>IF(J1992="","",MONTH(J1992))</f>
        <v/>
      </c>
      <c r="W1992">
        <f>IF(J1992="","",YEAR(J1992))</f>
        <v/>
      </c>
      <c r="X1992" t="inlineStr"/>
      <c r="Y1992">
        <f>IFERROR(INDEX(Rastreio!$H$2:$H$200,MATCH(X1992&amp;"|"&amp;U1992,Rastreio!$A$2:$A$200,0)),"")</f>
        <v/>
      </c>
    </row>
    <row r="1993">
      <c r="A1993">
        <f>IFERROR(INDEX(STAs!$G$2:$G$61,MATCH(P1993,STAs!$F$2:$F$61,0))&amp;"","")</f>
        <v/>
      </c>
      <c r="B1993" t="n">
        <v>20021709</v>
      </c>
      <c r="C1993" t="inlineStr">
        <is>
          <t>Sim</t>
        </is>
      </c>
      <c r="D1993" t="inlineStr">
        <is>
          <t>CE</t>
        </is>
      </c>
      <c r="E1993" t="inlineStr">
        <is>
          <t>NORDESTE</t>
        </is>
      </c>
      <c r="F1993" t="inlineStr">
        <is>
          <t>Cliente B - Chopeira</t>
        </is>
      </c>
      <c r="G1993" t="inlineStr">
        <is>
          <t>Refrigeradores</t>
        </is>
      </c>
      <c r="H1993" s="10" t="n">
        <v>35</v>
      </c>
      <c r="I1993" s="10">
        <f>IFERROR(T1993*H1993,0)</f>
        <v/>
      </c>
      <c r="J1993" s="11" t="n">
        <v>46264</v>
      </c>
      <c r="K1993" s="11" t="n"/>
      <c r="L1993" t="inlineStr">
        <is>
          <t>Em andamento</t>
        </is>
      </c>
      <c r="M1993">
        <f>IF(L1993="","",IFERROR(VLOOKUP(L1993,mapGrupoStatus,2,0),"Outros"))</f>
        <v/>
      </c>
      <c r="N1993">
        <f>IF(O1993="","",IF(O1993&lt;=30,"0-30 dias",IF(O1993&lt;=60,"31-60 dias",IF(O1993&lt;=90,"61-90 dias","Mais de 90 dias"))))</f>
        <v/>
      </c>
      <c r="O1993">
        <f>IF(OR(M1993="Pendente",M1993="Em andamento"),IF(J1993="","",TODAY()-J1993),"")</f>
        <v/>
      </c>
      <c r="P1993" t="n">
        <v>10615</v>
      </c>
      <c r="Q1993" t="inlineStr">
        <is>
          <t>Brisa Técnica (10615)</t>
        </is>
      </c>
      <c r="R1993" t="inlineStr">
        <is>
          <t>PC-0020</t>
        </is>
      </c>
      <c r="S1993" t="inlineStr">
        <is>
          <t>Gaxeta da porta modelo 03</t>
        </is>
      </c>
      <c r="T1993" t="n">
        <v>1</v>
      </c>
      <c r="U1993" t="n">
        <v>132</v>
      </c>
      <c r="V1993">
        <f>IF(J1993="","",MONTH(J1993))</f>
        <v/>
      </c>
      <c r="W1993">
        <f>IF(J1993="","",YEAR(J1993))</f>
        <v/>
      </c>
      <c r="X1993" t="inlineStr">
        <is>
          <t>TransNorte</t>
        </is>
      </c>
      <c r="Y1993">
        <f>IFERROR(INDEX(Rastreio!$H$2:$H$200,MATCH(X1993&amp;"|"&amp;U1993,Rastreio!$A$2:$A$200,0)),"")</f>
        <v/>
      </c>
    </row>
    <row r="1994">
      <c r="A1994">
        <f>IFERROR(INDEX(STAs!$G$2:$G$61,MATCH(P1994,STAs!$F$2:$F$61,0))&amp;"","")</f>
        <v/>
      </c>
      <c r="B1994" t="n">
        <v>20023269</v>
      </c>
      <c r="C1994" t="inlineStr">
        <is>
          <t>Não</t>
        </is>
      </c>
      <c r="D1994" t="inlineStr">
        <is>
          <t>RJ</t>
        </is>
      </c>
      <c r="E1994" t="inlineStr">
        <is>
          <t>SUDESTE RJ e ES</t>
        </is>
      </c>
      <c r="F1994" t="inlineStr">
        <is>
          <t>Cliente B - Chopeira</t>
        </is>
      </c>
      <c r="G1994" t="inlineStr">
        <is>
          <t>Misturadores</t>
        </is>
      </c>
      <c r="H1994" s="10" t="n">
        <v>265</v>
      </c>
      <c r="I1994" s="10">
        <f>IFERROR(T1994*H1994,0)</f>
        <v/>
      </c>
      <c r="J1994" s="11" t="n">
        <v>46264</v>
      </c>
      <c r="K1994" s="11" t="n">
        <v>46310</v>
      </c>
      <c r="L1994" t="inlineStr">
        <is>
          <t>Ok. Devolvida</t>
        </is>
      </c>
      <c r="M1994">
        <f>IF(L1994="","",IFERROR(VLOOKUP(L1994,mapGrupoStatus,2,0),"Outros"))</f>
        <v/>
      </c>
      <c r="N1994">
        <f>IF(O1994="","",IF(O1994&lt;=30,"0-30 dias",IF(O1994&lt;=60,"31-60 dias",IF(O1994&lt;=90,"61-90 dias","Mais de 90 dias"))))</f>
        <v/>
      </c>
      <c r="O1994">
        <f>IF(OR(M1994="Pendente",M1994="Em andamento"),IF(J1994="","",TODAY()-J1994),"")</f>
        <v/>
      </c>
      <c r="P1994" t="n">
        <v>11059</v>
      </c>
      <c r="Q1994" t="inlineStr">
        <is>
          <t>Frio Ltda (11059)</t>
        </is>
      </c>
      <c r="R1994" t="inlineStr">
        <is>
          <t>PC-0038</t>
        </is>
      </c>
      <c r="S1994" t="inlineStr">
        <is>
          <t>Bomba de recirculação modelo 02</t>
        </is>
      </c>
      <c r="T1994" t="n">
        <v>1</v>
      </c>
      <c r="U1994" t="n">
        <v>138</v>
      </c>
      <c r="V1994">
        <f>IF(J1994="","",MONTH(J1994))</f>
        <v/>
      </c>
      <c r="W1994">
        <f>IF(J1994="","",YEAR(J1994))</f>
        <v/>
      </c>
      <c r="X1994" t="inlineStr">
        <is>
          <t>TransNorte</t>
        </is>
      </c>
      <c r="Y1994">
        <f>IFERROR(INDEX(Rastreio!$H$2:$H$200,MATCH(X1994&amp;"|"&amp;U1994,Rastreio!$A$2:$A$200,0)),"")</f>
        <v/>
      </c>
    </row>
    <row r="1995">
      <c r="A1995">
        <f>IFERROR(INDEX(STAs!$G$2:$G$61,MATCH(P1995,STAs!$F$2:$F$61,0))&amp;"","")</f>
        <v/>
      </c>
      <c r="B1995" t="n">
        <v>20030628</v>
      </c>
      <c r="C1995" t="inlineStr">
        <is>
          <t>Não</t>
        </is>
      </c>
      <c r="D1995" t="inlineStr">
        <is>
          <t>ES</t>
        </is>
      </c>
      <c r="E1995" t="inlineStr">
        <is>
          <t>SUDESTE RJ e ES</t>
        </is>
      </c>
      <c r="F1995" t="inlineStr">
        <is>
          <t>Cliente C - Misturador</t>
        </is>
      </c>
      <c r="G1995" t="inlineStr">
        <is>
          <t>Misturadores</t>
        </is>
      </c>
      <c r="H1995" s="10" t="n">
        <v>50</v>
      </c>
      <c r="I1995" s="10">
        <f>IFERROR(T1995*H1995,0)</f>
        <v/>
      </c>
      <c r="J1995" s="11" t="n">
        <v>46264</v>
      </c>
      <c r="K1995" s="11" t="n">
        <v>46306</v>
      </c>
      <c r="L1995" t="inlineStr">
        <is>
          <t>Ok. Devolvida</t>
        </is>
      </c>
      <c r="M1995">
        <f>IF(L1995="","",IFERROR(VLOOKUP(L1995,mapGrupoStatus,2,0),"Outros"))</f>
        <v/>
      </c>
      <c r="N1995">
        <f>IF(O1995="","",IF(O1995&lt;=30,"0-30 dias",IF(O1995&lt;=60,"31-60 dias",IF(O1995&lt;=90,"61-90 dias","Mais de 90 dias"))))</f>
        <v/>
      </c>
      <c r="O1995">
        <f>IF(OR(M1995="Pendente",M1995="Em andamento"),IF(J1995="","",TODAY()-J1995),"")</f>
        <v/>
      </c>
      <c r="P1995" t="n">
        <v>12555</v>
      </c>
      <c r="Q1995" t="inlineStr">
        <is>
          <t>Cool Service Serviços (12555)</t>
        </is>
      </c>
      <c r="R1995" t="inlineStr">
        <is>
          <t>PC-0044</t>
        </is>
      </c>
      <c r="S1995" t="inlineStr">
        <is>
          <t>Bico dosador modelo 03</t>
        </is>
      </c>
      <c r="T1995" t="n">
        <v>1</v>
      </c>
      <c r="U1995" t="n">
        <v>144</v>
      </c>
      <c r="V1995">
        <f>IF(J1995="","",MONTH(J1995))</f>
        <v/>
      </c>
      <c r="W1995">
        <f>IF(J1995="","",YEAR(J1995))</f>
        <v/>
      </c>
      <c r="X1995" t="inlineStr">
        <is>
          <t>EntregaJá</t>
        </is>
      </c>
      <c r="Y1995">
        <f>IFERROR(INDEX(Rastreio!$H$2:$H$200,MATCH(X1995&amp;"|"&amp;U1995,Rastreio!$A$2:$A$200,0)),"")</f>
        <v/>
      </c>
    </row>
    <row r="1996">
      <c r="A1996">
        <f>IFERROR(INDEX(STAs!$G$2:$G$61,MATCH(P1996,STAs!$F$2:$F$61,0))&amp;"","")</f>
        <v/>
      </c>
      <c r="B1996" t="n">
        <v>20006201</v>
      </c>
      <c r="C1996" t="inlineStr">
        <is>
          <t>Não</t>
        </is>
      </c>
      <c r="D1996" t="inlineStr">
        <is>
          <t>SP</t>
        </is>
      </c>
      <c r="E1996" t="inlineStr">
        <is>
          <t>SUDESTE SP</t>
        </is>
      </c>
      <c r="F1996" t="inlineStr">
        <is>
          <t>Cliente A - Refrigerador</t>
        </is>
      </c>
      <c r="G1996" t="inlineStr">
        <is>
          <t>Refrigeradores</t>
        </is>
      </c>
      <c r="H1996" s="10" t="n">
        <v>35</v>
      </c>
      <c r="I1996" s="10">
        <f>IFERROR(T1996*H1996,0)</f>
        <v/>
      </c>
      <c r="J1996" s="11" t="n">
        <v>46265</v>
      </c>
      <c r="K1996" s="11" t="n">
        <v>46285</v>
      </c>
      <c r="L1996" t="inlineStr">
        <is>
          <t>Ok. Devolvida</t>
        </is>
      </c>
      <c r="M1996">
        <f>IF(L1996="","",IFERROR(VLOOKUP(L1996,mapGrupoStatus,2,0),"Outros"))</f>
        <v/>
      </c>
      <c r="N1996">
        <f>IF(O1996="","",IF(O1996&lt;=30,"0-30 dias",IF(O1996&lt;=60,"31-60 dias",IF(O1996&lt;=90,"61-90 dias","Mais de 90 dias"))))</f>
        <v/>
      </c>
      <c r="O1996">
        <f>IF(OR(M1996="Pendente",M1996="Em andamento"),IF(J1996="","",TODAY()-J1996),"")</f>
        <v/>
      </c>
      <c r="P1996" t="n">
        <v>10413</v>
      </c>
      <c r="Q1996" t="inlineStr">
        <is>
          <t>Polar Manutenção (10413)</t>
        </is>
      </c>
      <c r="R1996" t="inlineStr">
        <is>
          <t>PC-0016</t>
        </is>
      </c>
      <c r="S1996" t="inlineStr">
        <is>
          <t>Filtro secador modelo 02</t>
        </is>
      </c>
      <c r="T1996" t="n">
        <v>1</v>
      </c>
      <c r="U1996" t="n">
        <v>112</v>
      </c>
      <c r="V1996">
        <f>IF(J1996="","",MONTH(J1996))</f>
        <v/>
      </c>
      <c r="W1996">
        <f>IF(J1996="","",YEAR(J1996))</f>
        <v/>
      </c>
      <c r="X1996" t="inlineStr">
        <is>
          <t>EntregaJá</t>
        </is>
      </c>
      <c r="Y1996">
        <f>IFERROR(INDEX(Rastreio!$H$2:$H$200,MATCH(X1996&amp;"|"&amp;U1996,Rastreio!$A$2:$A$200,0)),"")</f>
        <v/>
      </c>
    </row>
    <row r="1997">
      <c r="A1997">
        <f>IFERROR(INDEX(STAs!$G$2:$G$61,MATCH(P1997,STAs!$F$2:$F$61,0))&amp;"","")</f>
        <v/>
      </c>
      <c r="B1997" t="n">
        <v>20008721</v>
      </c>
      <c r="C1997" t="inlineStr">
        <is>
          <t>Não</t>
        </is>
      </c>
      <c r="D1997" t="inlineStr">
        <is>
          <t>PR</t>
        </is>
      </c>
      <c r="E1997" t="inlineStr">
        <is>
          <t>SUL</t>
        </is>
      </c>
      <c r="F1997" t="inlineStr">
        <is>
          <t>Cliente C - Misturador</t>
        </is>
      </c>
      <c r="G1997" t="inlineStr">
        <is>
          <t>Refrigeradores</t>
        </is>
      </c>
      <c r="H1997" s="10" t="n">
        <v>55</v>
      </c>
      <c r="I1997" s="10">
        <f>IFERROR(T1997*H1997,0)</f>
        <v/>
      </c>
      <c r="J1997" s="11" t="n">
        <v>46265</v>
      </c>
      <c r="K1997" s="11" t="n"/>
      <c r="L1997" t="inlineStr">
        <is>
          <t>Em andamento</t>
        </is>
      </c>
      <c r="M1997">
        <f>IF(L1997="","",IFERROR(VLOOKUP(L1997,mapGrupoStatus,2,0),"Outros"))</f>
        <v/>
      </c>
      <c r="N1997">
        <f>IF(O1997="","",IF(O1997&lt;=30,"0-30 dias",IF(O1997&lt;=60,"31-60 dias",IF(O1997&lt;=90,"61-90 dias","Mais de 90 dias"))))</f>
        <v/>
      </c>
      <c r="O1997">
        <f>IF(OR(M1997="Pendente",M1997="Em andamento"),IF(J1997="","",TODAY()-J1997),"")</f>
        <v/>
      </c>
      <c r="P1997" t="n">
        <v>10504</v>
      </c>
      <c r="Q1997" t="inlineStr">
        <is>
          <t>Zero Grau Ltda (10504)</t>
        </is>
      </c>
      <c r="R1997" t="inlineStr">
        <is>
          <t>PC-0008</t>
        </is>
      </c>
      <c r="S1997" t="inlineStr">
        <is>
          <t>Ventilador modelo 02</t>
        </is>
      </c>
      <c r="T1997" t="n">
        <v>1</v>
      </c>
      <c r="U1997" t="n">
        <v>115</v>
      </c>
      <c r="V1997">
        <f>IF(J1997="","",MONTH(J1997))</f>
        <v/>
      </c>
      <c r="W1997">
        <f>IF(J1997="","",YEAR(J1997))</f>
        <v/>
      </c>
      <c r="X1997" t="inlineStr">
        <is>
          <t>LogExpress</t>
        </is>
      </c>
      <c r="Y1997">
        <f>IFERROR(INDEX(Rastreio!$H$2:$H$200,MATCH(X1997&amp;"|"&amp;U1997,Rastreio!$A$2:$A$200,0)),"")</f>
        <v/>
      </c>
    </row>
    <row r="1998">
      <c r="A1998">
        <f>IFERROR(INDEX(STAs!$G$2:$G$61,MATCH(P1998,STAs!$F$2:$F$61,0))&amp;"","")</f>
        <v/>
      </c>
      <c r="B1998" t="n">
        <v>20009368</v>
      </c>
      <c r="C1998" t="inlineStr">
        <is>
          <t>Não</t>
        </is>
      </c>
      <c r="D1998" t="inlineStr">
        <is>
          <t>PR</t>
        </is>
      </c>
      <c r="E1998" t="inlineStr">
        <is>
          <t>SUL</t>
        </is>
      </c>
      <c r="F1998" t="inlineStr">
        <is>
          <t>Cliente A - Refrigerador</t>
        </is>
      </c>
      <c r="G1998" t="inlineStr">
        <is>
          <t>Chopeiras</t>
        </is>
      </c>
      <c r="H1998" s="10" t="n">
        <v>85</v>
      </c>
      <c r="I1998" s="10">
        <f>IFERROR(T1998*H1998,0)</f>
        <v/>
      </c>
      <c r="J1998" s="11" t="n">
        <v>46265</v>
      </c>
      <c r="K1998" s="11" t="n"/>
      <c r="L1998" t="inlineStr">
        <is>
          <t>Aguardando Transporte</t>
        </is>
      </c>
      <c r="M1998">
        <f>IF(L1998="","",IFERROR(VLOOKUP(L1998,mapGrupoStatus,2,0),"Outros"))</f>
        <v/>
      </c>
      <c r="N1998">
        <f>IF(O1998="","",IF(O1998&lt;=30,"0-30 dias",IF(O1998&lt;=60,"31-60 dias",IF(O1998&lt;=90,"61-90 dias","Mais de 90 dias"))))</f>
        <v/>
      </c>
      <c r="O1998">
        <f>IF(OR(M1998="Pendente",M1998="Em andamento"),IF(J1998="","",TODAY()-J1998),"")</f>
        <v/>
      </c>
      <c r="P1998" t="n">
        <v>12089</v>
      </c>
      <c r="Q1998" t="inlineStr">
        <is>
          <t>Termotec Serviços (12089)</t>
        </is>
      </c>
      <c r="R1998" t="inlineStr">
        <is>
          <t>PC-0036</t>
        </is>
      </c>
      <c r="S1998" t="inlineStr">
        <is>
          <t>Válvula extratora modelo 02</t>
        </is>
      </c>
      <c r="T1998" t="n">
        <v>1</v>
      </c>
      <c r="U1998" t="n">
        <v>117</v>
      </c>
      <c r="V1998">
        <f>IF(J1998="","",MONTH(J1998))</f>
        <v/>
      </c>
      <c r="W1998">
        <f>IF(J1998="","",YEAR(J1998))</f>
        <v/>
      </c>
      <c r="X1998" t="inlineStr">
        <is>
          <t>CargoMax</t>
        </is>
      </c>
      <c r="Y1998">
        <f>IFERROR(INDEX(Rastreio!$H$2:$H$200,MATCH(X1998&amp;"|"&amp;U1998,Rastreio!$A$2:$A$200,0)),"")</f>
        <v/>
      </c>
    </row>
    <row r="1999">
      <c r="A1999">
        <f>IFERROR(INDEX(STAs!$G$2:$G$61,MATCH(P1999,STAs!$F$2:$F$61,0))&amp;"","")</f>
        <v/>
      </c>
      <c r="B1999" t="n">
        <v>20016271</v>
      </c>
      <c r="C1999" t="inlineStr">
        <is>
          <t>Não</t>
        </is>
      </c>
      <c r="D1999" t="inlineStr">
        <is>
          <t>PR</t>
        </is>
      </c>
      <c r="E1999" t="inlineStr">
        <is>
          <t>SUL</t>
        </is>
      </c>
      <c r="F1999" t="inlineStr">
        <is>
          <t>Cliente C - Misturador</t>
        </is>
      </c>
      <c r="G1999" t="inlineStr">
        <is>
          <t>Misturadores</t>
        </is>
      </c>
      <c r="H1999" s="10" t="n">
        <v>200</v>
      </c>
      <c r="I1999" s="10">
        <f>IFERROR(T1999*H1999,0)</f>
        <v/>
      </c>
      <c r="J1999" s="11" t="n">
        <v>46265</v>
      </c>
      <c r="K1999" s="11" t="n">
        <v>46281</v>
      </c>
      <c r="L1999" t="inlineStr">
        <is>
          <t>Ok. Devolvida</t>
        </is>
      </c>
      <c r="M1999">
        <f>IF(L1999="","",IFERROR(VLOOKUP(L1999,mapGrupoStatus,2,0),"Outros"))</f>
        <v/>
      </c>
      <c r="N1999">
        <f>IF(O1999="","",IF(O1999&lt;=30,"0-30 dias",IF(O1999&lt;=60,"31-60 dias",IF(O1999&lt;=90,"61-90 dias","Mais de 90 dias"))))</f>
        <v/>
      </c>
      <c r="O1999">
        <f>IF(OR(M1999="Pendente",M1999="Em andamento"),IF(J1999="","",TODAY()-J1999),"")</f>
        <v/>
      </c>
      <c r="P1999" t="n">
        <v>10504</v>
      </c>
      <c r="Q1999" t="inlineStr">
        <is>
          <t>Zero Grau Ltda (10504)</t>
        </is>
      </c>
      <c r="R1999" t="inlineStr">
        <is>
          <t>PC-0040</t>
        </is>
      </c>
      <c r="S1999" t="inlineStr">
        <is>
          <t>Motor agitador modelo 01</t>
        </is>
      </c>
      <c r="T1999" t="n">
        <v>2</v>
      </c>
      <c r="U1999" t="n">
        <v>125</v>
      </c>
      <c r="V1999">
        <f>IF(J1999="","",MONTH(J1999))</f>
        <v/>
      </c>
      <c r="W1999">
        <f>IF(J1999="","",YEAR(J1999))</f>
        <v/>
      </c>
      <c r="X1999" t="inlineStr">
        <is>
          <t>TransNorte</t>
        </is>
      </c>
      <c r="Y1999">
        <f>IFERROR(INDEX(Rastreio!$H$2:$H$200,MATCH(X1999&amp;"|"&amp;U1999,Rastreio!$A$2:$A$200,0)),"")</f>
        <v/>
      </c>
    </row>
    <row r="2000">
      <c r="A2000">
        <f>IFERROR(INDEX(STAs!$G$2:$G$61,MATCH(P2000,STAs!$F$2:$F$61,0))&amp;"","")</f>
        <v/>
      </c>
      <c r="B2000" t="n">
        <v>20024318</v>
      </c>
      <c r="C2000" t="inlineStr">
        <is>
          <t>Não</t>
        </is>
      </c>
      <c r="D2000" t="inlineStr">
        <is>
          <t>BA</t>
        </is>
      </c>
      <c r="E2000" t="inlineStr">
        <is>
          <t>NORDESTE</t>
        </is>
      </c>
      <c r="F2000" t="inlineStr">
        <is>
          <t>Cliente A - Refrigerador</t>
        </is>
      </c>
      <c r="G2000" t="inlineStr">
        <is>
          <t>Refrigeradores</t>
        </is>
      </c>
      <c r="H2000" s="10" t="n">
        <v>45</v>
      </c>
      <c r="I2000" s="10">
        <f>IFERROR(T2000*H2000,0)</f>
        <v/>
      </c>
      <c r="J2000" s="11" t="n">
        <v>46265</v>
      </c>
      <c r="K2000" s="11" t="n">
        <v>46290</v>
      </c>
      <c r="L2000" t="inlineStr">
        <is>
          <t>Ok. Devolvida</t>
        </is>
      </c>
      <c r="M2000">
        <f>IF(L2000="","",IFERROR(VLOOKUP(L2000,mapGrupoStatus,2,0),"Outros"))</f>
        <v/>
      </c>
      <c r="N2000">
        <f>IF(O2000="","",IF(O2000&lt;=30,"0-30 dias",IF(O2000&lt;=60,"31-60 dias",IF(O2000&lt;=90,"61-90 dias","Mais de 90 dias"))))</f>
        <v/>
      </c>
      <c r="O2000">
        <f>IF(OR(M2000="Pendente",M2000="Em andamento"),IF(J2000="","",TODAY()-J2000),"")</f>
        <v/>
      </c>
      <c r="P2000" t="n">
        <v>11244</v>
      </c>
      <c r="Q2000" t="inlineStr">
        <is>
          <t>Refrigeração Manutenção (11244)</t>
        </is>
      </c>
      <c r="R2000" t="inlineStr">
        <is>
          <t>PC-0018</t>
        </is>
      </c>
      <c r="S2000" t="inlineStr">
        <is>
          <t>Gaxeta da porta modelo 01</t>
        </is>
      </c>
      <c r="T2000" t="n">
        <v>1</v>
      </c>
      <c r="U2000" t="n">
        <v>144</v>
      </c>
      <c r="V2000">
        <f>IF(J2000="","",MONTH(J2000))</f>
        <v/>
      </c>
      <c r="W2000">
        <f>IF(J2000="","",YEAR(J2000))</f>
        <v/>
      </c>
      <c r="X2000" t="inlineStr">
        <is>
          <t>LogExpress</t>
        </is>
      </c>
      <c r="Y2000">
        <f>IFERROR(INDEX(Rastreio!$H$2:$H$200,MATCH(X2000&amp;"|"&amp;U2000,Rastreio!$A$2:$A$200,0)),"")</f>
        <v/>
      </c>
    </row>
    <row r="2001">
      <c r="A2001">
        <f>IFERROR(INDEX(STAs!$G$2:$G$61,MATCH(P2001,STAs!$F$2:$F$61,0))&amp;"","")</f>
        <v/>
      </c>
      <c r="B2001" t="n">
        <v>20040654</v>
      </c>
      <c r="C2001" t="inlineStr">
        <is>
          <t>Não</t>
        </is>
      </c>
      <c r="D2001" t="inlineStr">
        <is>
          <t>TO</t>
        </is>
      </c>
      <c r="E2001" t="inlineStr">
        <is>
          <t>NORTE</t>
        </is>
      </c>
      <c r="F2001" t="inlineStr">
        <is>
          <t>Cliente C - Misturador</t>
        </is>
      </c>
      <c r="G2001" t="inlineStr">
        <is>
          <t>Refrigeradores</t>
        </is>
      </c>
      <c r="H2001" s="10" t="n">
        <v>155</v>
      </c>
      <c r="I2001" s="10">
        <f>IFERROR(T2001*H2001,0)</f>
        <v/>
      </c>
      <c r="J2001" s="11" t="n">
        <v>46265</v>
      </c>
      <c r="K2001" s="11" t="n"/>
      <c r="L2001" t="inlineStr">
        <is>
          <t>Não Devolve-Norte</t>
        </is>
      </c>
      <c r="M2001">
        <f>IF(L2001="","",IFERROR(VLOOKUP(L2001,mapGrupoStatus,2,0),"Outros"))</f>
        <v/>
      </c>
      <c r="N2001">
        <f>IF(O2001="","",IF(O2001&lt;=30,"0-30 dias",IF(O2001&lt;=60,"31-60 dias",IF(O2001&lt;=90,"61-90 dias","Mais de 90 dias"))))</f>
        <v/>
      </c>
      <c r="O2001">
        <f>IF(OR(M2001="Pendente",M2001="Em andamento"),IF(J2001="","",TODAY()-J2001),"")</f>
        <v/>
      </c>
      <c r="P2001" t="n">
        <v>10939</v>
      </c>
      <c r="Q2001" t="inlineStr">
        <is>
          <t>Zero Grau Manutenção (10939)</t>
        </is>
      </c>
      <c r="R2001" t="inlineStr">
        <is>
          <t>PC-0021</t>
        </is>
      </c>
      <c r="S2001" t="inlineStr">
        <is>
          <t>Controlador digital modelo 01</t>
        </is>
      </c>
      <c r="T2001" t="n">
        <v>1</v>
      </c>
      <c r="U2001" t="inlineStr"/>
      <c r="V2001">
        <f>IF(J2001="","",MONTH(J2001))</f>
        <v/>
      </c>
      <c r="W2001">
        <f>IF(J2001="","",YEAR(J2001))</f>
        <v/>
      </c>
      <c r="X2001" t="inlineStr"/>
      <c r="Y2001">
        <f>IFERROR(INDEX(Rastreio!$H$2:$H$200,MATCH(X2001&amp;"|"&amp;U2001,Rastreio!$A$2:$A$200,0)),"")</f>
        <v/>
      </c>
    </row>
  </sheetData>
  <dataValidations count="5">
    <dataValidation sqref="L2:L2001" showDropDown="0" showInputMessage="0" showErrorMessage="0" allowBlank="1" errorTitle="Valor fora da lista" error="Escolha um valor da lista oficial (aba Parametros)." type="list">
      <formula1>=Parametros!$M$4:$M$12</formula1>
    </dataValidation>
    <dataValidation sqref="X2:X2001" showDropDown="0" showInputMessage="0" showErrorMessage="0" allowBlank="1" errorTitle="Valor fora da lista" error="Escolha um valor da lista oficial (aba Parametros)." type="list">
      <formula1>=Parametros!$E$4:$E$9</formula1>
    </dataValidation>
    <dataValidation sqref="E2:E2001" showDropDown="0" showInputMessage="0" showErrorMessage="0" allowBlank="1" errorTitle="Valor fora da lista" error="Escolha um valor da lista oficial (aba Parametros)." type="list">
      <formula1>=Parametros!$G$4:$G$10</formula1>
    </dataValidation>
    <dataValidation sqref="G2:G2001" showDropDown="0" showInputMessage="0" showErrorMessage="0" allowBlank="1" errorTitle="Valor fora da lista" error="Escolha um valor da lista oficial (aba Parametros)." type="list">
      <formula1>=Parametros!$I$4:$I$6</formula1>
    </dataValidation>
    <dataValidation sqref="C2:C2001" showDropDown="0" showInputMessage="0" showErrorMessage="0" allowBlank="1" errorTitle="Valor fora da lista" error="Escolha um valor da lista oficial (aba Parametros)." type="list">
      <formula1>=Parametros!$K$4:$K$5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3" max="3"/>
    <col width="16" customWidth="1" min="5" max="5"/>
    <col width="18" customWidth="1" min="7" max="7"/>
    <col width="16" customWidth="1" min="9" max="9"/>
    <col width="8" customWidth="1" min="11" max="11"/>
    <col width="22" customWidth="1" min="13" max="13"/>
    <col width="16" customWidth="1" min="14" max="14"/>
    <col width="58" customWidth="1" min="15" max="15"/>
    <col width="60" customWidth="1" min="16" max="16"/>
  </cols>
  <sheetData>
    <row r="1">
      <c r="A1" s="12" t="inlineStr">
        <is>
          <t>Listas oficiais (usadas na validação de dados da Base_RPTG) e configurações das macros</t>
        </is>
      </c>
    </row>
    <row r="2">
      <c r="A2" t="inlineStr">
        <is>
          <t>Envio Automático Ativo:</t>
        </is>
      </c>
      <c r="B2" t="inlineStr">
        <is>
          <t>NAO</t>
        </is>
      </c>
    </row>
    <row r="3">
      <c r="A3" t="inlineStr">
        <is>
          <t>Dia da Semana (2=Seg..6=Sex, 8=Diário):</t>
        </is>
      </c>
      <c r="B3" t="n">
        <v>3</v>
      </c>
      <c r="C3" s="3" t="inlineStr">
        <is>
          <t>Grupo_Status</t>
        </is>
      </c>
      <c r="E3" s="3" t="inlineStr">
        <is>
          <t>Transportadora</t>
        </is>
      </c>
      <c r="G3" s="3" t="inlineStr">
        <is>
          <t>Coordenador</t>
        </is>
      </c>
      <c r="I3" s="3" t="inlineStr">
        <is>
          <t>Tipo</t>
        </is>
      </c>
      <c r="K3" s="3" t="inlineStr">
        <is>
          <t>MEI</t>
        </is>
      </c>
      <c r="M3" s="3" t="inlineStr">
        <is>
          <t>Status</t>
        </is>
      </c>
      <c r="N3" s="3" t="inlineStr">
        <is>
          <t>Grupo_Status</t>
        </is>
      </c>
      <c r="O3" s="13" t="inlineStr">
        <is>
          <t>Configurações usadas pelas macros VBA</t>
        </is>
      </c>
    </row>
    <row r="4">
      <c r="A4" t="inlineStr">
        <is>
          <t>Horário de Disparo:</t>
        </is>
      </c>
      <c r="B4" t="inlineStr">
        <is>
          <t>09:30</t>
        </is>
      </c>
      <c r="C4" t="inlineStr">
        <is>
          <t>Concluído</t>
        </is>
      </c>
      <c r="E4" t="inlineStr">
        <is>
          <t>LogExpress</t>
        </is>
      </c>
      <c r="G4" t="inlineStr">
        <is>
          <t>CENTRO OESTE</t>
        </is>
      </c>
      <c r="I4" t="inlineStr">
        <is>
          <t>Refrigeradores</t>
        </is>
      </c>
      <c r="K4" t="inlineStr">
        <is>
          <t>Não</t>
        </is>
      </c>
      <c r="M4" t="inlineStr">
        <is>
          <t>Ok. Devolvida</t>
        </is>
      </c>
      <c r="N4" t="inlineStr">
        <is>
          <t>Concluído</t>
        </is>
      </c>
      <c r="O4" t="inlineStr">
        <is>
          <t>CNPJ do tomador do frete (rastreio Braspress) — só números</t>
        </is>
      </c>
      <c r="P4" t="inlineStr">
        <is>
          <t>00000000000000</t>
        </is>
      </c>
    </row>
    <row r="5">
      <c r="A5" t="inlineStr">
        <is>
          <t>Status oficiais:</t>
        </is>
      </c>
      <c r="C5" t="inlineStr">
        <is>
          <t>Em andamento</t>
        </is>
      </c>
      <c r="E5" t="inlineStr">
        <is>
          <t>TransNorte</t>
        </is>
      </c>
      <c r="G5" t="inlineStr">
        <is>
          <t>NORDESTE</t>
        </is>
      </c>
      <c r="I5" t="inlineStr">
        <is>
          <t>Chopeiras</t>
        </is>
      </c>
      <c r="K5" t="inlineStr">
        <is>
          <t>Sim</t>
        </is>
      </c>
      <c r="M5" t="inlineStr">
        <is>
          <t>Em transporte</t>
        </is>
      </c>
      <c r="N5" t="inlineStr">
        <is>
          <t>Em andamento</t>
        </is>
      </c>
    </row>
    <row r="6">
      <c r="A6" t="inlineStr">
        <is>
          <t>Aguardando Transporte</t>
        </is>
      </c>
      <c r="C6" t="inlineStr">
        <is>
          <t>Pendente</t>
        </is>
      </c>
      <c r="E6" t="inlineStr">
        <is>
          <t>ViaCargo</t>
        </is>
      </c>
      <c r="G6" t="inlineStr">
        <is>
          <t>NORTE</t>
        </is>
      </c>
      <c r="I6" t="inlineStr">
        <is>
          <t>Misturadores</t>
        </is>
      </c>
      <c r="M6" t="inlineStr">
        <is>
          <t>Em andamento</t>
        </is>
      </c>
      <c r="N6" t="inlineStr">
        <is>
          <t>Em andamento</t>
        </is>
      </c>
      <c r="O6" t="inlineStr">
        <is>
          <t>Caminho da imagem do banner da assinatura (opcional)</t>
        </is>
      </c>
      <c r="P6" t="inlineStr"/>
    </row>
    <row r="7">
      <c r="A7" t="inlineStr">
        <is>
          <t>Aguardando devolução</t>
        </is>
      </c>
      <c r="C7" t="inlineStr">
        <is>
          <t>Perda / Débito</t>
        </is>
      </c>
      <c r="E7" t="inlineStr">
        <is>
          <t>RotaSul</t>
        </is>
      </c>
      <c r="G7" t="inlineStr">
        <is>
          <t>SUDESTE MG</t>
        </is>
      </c>
      <c r="M7" t="inlineStr">
        <is>
          <t>Aguardando Transporte</t>
        </is>
      </c>
      <c r="N7" t="inlineStr">
        <is>
          <t>Em andamento</t>
        </is>
      </c>
    </row>
    <row r="8">
      <c r="A8" t="inlineStr">
        <is>
          <t>Debitar do STA</t>
        </is>
      </c>
      <c r="C8" t="inlineStr">
        <is>
          <t>Não aplicável</t>
        </is>
      </c>
      <c r="E8" t="inlineStr">
        <is>
          <t>CargoMax</t>
        </is>
      </c>
      <c r="G8" t="inlineStr">
        <is>
          <t>SUDESTE RJ e ES</t>
        </is>
      </c>
      <c r="M8" t="inlineStr">
        <is>
          <t>Aguardando devolução</t>
        </is>
      </c>
      <c r="N8" t="inlineStr">
        <is>
          <t>Pendente</t>
        </is>
      </c>
      <c r="O8" t="inlineStr">
        <is>
          <t>Mês de referência do comunicado</t>
        </is>
      </c>
      <c r="P8" s="11" t="n">
        <v>46174</v>
      </c>
    </row>
    <row r="9">
      <c r="A9" t="inlineStr">
        <is>
          <t>Em andamento</t>
        </is>
      </c>
      <c r="E9" t="inlineStr">
        <is>
          <t>EntregaJá</t>
        </is>
      </c>
      <c r="G9" t="inlineStr">
        <is>
          <t>SUDESTE SP</t>
        </is>
      </c>
      <c r="M9" t="inlineStr">
        <is>
          <t>NF Vencida</t>
        </is>
      </c>
      <c r="N9" t="inlineStr">
        <is>
          <t>Pendente</t>
        </is>
      </c>
      <c r="O9" t="inlineStr">
        <is>
          <t>Link da tabela de códigos</t>
        </is>
      </c>
      <c r="P9" t="inlineStr">
        <is>
          <t>https://exemplo.com.br/tabela-codigos</t>
        </is>
      </c>
    </row>
    <row r="10">
      <c r="A10" t="inlineStr">
        <is>
          <t>Em transporte</t>
        </is>
      </c>
      <c r="G10" t="inlineStr">
        <is>
          <t>SUL</t>
        </is>
      </c>
      <c r="M10" t="inlineStr">
        <is>
          <t>Debitar do STA</t>
        </is>
      </c>
      <c r="N10" t="inlineStr">
        <is>
          <t>Perda / Débito</t>
        </is>
      </c>
      <c r="O10" t="inlineStr">
        <is>
          <t>Texto do bloco Atenção!</t>
        </is>
      </c>
      <c r="P10" t="inlineStr">
        <is>
          <t>Caso algum STA esteja com devolução de {MES_REF} pendente, encaminhe a nota até {DATA_NOTA}; peças de {MES_ANT} devem ser enviadas até {DATA_PECAS}.</t>
        </is>
      </c>
    </row>
    <row r="11">
      <c r="A11" t="inlineStr">
        <is>
          <t>NF Vencida</t>
        </is>
      </c>
      <c r="M11" t="inlineStr">
        <is>
          <t>Não Devolve-Norte</t>
        </is>
      </c>
      <c r="N11" t="inlineStr">
        <is>
          <t>Não aplicável</t>
        </is>
      </c>
      <c r="O11" t="inlineStr">
        <is>
          <t>CONSULTORES POR REGIÃO (região na coluna O, e-mails em Cc na coluna P)</t>
        </is>
      </c>
    </row>
    <row r="12">
      <c r="A12" t="inlineStr">
        <is>
          <t>NPD</t>
        </is>
      </c>
      <c r="M12" t="inlineStr">
        <is>
          <t>NPD</t>
        </is>
      </c>
      <c r="N12" t="inlineStr">
        <is>
          <t>Não aplicável</t>
        </is>
      </c>
      <c r="O12" t="inlineStr">
        <is>
          <t>Sul</t>
        </is>
      </c>
      <c r="P12" t="inlineStr">
        <is>
          <t>consultor.sul1@exemplo.com.br; consultor.sul2@exemplo.com.br</t>
        </is>
      </c>
    </row>
    <row r="13">
      <c r="A13" t="inlineStr">
        <is>
          <t>Não Devolve-Norte</t>
        </is>
      </c>
      <c r="O13" t="inlineStr">
        <is>
          <t>Sudeste</t>
        </is>
      </c>
      <c r="P13" t="inlineStr">
        <is>
          <t>consultor.sudeste1@exemplo.com.br; consultor.sudeste2@exemplo.com.br</t>
        </is>
      </c>
    </row>
    <row r="14">
      <c r="A14" t="inlineStr">
        <is>
          <t>Ok. Devolvida</t>
        </is>
      </c>
      <c r="O14" t="inlineStr">
        <is>
          <t>Nordeste</t>
        </is>
      </c>
      <c r="P14" t="inlineStr">
        <is>
          <t>consultor.nordeste1@exemplo.com.br</t>
        </is>
      </c>
    </row>
    <row r="15">
      <c r="O15" t="inlineStr">
        <is>
          <t>Centro oeste</t>
        </is>
      </c>
      <c r="P15" t="inlineStr">
        <is>
          <t>consultor.co1@exemplo.com.br</t>
        </is>
      </c>
    </row>
    <row r="16">
      <c r="O16" t="inlineStr">
        <is>
          <t>Pasta dos PDFs anexados</t>
        </is>
      </c>
      <c r="P16" t="inlineStr">
        <is>
          <t>C:\Comunicados_STAs</t>
        </is>
      </c>
    </row>
    <row r="20">
      <c r="O20" t="inlineStr">
        <is>
          <t>E-mail do Financeiro (planilha de débito)</t>
        </is>
      </c>
      <c r="P20" t="inlineStr">
        <is>
          <t>financeiro@exemplo.com.br</t>
        </is>
      </c>
    </row>
    <row r="21">
      <c r="O21" t="inlineStr">
        <is>
          <t>Pasta onde salvar a planilha de débito (vazio = pasta desta planilha)</t>
        </is>
      </c>
      <c r="P21" t="inlineStr"/>
    </row>
    <row r="23">
      <c r="O23" t="inlineStr">
        <is>
          <t>Cobrança semanal - último envio automático</t>
        </is>
      </c>
    </row>
    <row r="24">
      <c r="O24" t="inlineStr">
        <is>
          <t>Cobrança automática - dia da semana (1=dom ... 7=sáb)</t>
        </is>
      </c>
      <c r="P24" t="n">
        <v>3</v>
      </c>
    </row>
    <row r="25">
      <c r="O25" t="inlineStr">
        <is>
          <t>Cobrança automática - horário</t>
        </is>
      </c>
      <c r="P25" t="inlineStr">
        <is>
          <t>09:00</t>
        </is>
      </c>
    </row>
    <row r="26">
      <c r="O26" t="inlineStr">
        <is>
          <t>Cobrança automática - intervalo em dias</t>
        </is>
      </c>
      <c r="P2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2" t="inlineStr">
        <is>
          <t>Itens por status e mês (fórmulas — atualiza sozinho ao editar a Base_RPTG)</t>
        </is>
      </c>
    </row>
    <row r="3">
      <c r="A3" s="3" t="inlineStr">
        <is>
          <t>Status</t>
        </is>
      </c>
      <c r="B3" s="3" t="inlineStr">
        <is>
          <t>2025-09</t>
        </is>
      </c>
      <c r="C3" s="3" t="inlineStr">
        <is>
          <t>2025-10</t>
        </is>
      </c>
      <c r="D3" s="3" t="inlineStr">
        <is>
          <t>2025-11</t>
        </is>
      </c>
      <c r="E3" s="3" t="inlineStr">
        <is>
          <t>2025-12</t>
        </is>
      </c>
      <c r="F3" s="3" t="inlineStr">
        <is>
          <t>2026-01</t>
        </is>
      </c>
      <c r="G3" s="3" t="inlineStr">
        <is>
          <t>2026-02</t>
        </is>
      </c>
      <c r="H3" s="3" t="inlineStr">
        <is>
          <t>2026-03</t>
        </is>
      </c>
      <c r="I3" s="3" t="inlineStr">
        <is>
          <t>2026-04</t>
        </is>
      </c>
      <c r="J3" s="3" t="inlineStr">
        <is>
          <t>2026-05</t>
        </is>
      </c>
      <c r="K3" s="3" t="inlineStr">
        <is>
          <t>2026-06</t>
        </is>
      </c>
      <c r="L3" s="3" t="inlineStr">
        <is>
          <t>2026-07</t>
        </is>
      </c>
      <c r="M3" s="3" t="inlineStr">
        <is>
          <t>2026-08</t>
        </is>
      </c>
      <c r="N3" s="3" t="inlineStr">
        <is>
          <t>2026-09</t>
        </is>
      </c>
      <c r="O3" s="3" t="inlineStr">
        <is>
          <t>2026-10</t>
        </is>
      </c>
      <c r="P3" s="3" t="inlineStr">
        <is>
          <t>2026-11</t>
        </is>
      </c>
      <c r="Q3" s="3" t="inlineStr">
        <is>
          <t>2026-12</t>
        </is>
      </c>
      <c r="R3" s="3" t="inlineStr">
        <is>
          <t>Total</t>
        </is>
      </c>
    </row>
    <row r="4">
      <c r="A4" t="inlineStr">
        <is>
          <t>Aguardando Transporte</t>
        </is>
      </c>
      <c r="B4">
        <f>SUMIFS(tblBase[QTD],tblBase[Status],$A4,tblBase[Ano],2025,tblBase[Mes],9)</f>
        <v/>
      </c>
      <c r="C4">
        <f>SUMIFS(tblBase[QTD],tblBase[Status],$A4,tblBase[Ano],2025,tblBase[Mes],10)</f>
        <v/>
      </c>
      <c r="D4">
        <f>SUMIFS(tblBase[QTD],tblBase[Status],$A4,tblBase[Ano],2025,tblBase[Mes],11)</f>
        <v/>
      </c>
      <c r="E4">
        <f>SUMIFS(tblBase[QTD],tblBase[Status],$A4,tblBase[Ano],2025,tblBase[Mes],12)</f>
        <v/>
      </c>
      <c r="F4">
        <f>SUMIFS(tblBase[QTD],tblBase[Status],$A4,tblBase[Ano],2026,tblBase[Mes],1)</f>
        <v/>
      </c>
      <c r="G4">
        <f>SUMIFS(tblBase[QTD],tblBase[Status],$A4,tblBase[Ano],2026,tblBase[Mes],2)</f>
        <v/>
      </c>
      <c r="H4">
        <f>SUMIFS(tblBase[QTD],tblBase[Status],$A4,tblBase[Ano],2026,tblBase[Mes],3)</f>
        <v/>
      </c>
      <c r="I4">
        <f>SUMIFS(tblBase[QTD],tblBase[Status],$A4,tblBase[Ano],2026,tblBase[Mes],4)</f>
        <v/>
      </c>
      <c r="J4">
        <f>SUMIFS(tblBase[QTD],tblBase[Status],$A4,tblBase[Ano],2026,tblBase[Mes],5)</f>
        <v/>
      </c>
      <c r="K4">
        <f>SUMIFS(tblBase[QTD],tblBase[Status],$A4,tblBase[Ano],2026,tblBase[Mes],6)</f>
        <v/>
      </c>
      <c r="L4">
        <f>SUMIFS(tblBase[QTD],tblBase[Status],$A4,tblBase[Ano],2026,tblBase[Mes],7)</f>
        <v/>
      </c>
      <c r="M4">
        <f>SUMIFS(tblBase[QTD],tblBase[Status],$A4,tblBase[Ano],2026,tblBase[Mes],8)</f>
        <v/>
      </c>
      <c r="N4">
        <f>SUMIFS(tblBase[QTD],tblBase[Status],$A4,tblBase[Ano],2026,tblBase[Mes],9)</f>
        <v/>
      </c>
      <c r="O4">
        <f>SUMIFS(tblBase[QTD],tblBase[Status],$A4,tblBase[Ano],2026,tblBase[Mes],10)</f>
        <v/>
      </c>
      <c r="P4">
        <f>SUMIFS(tblBase[QTD],tblBase[Status],$A4,tblBase[Ano],2026,tblBase[Mes],11)</f>
        <v/>
      </c>
      <c r="Q4">
        <f>SUMIFS(tblBase[QTD],tblBase[Status],$A4,tblBase[Ano],2026,tblBase[Mes],12)</f>
        <v/>
      </c>
      <c r="R4">
        <f>SUM(B4:Q4)</f>
        <v/>
      </c>
    </row>
    <row r="5">
      <c r="A5" t="inlineStr">
        <is>
          <t>Aguardando devolução</t>
        </is>
      </c>
      <c r="B5">
        <f>SUMIFS(tblBase[QTD],tblBase[Status],$A5,tblBase[Ano],2025,tblBase[Mes],9)</f>
        <v/>
      </c>
      <c r="C5">
        <f>SUMIFS(tblBase[QTD],tblBase[Status],$A5,tblBase[Ano],2025,tblBase[Mes],10)</f>
        <v/>
      </c>
      <c r="D5">
        <f>SUMIFS(tblBase[QTD],tblBase[Status],$A5,tblBase[Ano],2025,tblBase[Mes],11)</f>
        <v/>
      </c>
      <c r="E5">
        <f>SUMIFS(tblBase[QTD],tblBase[Status],$A5,tblBase[Ano],2025,tblBase[Mes],12)</f>
        <v/>
      </c>
      <c r="F5">
        <f>SUMIFS(tblBase[QTD],tblBase[Status],$A5,tblBase[Ano],2026,tblBase[Mes],1)</f>
        <v/>
      </c>
      <c r="G5">
        <f>SUMIFS(tblBase[QTD],tblBase[Status],$A5,tblBase[Ano],2026,tblBase[Mes],2)</f>
        <v/>
      </c>
      <c r="H5">
        <f>SUMIFS(tblBase[QTD],tblBase[Status],$A5,tblBase[Ano],2026,tblBase[Mes],3)</f>
        <v/>
      </c>
      <c r="I5">
        <f>SUMIFS(tblBase[QTD],tblBase[Status],$A5,tblBase[Ano],2026,tblBase[Mes],4)</f>
        <v/>
      </c>
      <c r="J5">
        <f>SUMIFS(tblBase[QTD],tblBase[Status],$A5,tblBase[Ano],2026,tblBase[Mes],5)</f>
        <v/>
      </c>
      <c r="K5">
        <f>SUMIFS(tblBase[QTD],tblBase[Status],$A5,tblBase[Ano],2026,tblBase[Mes],6)</f>
        <v/>
      </c>
      <c r="L5">
        <f>SUMIFS(tblBase[QTD],tblBase[Status],$A5,tblBase[Ano],2026,tblBase[Mes],7)</f>
        <v/>
      </c>
      <c r="M5">
        <f>SUMIFS(tblBase[QTD],tblBase[Status],$A5,tblBase[Ano],2026,tblBase[Mes],8)</f>
        <v/>
      </c>
      <c r="N5">
        <f>SUMIFS(tblBase[QTD],tblBase[Status],$A5,tblBase[Ano],2026,tblBase[Mes],9)</f>
        <v/>
      </c>
      <c r="O5">
        <f>SUMIFS(tblBase[QTD],tblBase[Status],$A5,tblBase[Ano],2026,tblBase[Mes],10)</f>
        <v/>
      </c>
      <c r="P5">
        <f>SUMIFS(tblBase[QTD],tblBase[Status],$A5,tblBase[Ano],2026,tblBase[Mes],11)</f>
        <v/>
      </c>
      <c r="Q5">
        <f>SUMIFS(tblBase[QTD],tblBase[Status],$A5,tblBase[Ano],2026,tblBase[Mes],12)</f>
        <v/>
      </c>
      <c r="R5">
        <f>SUM(B5:Q5)</f>
        <v/>
      </c>
    </row>
    <row r="6">
      <c r="A6" t="inlineStr">
        <is>
          <t>Debitar do STA</t>
        </is>
      </c>
      <c r="B6">
        <f>SUMIFS(tblBase[QTD],tblBase[Status],$A6,tblBase[Ano],2025,tblBase[Mes],9)</f>
        <v/>
      </c>
      <c r="C6">
        <f>SUMIFS(tblBase[QTD],tblBase[Status],$A6,tblBase[Ano],2025,tblBase[Mes],10)</f>
        <v/>
      </c>
      <c r="D6">
        <f>SUMIFS(tblBase[QTD],tblBase[Status],$A6,tblBase[Ano],2025,tblBase[Mes],11)</f>
        <v/>
      </c>
      <c r="E6">
        <f>SUMIFS(tblBase[QTD],tblBase[Status],$A6,tblBase[Ano],2025,tblBase[Mes],12)</f>
        <v/>
      </c>
      <c r="F6">
        <f>SUMIFS(tblBase[QTD],tblBase[Status],$A6,tblBase[Ano],2026,tblBase[Mes],1)</f>
        <v/>
      </c>
      <c r="G6">
        <f>SUMIFS(tblBase[QTD],tblBase[Status],$A6,tblBase[Ano],2026,tblBase[Mes],2)</f>
        <v/>
      </c>
      <c r="H6">
        <f>SUMIFS(tblBase[QTD],tblBase[Status],$A6,tblBase[Ano],2026,tblBase[Mes],3)</f>
        <v/>
      </c>
      <c r="I6">
        <f>SUMIFS(tblBase[QTD],tblBase[Status],$A6,tblBase[Ano],2026,tblBase[Mes],4)</f>
        <v/>
      </c>
      <c r="J6">
        <f>SUMIFS(tblBase[QTD],tblBase[Status],$A6,tblBase[Ano],2026,tblBase[Mes],5)</f>
        <v/>
      </c>
      <c r="K6">
        <f>SUMIFS(tblBase[QTD],tblBase[Status],$A6,tblBase[Ano],2026,tblBase[Mes],6)</f>
        <v/>
      </c>
      <c r="L6">
        <f>SUMIFS(tblBase[QTD],tblBase[Status],$A6,tblBase[Ano],2026,tblBase[Mes],7)</f>
        <v/>
      </c>
      <c r="M6">
        <f>SUMIFS(tblBase[QTD],tblBase[Status],$A6,tblBase[Ano],2026,tblBase[Mes],8)</f>
        <v/>
      </c>
      <c r="N6">
        <f>SUMIFS(tblBase[QTD],tblBase[Status],$A6,tblBase[Ano],2026,tblBase[Mes],9)</f>
        <v/>
      </c>
      <c r="O6">
        <f>SUMIFS(tblBase[QTD],tblBase[Status],$A6,tblBase[Ano],2026,tblBase[Mes],10)</f>
        <v/>
      </c>
      <c r="P6">
        <f>SUMIFS(tblBase[QTD],tblBase[Status],$A6,tblBase[Ano],2026,tblBase[Mes],11)</f>
        <v/>
      </c>
      <c r="Q6">
        <f>SUMIFS(tblBase[QTD],tblBase[Status],$A6,tblBase[Ano],2026,tblBase[Mes],12)</f>
        <v/>
      </c>
      <c r="R6">
        <f>SUM(B6:Q6)</f>
        <v/>
      </c>
    </row>
    <row r="7">
      <c r="A7" t="inlineStr">
        <is>
          <t>Em andamento</t>
        </is>
      </c>
      <c r="B7">
        <f>SUMIFS(tblBase[QTD],tblBase[Status],$A7,tblBase[Ano],2025,tblBase[Mes],9)</f>
        <v/>
      </c>
      <c r="C7">
        <f>SUMIFS(tblBase[QTD],tblBase[Status],$A7,tblBase[Ano],2025,tblBase[Mes],10)</f>
        <v/>
      </c>
      <c r="D7">
        <f>SUMIFS(tblBase[QTD],tblBase[Status],$A7,tblBase[Ano],2025,tblBase[Mes],11)</f>
        <v/>
      </c>
      <c r="E7">
        <f>SUMIFS(tblBase[QTD],tblBase[Status],$A7,tblBase[Ano],2025,tblBase[Mes],12)</f>
        <v/>
      </c>
      <c r="F7">
        <f>SUMIFS(tblBase[QTD],tblBase[Status],$A7,tblBase[Ano],2026,tblBase[Mes],1)</f>
        <v/>
      </c>
      <c r="G7">
        <f>SUMIFS(tblBase[QTD],tblBase[Status],$A7,tblBase[Ano],2026,tblBase[Mes],2)</f>
        <v/>
      </c>
      <c r="H7">
        <f>SUMIFS(tblBase[QTD],tblBase[Status],$A7,tblBase[Ano],2026,tblBase[Mes],3)</f>
        <v/>
      </c>
      <c r="I7">
        <f>SUMIFS(tblBase[QTD],tblBase[Status],$A7,tblBase[Ano],2026,tblBase[Mes],4)</f>
        <v/>
      </c>
      <c r="J7">
        <f>SUMIFS(tblBase[QTD],tblBase[Status],$A7,tblBase[Ano],2026,tblBase[Mes],5)</f>
        <v/>
      </c>
      <c r="K7">
        <f>SUMIFS(tblBase[QTD],tblBase[Status],$A7,tblBase[Ano],2026,tblBase[Mes],6)</f>
        <v/>
      </c>
      <c r="L7">
        <f>SUMIFS(tblBase[QTD],tblBase[Status],$A7,tblBase[Ano],2026,tblBase[Mes],7)</f>
        <v/>
      </c>
      <c r="M7">
        <f>SUMIFS(tblBase[QTD],tblBase[Status],$A7,tblBase[Ano],2026,tblBase[Mes],8)</f>
        <v/>
      </c>
      <c r="N7">
        <f>SUMIFS(tblBase[QTD],tblBase[Status],$A7,tblBase[Ano],2026,tblBase[Mes],9)</f>
        <v/>
      </c>
      <c r="O7">
        <f>SUMIFS(tblBase[QTD],tblBase[Status],$A7,tblBase[Ano],2026,tblBase[Mes],10)</f>
        <v/>
      </c>
      <c r="P7">
        <f>SUMIFS(tblBase[QTD],tblBase[Status],$A7,tblBase[Ano],2026,tblBase[Mes],11)</f>
        <v/>
      </c>
      <c r="Q7">
        <f>SUMIFS(tblBase[QTD],tblBase[Status],$A7,tblBase[Ano],2026,tblBase[Mes],12)</f>
        <v/>
      </c>
      <c r="R7">
        <f>SUM(B7:Q7)</f>
        <v/>
      </c>
    </row>
    <row r="8">
      <c r="A8" t="inlineStr">
        <is>
          <t>Em transporte</t>
        </is>
      </c>
      <c r="B8">
        <f>SUMIFS(tblBase[QTD],tblBase[Status],$A8,tblBase[Ano],2025,tblBase[Mes],9)</f>
        <v/>
      </c>
      <c r="C8">
        <f>SUMIFS(tblBase[QTD],tblBase[Status],$A8,tblBase[Ano],2025,tblBase[Mes],10)</f>
        <v/>
      </c>
      <c r="D8">
        <f>SUMIFS(tblBase[QTD],tblBase[Status],$A8,tblBase[Ano],2025,tblBase[Mes],11)</f>
        <v/>
      </c>
      <c r="E8">
        <f>SUMIFS(tblBase[QTD],tblBase[Status],$A8,tblBase[Ano],2025,tblBase[Mes],12)</f>
        <v/>
      </c>
      <c r="F8">
        <f>SUMIFS(tblBase[QTD],tblBase[Status],$A8,tblBase[Ano],2026,tblBase[Mes],1)</f>
        <v/>
      </c>
      <c r="G8">
        <f>SUMIFS(tblBase[QTD],tblBase[Status],$A8,tblBase[Ano],2026,tblBase[Mes],2)</f>
        <v/>
      </c>
      <c r="H8">
        <f>SUMIFS(tblBase[QTD],tblBase[Status],$A8,tblBase[Ano],2026,tblBase[Mes],3)</f>
        <v/>
      </c>
      <c r="I8">
        <f>SUMIFS(tblBase[QTD],tblBase[Status],$A8,tblBase[Ano],2026,tblBase[Mes],4)</f>
        <v/>
      </c>
      <c r="J8">
        <f>SUMIFS(tblBase[QTD],tblBase[Status],$A8,tblBase[Ano],2026,tblBase[Mes],5)</f>
        <v/>
      </c>
      <c r="K8">
        <f>SUMIFS(tblBase[QTD],tblBase[Status],$A8,tblBase[Ano],2026,tblBase[Mes],6)</f>
        <v/>
      </c>
      <c r="L8">
        <f>SUMIFS(tblBase[QTD],tblBase[Status],$A8,tblBase[Ano],2026,tblBase[Mes],7)</f>
        <v/>
      </c>
      <c r="M8">
        <f>SUMIFS(tblBase[QTD],tblBase[Status],$A8,tblBase[Ano],2026,tblBase[Mes],8)</f>
        <v/>
      </c>
      <c r="N8">
        <f>SUMIFS(tblBase[QTD],tblBase[Status],$A8,tblBase[Ano],2026,tblBase[Mes],9)</f>
        <v/>
      </c>
      <c r="O8">
        <f>SUMIFS(tblBase[QTD],tblBase[Status],$A8,tblBase[Ano],2026,tblBase[Mes],10)</f>
        <v/>
      </c>
      <c r="P8">
        <f>SUMIFS(tblBase[QTD],tblBase[Status],$A8,tblBase[Ano],2026,tblBase[Mes],11)</f>
        <v/>
      </c>
      <c r="Q8">
        <f>SUMIFS(tblBase[QTD],tblBase[Status],$A8,tblBase[Ano],2026,tblBase[Mes],12)</f>
        <v/>
      </c>
      <c r="R8">
        <f>SUM(B8:Q8)</f>
        <v/>
      </c>
    </row>
    <row r="9">
      <c r="A9" t="inlineStr">
        <is>
          <t>NF Vencida</t>
        </is>
      </c>
      <c r="B9">
        <f>SUMIFS(tblBase[QTD],tblBase[Status],$A9,tblBase[Ano],2025,tblBase[Mes],9)</f>
        <v/>
      </c>
      <c r="C9">
        <f>SUMIFS(tblBase[QTD],tblBase[Status],$A9,tblBase[Ano],2025,tblBase[Mes],10)</f>
        <v/>
      </c>
      <c r="D9">
        <f>SUMIFS(tblBase[QTD],tblBase[Status],$A9,tblBase[Ano],2025,tblBase[Mes],11)</f>
        <v/>
      </c>
      <c r="E9">
        <f>SUMIFS(tblBase[QTD],tblBase[Status],$A9,tblBase[Ano],2025,tblBase[Mes],12)</f>
        <v/>
      </c>
      <c r="F9">
        <f>SUMIFS(tblBase[QTD],tblBase[Status],$A9,tblBase[Ano],2026,tblBase[Mes],1)</f>
        <v/>
      </c>
      <c r="G9">
        <f>SUMIFS(tblBase[QTD],tblBase[Status],$A9,tblBase[Ano],2026,tblBase[Mes],2)</f>
        <v/>
      </c>
      <c r="H9">
        <f>SUMIFS(tblBase[QTD],tblBase[Status],$A9,tblBase[Ano],2026,tblBase[Mes],3)</f>
        <v/>
      </c>
      <c r="I9">
        <f>SUMIFS(tblBase[QTD],tblBase[Status],$A9,tblBase[Ano],2026,tblBase[Mes],4)</f>
        <v/>
      </c>
      <c r="J9">
        <f>SUMIFS(tblBase[QTD],tblBase[Status],$A9,tblBase[Ano],2026,tblBase[Mes],5)</f>
        <v/>
      </c>
      <c r="K9">
        <f>SUMIFS(tblBase[QTD],tblBase[Status],$A9,tblBase[Ano],2026,tblBase[Mes],6)</f>
        <v/>
      </c>
      <c r="L9">
        <f>SUMIFS(tblBase[QTD],tblBase[Status],$A9,tblBase[Ano],2026,tblBase[Mes],7)</f>
        <v/>
      </c>
      <c r="M9">
        <f>SUMIFS(tblBase[QTD],tblBase[Status],$A9,tblBase[Ano],2026,tblBase[Mes],8)</f>
        <v/>
      </c>
      <c r="N9">
        <f>SUMIFS(tblBase[QTD],tblBase[Status],$A9,tblBase[Ano],2026,tblBase[Mes],9)</f>
        <v/>
      </c>
      <c r="O9">
        <f>SUMIFS(tblBase[QTD],tblBase[Status],$A9,tblBase[Ano],2026,tblBase[Mes],10)</f>
        <v/>
      </c>
      <c r="P9">
        <f>SUMIFS(tblBase[QTD],tblBase[Status],$A9,tblBase[Ano],2026,tblBase[Mes],11)</f>
        <v/>
      </c>
      <c r="Q9">
        <f>SUMIFS(tblBase[QTD],tblBase[Status],$A9,tblBase[Ano],2026,tblBase[Mes],12)</f>
        <v/>
      </c>
      <c r="R9">
        <f>SUM(B9:Q9)</f>
        <v/>
      </c>
    </row>
    <row r="10">
      <c r="A10" t="inlineStr">
        <is>
          <t>NPD</t>
        </is>
      </c>
      <c r="B10">
        <f>SUMIFS(tblBase[QTD],tblBase[Status],$A10,tblBase[Ano],2025,tblBase[Mes],9)</f>
        <v/>
      </c>
      <c r="C10">
        <f>SUMIFS(tblBase[QTD],tblBase[Status],$A10,tblBase[Ano],2025,tblBase[Mes],10)</f>
        <v/>
      </c>
      <c r="D10">
        <f>SUMIFS(tblBase[QTD],tblBase[Status],$A10,tblBase[Ano],2025,tblBase[Mes],11)</f>
        <v/>
      </c>
      <c r="E10">
        <f>SUMIFS(tblBase[QTD],tblBase[Status],$A10,tblBase[Ano],2025,tblBase[Mes],12)</f>
        <v/>
      </c>
      <c r="F10">
        <f>SUMIFS(tblBase[QTD],tblBase[Status],$A10,tblBase[Ano],2026,tblBase[Mes],1)</f>
        <v/>
      </c>
      <c r="G10">
        <f>SUMIFS(tblBase[QTD],tblBase[Status],$A10,tblBase[Ano],2026,tblBase[Mes],2)</f>
        <v/>
      </c>
      <c r="H10">
        <f>SUMIFS(tblBase[QTD],tblBase[Status],$A10,tblBase[Ano],2026,tblBase[Mes],3)</f>
        <v/>
      </c>
      <c r="I10">
        <f>SUMIFS(tblBase[QTD],tblBase[Status],$A10,tblBase[Ano],2026,tblBase[Mes],4)</f>
        <v/>
      </c>
      <c r="J10">
        <f>SUMIFS(tblBase[QTD],tblBase[Status],$A10,tblBase[Ano],2026,tblBase[Mes],5)</f>
        <v/>
      </c>
      <c r="K10">
        <f>SUMIFS(tblBase[QTD],tblBase[Status],$A10,tblBase[Ano],2026,tblBase[Mes],6)</f>
        <v/>
      </c>
      <c r="L10">
        <f>SUMIFS(tblBase[QTD],tblBase[Status],$A10,tblBase[Ano],2026,tblBase[Mes],7)</f>
        <v/>
      </c>
      <c r="M10">
        <f>SUMIFS(tblBase[QTD],tblBase[Status],$A10,tblBase[Ano],2026,tblBase[Mes],8)</f>
        <v/>
      </c>
      <c r="N10">
        <f>SUMIFS(tblBase[QTD],tblBase[Status],$A10,tblBase[Ano],2026,tblBase[Mes],9)</f>
        <v/>
      </c>
      <c r="O10">
        <f>SUMIFS(tblBase[QTD],tblBase[Status],$A10,tblBase[Ano],2026,tblBase[Mes],10)</f>
        <v/>
      </c>
      <c r="P10">
        <f>SUMIFS(tblBase[QTD],tblBase[Status],$A10,tblBase[Ano],2026,tblBase[Mes],11)</f>
        <v/>
      </c>
      <c r="Q10">
        <f>SUMIFS(tblBase[QTD],tblBase[Status],$A10,tblBase[Ano],2026,tblBase[Mes],12)</f>
        <v/>
      </c>
      <c r="R10">
        <f>SUM(B10:Q10)</f>
        <v/>
      </c>
    </row>
    <row r="11">
      <c r="A11" t="inlineStr">
        <is>
          <t>Não Devolve-Norte</t>
        </is>
      </c>
      <c r="B11">
        <f>SUMIFS(tblBase[QTD],tblBase[Status],$A11,tblBase[Ano],2025,tblBase[Mes],9)</f>
        <v/>
      </c>
      <c r="C11">
        <f>SUMIFS(tblBase[QTD],tblBase[Status],$A11,tblBase[Ano],2025,tblBase[Mes],10)</f>
        <v/>
      </c>
      <c r="D11">
        <f>SUMIFS(tblBase[QTD],tblBase[Status],$A11,tblBase[Ano],2025,tblBase[Mes],11)</f>
        <v/>
      </c>
      <c r="E11">
        <f>SUMIFS(tblBase[QTD],tblBase[Status],$A11,tblBase[Ano],2025,tblBase[Mes],12)</f>
        <v/>
      </c>
      <c r="F11">
        <f>SUMIFS(tblBase[QTD],tblBase[Status],$A11,tblBase[Ano],2026,tblBase[Mes],1)</f>
        <v/>
      </c>
      <c r="G11">
        <f>SUMIFS(tblBase[QTD],tblBase[Status],$A11,tblBase[Ano],2026,tblBase[Mes],2)</f>
        <v/>
      </c>
      <c r="H11">
        <f>SUMIFS(tblBase[QTD],tblBase[Status],$A11,tblBase[Ano],2026,tblBase[Mes],3)</f>
        <v/>
      </c>
      <c r="I11">
        <f>SUMIFS(tblBase[QTD],tblBase[Status],$A11,tblBase[Ano],2026,tblBase[Mes],4)</f>
        <v/>
      </c>
      <c r="J11">
        <f>SUMIFS(tblBase[QTD],tblBase[Status],$A11,tblBase[Ano],2026,tblBase[Mes],5)</f>
        <v/>
      </c>
      <c r="K11">
        <f>SUMIFS(tblBase[QTD],tblBase[Status],$A11,tblBase[Ano],2026,tblBase[Mes],6)</f>
        <v/>
      </c>
      <c r="L11">
        <f>SUMIFS(tblBase[QTD],tblBase[Status],$A11,tblBase[Ano],2026,tblBase[Mes],7)</f>
        <v/>
      </c>
      <c r="M11">
        <f>SUMIFS(tblBase[QTD],tblBase[Status],$A11,tblBase[Ano],2026,tblBase[Mes],8)</f>
        <v/>
      </c>
      <c r="N11">
        <f>SUMIFS(tblBase[QTD],tblBase[Status],$A11,tblBase[Ano],2026,tblBase[Mes],9)</f>
        <v/>
      </c>
      <c r="O11">
        <f>SUMIFS(tblBase[QTD],tblBase[Status],$A11,tblBase[Ano],2026,tblBase[Mes],10)</f>
        <v/>
      </c>
      <c r="P11">
        <f>SUMIFS(tblBase[QTD],tblBase[Status],$A11,tblBase[Ano],2026,tblBase[Mes],11)</f>
        <v/>
      </c>
      <c r="Q11">
        <f>SUMIFS(tblBase[QTD],tblBase[Status],$A11,tblBase[Ano],2026,tblBase[Mes],12)</f>
        <v/>
      </c>
      <c r="R11">
        <f>SUM(B11:Q11)</f>
        <v/>
      </c>
    </row>
    <row r="12">
      <c r="A12" t="inlineStr">
        <is>
          <t>Ok. Devolvida</t>
        </is>
      </c>
      <c r="B12">
        <f>SUMIFS(tblBase[QTD],tblBase[Status],$A12,tblBase[Ano],2025,tblBase[Mes],9)</f>
        <v/>
      </c>
      <c r="C12">
        <f>SUMIFS(tblBase[QTD],tblBase[Status],$A12,tblBase[Ano],2025,tblBase[Mes],10)</f>
        <v/>
      </c>
      <c r="D12">
        <f>SUMIFS(tblBase[QTD],tblBase[Status],$A12,tblBase[Ano],2025,tblBase[Mes],11)</f>
        <v/>
      </c>
      <c r="E12">
        <f>SUMIFS(tblBase[QTD],tblBase[Status],$A12,tblBase[Ano],2025,tblBase[Mes],12)</f>
        <v/>
      </c>
      <c r="F12">
        <f>SUMIFS(tblBase[QTD],tblBase[Status],$A12,tblBase[Ano],2026,tblBase[Mes],1)</f>
        <v/>
      </c>
      <c r="G12">
        <f>SUMIFS(tblBase[QTD],tblBase[Status],$A12,tblBase[Ano],2026,tblBase[Mes],2)</f>
        <v/>
      </c>
      <c r="H12">
        <f>SUMIFS(tblBase[QTD],tblBase[Status],$A12,tblBase[Ano],2026,tblBase[Mes],3)</f>
        <v/>
      </c>
      <c r="I12">
        <f>SUMIFS(tblBase[QTD],tblBase[Status],$A12,tblBase[Ano],2026,tblBase[Mes],4)</f>
        <v/>
      </c>
      <c r="J12">
        <f>SUMIFS(tblBase[QTD],tblBase[Status],$A12,tblBase[Ano],2026,tblBase[Mes],5)</f>
        <v/>
      </c>
      <c r="K12">
        <f>SUMIFS(tblBase[QTD],tblBase[Status],$A12,tblBase[Ano],2026,tblBase[Mes],6)</f>
        <v/>
      </c>
      <c r="L12">
        <f>SUMIFS(tblBase[QTD],tblBase[Status],$A12,tblBase[Ano],2026,tblBase[Mes],7)</f>
        <v/>
      </c>
      <c r="M12">
        <f>SUMIFS(tblBase[QTD],tblBase[Status],$A12,tblBase[Ano],2026,tblBase[Mes],8)</f>
        <v/>
      </c>
      <c r="N12">
        <f>SUMIFS(tblBase[QTD],tblBase[Status],$A12,tblBase[Ano],2026,tblBase[Mes],9)</f>
        <v/>
      </c>
      <c r="O12">
        <f>SUMIFS(tblBase[QTD],tblBase[Status],$A12,tblBase[Ano],2026,tblBase[Mes],10)</f>
        <v/>
      </c>
      <c r="P12">
        <f>SUMIFS(tblBase[QTD],tblBase[Status],$A12,tblBase[Ano],2026,tblBase[Mes],11)</f>
        <v/>
      </c>
      <c r="Q12">
        <f>SUMIFS(tblBase[QTD],tblBase[Status],$A12,tblBase[Ano],2026,tblBase[Mes],12)</f>
        <v/>
      </c>
      <c r="R12">
        <f>SUM(B12:Q12)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8" customWidth="1" min="3" max="3"/>
    <col width="12" customWidth="1" min="4" max="4"/>
    <col width="12" customWidth="1" min="5" max="5"/>
    <col width="11" customWidth="1" min="6" max="6"/>
  </cols>
  <sheetData>
    <row r="1">
      <c r="A1" s="12" t="inlineStr">
        <is>
          <t>Desempenho por transportadora</t>
        </is>
      </c>
    </row>
    <row r="2">
      <c r="A2" s="2" t="inlineStr">
        <is>
          <t>Digite uma nova categoria nas linhas em branco no fim da lista: as fórmulas já estão prontas.</t>
        </is>
      </c>
    </row>
    <row r="3">
      <c r="A3" s="3" t="inlineStr">
        <is>
          <t>Categoria</t>
        </is>
      </c>
      <c r="B3" s="3" t="inlineStr">
        <is>
          <t>Itens</t>
        </is>
      </c>
      <c r="C3" s="3" t="inlineStr">
        <is>
          <t>Valor total (R$)</t>
        </is>
      </c>
      <c r="D3" s="3" t="inlineStr">
        <is>
          <t>Devolvidos</t>
        </is>
      </c>
      <c r="E3" s="3" t="inlineStr">
        <is>
          <t>% devolvido</t>
        </is>
      </c>
      <c r="F3" s="3" t="inlineStr">
        <is>
          <t>Em aberto</t>
        </is>
      </c>
    </row>
    <row r="4">
      <c r="A4" t="inlineStr">
        <is>
          <t>LogExpress</t>
        </is>
      </c>
      <c r="B4">
        <f>IF($A4="","",SUMIFS(tblBase[QTD],tblBase[Transportadora],$A4))</f>
        <v/>
      </c>
      <c r="C4" s="10">
        <f>IF($A4="","",SUMIFS(tblBase[Valor_Total],tblBase[Transportadora],$A4))</f>
        <v/>
      </c>
      <c r="D4">
        <f>IF($A4="","",SUMIFS(tblBase[QTD],tblBase[Transportadora],$A4,tblBase[Grupo_Status],"Concluído"))</f>
        <v/>
      </c>
      <c r="E4" s="14">
        <f>IFERROR(D4/B4,"")</f>
        <v/>
      </c>
      <c r="F4">
        <f>IF($A4="","",SUMIFS(tblBase[QTD],tblBase[Transportadora],$A4,tblBase[Grupo_Status],"Pendente")+SUMIFS(tblBase[QTD],tblBase[Transportadora],$A4,tblBase[Grupo_Status],"Em andamento"))</f>
        <v/>
      </c>
    </row>
    <row r="5">
      <c r="A5" t="inlineStr">
        <is>
          <t>TransNorte</t>
        </is>
      </c>
      <c r="B5">
        <f>IF($A5="","",SUMIFS(tblBase[QTD],tblBase[Transportadora],$A5))</f>
        <v/>
      </c>
      <c r="C5" s="10">
        <f>IF($A5="","",SUMIFS(tblBase[Valor_Total],tblBase[Transportadora],$A5))</f>
        <v/>
      </c>
      <c r="D5">
        <f>IF($A5="","",SUMIFS(tblBase[QTD],tblBase[Transportadora],$A5,tblBase[Grupo_Status],"Concluído"))</f>
        <v/>
      </c>
      <c r="E5" s="14">
        <f>IFERROR(D5/B5,"")</f>
        <v/>
      </c>
      <c r="F5">
        <f>IF($A5="","",SUMIFS(tblBase[QTD],tblBase[Transportadora],$A5,tblBase[Grupo_Status],"Pendente")+SUMIFS(tblBase[QTD],tblBase[Transportadora],$A5,tblBase[Grupo_Status],"Em andamento"))</f>
        <v/>
      </c>
    </row>
    <row r="6">
      <c r="A6" t="inlineStr">
        <is>
          <t>ViaCargo</t>
        </is>
      </c>
      <c r="B6">
        <f>IF($A6="","",SUMIFS(tblBase[QTD],tblBase[Transportadora],$A6))</f>
        <v/>
      </c>
      <c r="C6" s="10">
        <f>IF($A6="","",SUMIFS(tblBase[Valor_Total],tblBase[Transportadora],$A6))</f>
        <v/>
      </c>
      <c r="D6">
        <f>IF($A6="","",SUMIFS(tblBase[QTD],tblBase[Transportadora],$A6,tblBase[Grupo_Status],"Concluído"))</f>
        <v/>
      </c>
      <c r="E6" s="14">
        <f>IFERROR(D6/B6,"")</f>
        <v/>
      </c>
      <c r="F6">
        <f>IF($A6="","",SUMIFS(tblBase[QTD],tblBase[Transportadora],$A6,tblBase[Grupo_Status],"Pendente")+SUMIFS(tblBase[QTD],tblBase[Transportadora],$A6,tblBase[Grupo_Status],"Em andamento"))</f>
        <v/>
      </c>
    </row>
    <row r="7">
      <c r="A7" t="inlineStr">
        <is>
          <t>RotaSul</t>
        </is>
      </c>
      <c r="B7">
        <f>IF($A7="","",SUMIFS(tblBase[QTD],tblBase[Transportadora],$A7))</f>
        <v/>
      </c>
      <c r="C7" s="10">
        <f>IF($A7="","",SUMIFS(tblBase[Valor_Total],tblBase[Transportadora],$A7))</f>
        <v/>
      </c>
      <c r="D7">
        <f>IF($A7="","",SUMIFS(tblBase[QTD],tblBase[Transportadora],$A7,tblBase[Grupo_Status],"Concluído"))</f>
        <v/>
      </c>
      <c r="E7" s="14">
        <f>IFERROR(D7/B7,"")</f>
        <v/>
      </c>
      <c r="F7">
        <f>IF($A7="","",SUMIFS(tblBase[QTD],tblBase[Transportadora],$A7,tblBase[Grupo_Status],"Pendente")+SUMIFS(tblBase[QTD],tblBase[Transportadora],$A7,tblBase[Grupo_Status],"Em andamento"))</f>
        <v/>
      </c>
    </row>
    <row r="8">
      <c r="A8" t="inlineStr">
        <is>
          <t>CargoMax</t>
        </is>
      </c>
      <c r="B8">
        <f>IF($A8="","",SUMIFS(tblBase[QTD],tblBase[Transportadora],$A8))</f>
        <v/>
      </c>
      <c r="C8" s="10">
        <f>IF($A8="","",SUMIFS(tblBase[Valor_Total],tblBase[Transportadora],$A8))</f>
        <v/>
      </c>
      <c r="D8">
        <f>IF($A8="","",SUMIFS(tblBase[QTD],tblBase[Transportadora],$A8,tblBase[Grupo_Status],"Concluído"))</f>
        <v/>
      </c>
      <c r="E8" s="14">
        <f>IFERROR(D8/B8,"")</f>
        <v/>
      </c>
      <c r="F8">
        <f>IF($A8="","",SUMIFS(tblBase[QTD],tblBase[Transportadora],$A8,tblBase[Grupo_Status],"Pendente")+SUMIFS(tblBase[QTD],tblBase[Transportadora],$A8,tblBase[Grupo_Status],"Em andamento"))</f>
        <v/>
      </c>
    </row>
    <row r="9">
      <c r="A9" t="inlineStr">
        <is>
          <t>EntregaJá</t>
        </is>
      </c>
      <c r="B9">
        <f>IF($A9="","",SUMIFS(tblBase[QTD],tblBase[Transportadora],$A9))</f>
        <v/>
      </c>
      <c r="C9" s="10">
        <f>IF($A9="","",SUMIFS(tblBase[Valor_Total],tblBase[Transportadora],$A9))</f>
        <v/>
      </c>
      <c r="D9">
        <f>IF($A9="","",SUMIFS(tblBase[QTD],tblBase[Transportadora],$A9,tblBase[Grupo_Status],"Concluído"))</f>
        <v/>
      </c>
      <c r="E9" s="14">
        <f>IFERROR(D9/B9,"")</f>
        <v/>
      </c>
      <c r="F9">
        <f>IF($A9="","",SUMIFS(tblBase[QTD],tblBase[Transportadora],$A9,tblBase[Grupo_Status],"Pendente")+SUMIFS(tblBase[QTD],tblBase[Transportadora],$A9,tblBase[Grupo_Status],"Em andamento"))</f>
        <v/>
      </c>
    </row>
    <row r="10">
      <c r="B10">
        <f>IF($A10="","",SUMIFS(tblBase[QTD],tblBase[Transportadora],$A10))</f>
        <v/>
      </c>
      <c r="C10" s="10">
        <f>IF($A10="","",SUMIFS(tblBase[Valor_Total],tblBase[Transportadora],$A10))</f>
        <v/>
      </c>
      <c r="D10">
        <f>IF($A10="","",SUMIFS(tblBase[QTD],tblBase[Transportadora],$A10,tblBase[Grupo_Status],"Concluído"))</f>
        <v/>
      </c>
      <c r="E10" s="14">
        <f>IFERROR(D10/B10,"")</f>
        <v/>
      </c>
      <c r="F10">
        <f>IF($A10="","",SUMIFS(tblBase[QTD],tblBase[Transportadora],$A10,tblBase[Grupo_Status],"Pendente")+SUMIFS(tblBase[QTD],tblBase[Transportadora],$A10,tblBase[Grupo_Status],"Em andamento"))</f>
        <v/>
      </c>
    </row>
    <row r="11">
      <c r="B11">
        <f>IF($A11="","",SUMIFS(tblBase[QTD],tblBase[Transportadora],$A11))</f>
        <v/>
      </c>
      <c r="C11" s="10">
        <f>IF($A11="","",SUMIFS(tblBase[Valor_Total],tblBase[Transportadora],$A11))</f>
        <v/>
      </c>
      <c r="D11">
        <f>IF($A11="","",SUMIFS(tblBase[QTD],tblBase[Transportadora],$A11,tblBase[Grupo_Status],"Concluído"))</f>
        <v/>
      </c>
      <c r="E11" s="14">
        <f>IFERROR(D11/B11,"")</f>
        <v/>
      </c>
      <c r="F11">
        <f>IF($A11="","",SUMIFS(tblBase[QTD],tblBase[Transportadora],$A11,tblBase[Grupo_Status],"Pendente")+SUMIFS(tblBase[QTD],tblBase[Transportadora],$A11,tblBase[Grupo_Status],"Em andamento"))</f>
        <v/>
      </c>
    </row>
    <row r="12">
      <c r="B12">
        <f>IF($A12="","",SUMIFS(tblBase[QTD],tblBase[Transportadora],$A12))</f>
        <v/>
      </c>
      <c r="C12" s="10">
        <f>IF($A12="","",SUMIFS(tblBase[Valor_Total],tblBase[Transportadora],$A12))</f>
        <v/>
      </c>
      <c r="D12">
        <f>IF($A12="","",SUMIFS(tblBase[QTD],tblBase[Transportadora],$A12,tblBase[Grupo_Status],"Concluído"))</f>
        <v/>
      </c>
      <c r="E12" s="14">
        <f>IFERROR(D12/B12,"")</f>
        <v/>
      </c>
      <c r="F12">
        <f>IF($A12="","",SUMIFS(tblBase[QTD],tblBase[Transportadora],$A12,tblBase[Grupo_Status],"Pendente")+SUMIFS(tblBase[QTD],tblBase[Transportadora],$A12,tblBase[Grupo_Status],"Em andamento"))</f>
        <v/>
      </c>
    </row>
    <row r="13">
      <c r="B13">
        <f>IF($A13="","",SUMIFS(tblBase[QTD],tblBase[Transportadora],$A13))</f>
        <v/>
      </c>
      <c r="C13" s="10">
        <f>IF($A13="","",SUMIFS(tblBase[Valor_Total],tblBase[Transportadora],$A13))</f>
        <v/>
      </c>
      <c r="D13">
        <f>IF($A13="","",SUMIFS(tblBase[QTD],tblBase[Transportadora],$A13,tblBase[Grupo_Status],"Concluído"))</f>
        <v/>
      </c>
      <c r="E13" s="14">
        <f>IFERROR(D13/B13,"")</f>
        <v/>
      </c>
      <c r="F13">
        <f>IF($A13="","",SUMIFS(tblBase[QTD],tblBase[Transportadora],$A13,tblBase[Grupo_Status],"Pendente")+SUMIFS(tblBase[QTD],tblBase[Transportadora],$A13,tblBase[Grupo_Status],"Em andamento"))</f>
        <v/>
      </c>
    </row>
    <row r="14">
      <c r="B14">
        <f>IF($A14="","",SUMIFS(tblBase[QTD],tblBase[Transportadora],$A14))</f>
        <v/>
      </c>
      <c r="C14" s="10">
        <f>IF($A14="","",SUMIFS(tblBase[Valor_Total],tblBase[Transportadora],$A14))</f>
        <v/>
      </c>
      <c r="D14">
        <f>IF($A14="","",SUMIFS(tblBase[QTD],tblBase[Transportadora],$A14,tblBase[Grupo_Status],"Concluído"))</f>
        <v/>
      </c>
      <c r="E14" s="14">
        <f>IFERROR(D14/B14,"")</f>
        <v/>
      </c>
      <c r="F14">
        <f>IF($A14="","",SUMIFS(tblBase[QTD],tblBase[Transportadora],$A14,tblBase[Grupo_Status],"Pendente")+SUMIFS(tblBase[QTD],tblBase[Transportadora],$A14,tblBase[Grupo_Status],"Em andamento"))</f>
        <v/>
      </c>
    </row>
    <row r="15">
      <c r="B15">
        <f>IF($A15="","",SUMIFS(tblBase[QTD],tblBase[Transportadora],$A15))</f>
        <v/>
      </c>
      <c r="C15" s="10">
        <f>IF($A15="","",SUMIFS(tblBase[Valor_Total],tblBase[Transportadora],$A15))</f>
        <v/>
      </c>
      <c r="D15">
        <f>IF($A15="","",SUMIFS(tblBase[QTD],tblBase[Transportadora],$A15,tblBase[Grupo_Status],"Concluído"))</f>
        <v/>
      </c>
      <c r="E15" s="14">
        <f>IFERROR(D15/B15,"")</f>
        <v/>
      </c>
      <c r="F15">
        <f>IF($A15="","",SUMIFS(tblBase[QTD],tblBase[Transportadora],$A15,tblBase[Grupo_Status],"Pendente")+SUMIFS(tblBase[QTD],tblBase[Transportadora],$A15,tblBase[Grupo_Status],"Em andamento"))</f>
        <v/>
      </c>
    </row>
    <row r="16">
      <c r="B16">
        <f>IF($A16="","",SUMIFS(tblBase[QTD],tblBase[Transportadora],$A16))</f>
        <v/>
      </c>
      <c r="C16" s="10">
        <f>IF($A16="","",SUMIFS(tblBase[Valor_Total],tblBase[Transportadora],$A16))</f>
        <v/>
      </c>
      <c r="D16">
        <f>IF($A16="","",SUMIFS(tblBase[QTD],tblBase[Transportadora],$A16,tblBase[Grupo_Status],"Concluído"))</f>
        <v/>
      </c>
      <c r="E16" s="14">
        <f>IFERROR(D16/B16,"")</f>
        <v/>
      </c>
      <c r="F16">
        <f>IF($A16="","",SUMIFS(tblBase[QTD],tblBase[Transportadora],$A16,tblBase[Grupo_Status],"Pendente")+SUMIFS(tblBase[QTD],tblBase[Transportadora],$A16,tblBase[Grupo_Status],"Em andamento"))</f>
        <v/>
      </c>
    </row>
    <row r="17">
      <c r="B17">
        <f>IF($A17="","",SUMIFS(tblBase[QTD],tblBase[Transportadora],$A17))</f>
        <v/>
      </c>
      <c r="C17" s="10">
        <f>IF($A17="","",SUMIFS(tblBase[Valor_Total],tblBase[Transportadora],$A17))</f>
        <v/>
      </c>
      <c r="D17">
        <f>IF($A17="","",SUMIFS(tblBase[QTD],tblBase[Transportadora],$A17,tblBase[Grupo_Status],"Concluído"))</f>
        <v/>
      </c>
      <c r="E17" s="14">
        <f>IFERROR(D17/B17,"")</f>
        <v/>
      </c>
      <c r="F17">
        <f>IF($A17="","",SUMIFS(tblBase[QTD],tblBase[Transportadora],$A17,tblBase[Grupo_Status],"Pendente")+SUMIFS(tblBase[QTD],tblBase[Transportadora],$A17,tblBase[Grupo_Status],"Em andamento"))</f>
        <v/>
      </c>
    </row>
    <row r="18">
      <c r="B18">
        <f>IF($A18="","",SUMIFS(tblBase[QTD],tblBase[Transportadora],$A18))</f>
        <v/>
      </c>
      <c r="C18" s="10">
        <f>IF($A18="","",SUMIFS(tblBase[Valor_Total],tblBase[Transportadora],$A18))</f>
        <v/>
      </c>
      <c r="D18">
        <f>IF($A18="","",SUMIFS(tblBase[QTD],tblBase[Transportadora],$A18,tblBase[Grupo_Status],"Concluído"))</f>
        <v/>
      </c>
      <c r="E18" s="14">
        <f>IFERROR(D18/B18,"")</f>
        <v/>
      </c>
      <c r="F18">
        <f>IF($A18="","",SUMIFS(tblBase[QTD],tblBase[Transportadora],$A18,tblBase[Grupo_Status],"Pendente")+SUMIFS(tblBase[QTD],tblBase[Transportadora],$A18,tblBase[Grupo_Status],"Em andamento"))</f>
        <v/>
      </c>
    </row>
    <row r="19">
      <c r="B19">
        <f>IF($A19="","",SUMIFS(tblBase[QTD],tblBase[Transportadora],$A19))</f>
        <v/>
      </c>
      <c r="C19" s="10">
        <f>IF($A19="","",SUMIFS(tblBase[Valor_Total],tblBase[Transportadora],$A19))</f>
        <v/>
      </c>
      <c r="D19">
        <f>IF($A19="","",SUMIFS(tblBase[QTD],tblBase[Transportadora],$A19,tblBase[Grupo_Status],"Concluído"))</f>
        <v/>
      </c>
      <c r="E19" s="14">
        <f>IFERROR(D19/B19,"")</f>
        <v/>
      </c>
      <c r="F19">
        <f>IF($A19="","",SUMIFS(tblBase[QTD],tblBase[Transportadora],$A19,tblBase[Grupo_Status],"Pendente")+SUMIFS(tblBase[QTD],tblBase[Transportadora],$A19,tblBase[Grupo_Status],"Em andamento"))</f>
        <v/>
      </c>
    </row>
    <row r="20">
      <c r="B20">
        <f>IF($A20="","",SUMIFS(tblBase[QTD],tblBase[Transportadora],$A20))</f>
        <v/>
      </c>
      <c r="C20" s="10">
        <f>IF($A20="","",SUMIFS(tblBase[Valor_Total],tblBase[Transportadora],$A20))</f>
        <v/>
      </c>
      <c r="D20">
        <f>IF($A20="","",SUMIFS(tblBase[QTD],tblBase[Transportadora],$A20,tblBase[Grupo_Status],"Concluído"))</f>
        <v/>
      </c>
      <c r="E20" s="14">
        <f>IFERROR(D20/B20,"")</f>
        <v/>
      </c>
      <c r="F20">
        <f>IF($A20="","",SUMIFS(tblBase[QTD],tblBase[Transportadora],$A20,tblBase[Grupo_Status],"Pendente")+SUMIFS(tblBase[QTD],tblBase[Transportadora],$A20,tblBase[Grupo_Status],"Em andamento"))</f>
        <v/>
      </c>
    </row>
    <row r="21">
      <c r="B21">
        <f>IF($A21="","",SUMIFS(tblBase[QTD],tblBase[Transportadora],$A21))</f>
        <v/>
      </c>
      <c r="C21" s="10">
        <f>IF($A21="","",SUMIFS(tblBase[Valor_Total],tblBase[Transportadora],$A21))</f>
        <v/>
      </c>
      <c r="D21">
        <f>IF($A21="","",SUMIFS(tblBase[QTD],tblBase[Transportadora],$A21,tblBase[Grupo_Status],"Concluído"))</f>
        <v/>
      </c>
      <c r="E21" s="14">
        <f>IFERROR(D21/B21,"")</f>
        <v/>
      </c>
      <c r="F21">
        <f>IF($A21="","",SUMIFS(tblBase[QTD],tblBase[Transportadora],$A21,tblBase[Grupo_Status],"Pendente")+SUMIFS(tblBase[QTD],tblBase[Transportadora],$A21,tblBase[Grupo_Status],"Em andamento"))</f>
        <v/>
      </c>
    </row>
    <row r="22">
      <c r="B22">
        <f>IF($A22="","",SUMIFS(tblBase[QTD],tblBase[Transportadora],$A22))</f>
        <v/>
      </c>
      <c r="C22" s="10">
        <f>IF($A22="","",SUMIFS(tblBase[Valor_Total],tblBase[Transportadora],$A22))</f>
        <v/>
      </c>
      <c r="D22">
        <f>IF($A22="","",SUMIFS(tblBase[QTD],tblBase[Transportadora],$A22,tblBase[Grupo_Status],"Concluído"))</f>
        <v/>
      </c>
      <c r="E22" s="14">
        <f>IFERROR(D22/B22,"")</f>
        <v/>
      </c>
      <c r="F22">
        <f>IF($A22="","",SUMIFS(tblBase[QTD],tblBase[Transportadora],$A22,tblBase[Grupo_Status],"Pendente")+SUMIFS(tblBase[QTD],tblBase[Transportadora],$A22,tblBase[Grupo_Status],"Em andamento"))</f>
        <v/>
      </c>
    </row>
    <row r="23">
      <c r="B23">
        <f>IF($A23="","",SUMIFS(tblBase[QTD],tblBase[Transportadora],$A23))</f>
        <v/>
      </c>
      <c r="C23" s="10">
        <f>IF($A23="","",SUMIFS(tblBase[Valor_Total],tblBase[Transportadora],$A23))</f>
        <v/>
      </c>
      <c r="D23">
        <f>IF($A23="","",SUMIFS(tblBase[QTD],tblBase[Transportadora],$A23,tblBase[Grupo_Status],"Concluído"))</f>
        <v/>
      </c>
      <c r="E23" s="14">
        <f>IFERROR(D23/B23,"")</f>
        <v/>
      </c>
      <c r="F23">
        <f>IF($A23="","",SUMIFS(tblBase[QTD],tblBase[Transportadora],$A23,tblBase[Grupo_Status],"Pendente")+SUMIFS(tblBase[QTD],tblBase[Transportadora],$A23,tblBase[Grupo_Status],"Em andamento"))</f>
        <v/>
      </c>
    </row>
    <row r="24">
      <c r="B24">
        <f>IF($A24="","",SUMIFS(tblBase[QTD],tblBase[Transportadora],$A24))</f>
        <v/>
      </c>
      <c r="C24" s="10">
        <f>IF($A24="","",SUMIFS(tblBase[Valor_Total],tblBase[Transportadora],$A24))</f>
        <v/>
      </c>
      <c r="D24">
        <f>IF($A24="","",SUMIFS(tblBase[QTD],tblBase[Transportadora],$A24,tblBase[Grupo_Status],"Concluído"))</f>
        <v/>
      </c>
      <c r="E24" s="14">
        <f>IFERROR(D24/B24,"")</f>
        <v/>
      </c>
      <c r="F24">
        <f>IF($A24="","",SUMIFS(tblBase[QTD],tblBase[Transportadora],$A24,tblBase[Grupo_Status],"Pendente")+SUMIFS(tblBase[QTD],tblBase[Transportadora],$A24,tblBase[Grupo_Status],"Em andamento"))</f>
        <v/>
      </c>
    </row>
    <row r="25">
      <c r="B25">
        <f>IF($A25="","",SUMIFS(tblBase[QTD],tblBase[Transportadora],$A25))</f>
        <v/>
      </c>
      <c r="C25" s="10">
        <f>IF($A25="","",SUMIFS(tblBase[Valor_Total],tblBase[Transportadora],$A25))</f>
        <v/>
      </c>
      <c r="D25">
        <f>IF($A25="","",SUMIFS(tblBase[QTD],tblBase[Transportadora],$A25,tblBase[Grupo_Status],"Concluído"))</f>
        <v/>
      </c>
      <c r="E25" s="14">
        <f>IFERROR(D25/B25,"")</f>
        <v/>
      </c>
      <c r="F25">
        <f>IF($A25="","",SUMIFS(tblBase[QTD],tblBase[Transportadora],$A25,tblBase[Grupo_Status],"Pendente")+SUMIFS(tblBase[QTD],tblBase[Transportadora],$A25,tblBase[Grupo_Status],"Em andamento"))</f>
        <v/>
      </c>
    </row>
    <row r="26">
      <c r="A26" s="13" t="inlineStr">
        <is>
          <t>Total da base</t>
        </is>
      </c>
      <c r="B26">
        <f>SUM(tblBase[QTD])</f>
        <v/>
      </c>
      <c r="C26" s="10">
        <f>SUM(tblBase[Valor_Total])</f>
        <v/>
      </c>
      <c r="D26">
        <f>SUMIFS(tblBase[QTD],tblBase[Grupo_Status],"Concluído")</f>
        <v/>
      </c>
      <c r="E26" s="14">
        <f>IFERROR(D26/B26,"")</f>
        <v/>
      </c>
      <c r="F26">
        <f>SUMIFS(tblBase[QTD],tblBase[Grupo_Status],"Pendente")+SUMIFS(tblBase[QTD],tblBase[Grupo_Status],"Em andamento")</f>
        <v/>
      </c>
    </row>
    <row r="27">
      <c r="A27" t="inlineStr">
        <is>
          <t>Não listado acima (categoria nova)</t>
        </is>
      </c>
      <c r="B27">
        <f>B26-SUM(B4:B25)</f>
        <v/>
      </c>
      <c r="C27">
        <f>C26-SUM(C4:C25)</f>
        <v/>
      </c>
      <c r="D27">
        <f>D26-SUM(D4:D25)</f>
        <v/>
      </c>
      <c r="F27">
        <f>F26-SUM(F4:F25)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8" customWidth="1" min="3" max="3"/>
    <col width="12" customWidth="1" min="4" max="4"/>
    <col width="12" customWidth="1" min="5" max="5"/>
    <col width="11" customWidth="1" min="6" max="6"/>
  </cols>
  <sheetData>
    <row r="1">
      <c r="A1" s="12" t="inlineStr">
        <is>
          <t>Desempenho por regional / coordenador</t>
        </is>
      </c>
    </row>
    <row r="2">
      <c r="A2" s="2" t="inlineStr">
        <is>
          <t>Digite uma nova categoria nas linhas em branco no fim da lista: as fórmulas já estão prontas.</t>
        </is>
      </c>
    </row>
    <row r="3">
      <c r="A3" s="3" t="inlineStr">
        <is>
          <t>Categoria</t>
        </is>
      </c>
      <c r="B3" s="3" t="inlineStr">
        <is>
          <t>Itens</t>
        </is>
      </c>
      <c r="C3" s="3" t="inlineStr">
        <is>
          <t>Valor total (R$)</t>
        </is>
      </c>
      <c r="D3" s="3" t="inlineStr">
        <is>
          <t>Devolvidos</t>
        </is>
      </c>
      <c r="E3" s="3" t="inlineStr">
        <is>
          <t>% devolvido</t>
        </is>
      </c>
      <c r="F3" s="3" t="inlineStr">
        <is>
          <t>Em aberto</t>
        </is>
      </c>
    </row>
    <row r="4">
      <c r="A4" t="inlineStr">
        <is>
          <t>CENTRO OESTE</t>
        </is>
      </c>
      <c r="B4">
        <f>IF($A4="","",SUMIFS(tblBase[QTD],tblBase[Coordenador],$A4))</f>
        <v/>
      </c>
      <c r="C4" s="10">
        <f>IF($A4="","",SUMIFS(tblBase[Valor_Total],tblBase[Coordenador],$A4))</f>
        <v/>
      </c>
      <c r="D4">
        <f>IF($A4="","",SUMIFS(tblBase[QTD],tblBase[Coordenador],$A4,tblBase[Grupo_Status],"Concluído"))</f>
        <v/>
      </c>
      <c r="E4" s="14">
        <f>IFERROR(D4/B4,"")</f>
        <v/>
      </c>
      <c r="F4">
        <f>IF($A4="","",SUMIFS(tblBase[QTD],tblBase[Coordenador],$A4,tblBase[Grupo_Status],"Pendente")+SUMIFS(tblBase[QTD],tblBase[Coordenador],$A4,tblBase[Grupo_Status],"Em andamento"))</f>
        <v/>
      </c>
    </row>
    <row r="5">
      <c r="A5" t="inlineStr">
        <is>
          <t>NORDESTE</t>
        </is>
      </c>
      <c r="B5">
        <f>IF($A5="","",SUMIFS(tblBase[QTD],tblBase[Coordenador],$A5))</f>
        <v/>
      </c>
      <c r="C5" s="10">
        <f>IF($A5="","",SUMIFS(tblBase[Valor_Total],tblBase[Coordenador],$A5))</f>
        <v/>
      </c>
      <c r="D5">
        <f>IF($A5="","",SUMIFS(tblBase[QTD],tblBase[Coordenador],$A5,tblBase[Grupo_Status],"Concluído"))</f>
        <v/>
      </c>
      <c r="E5" s="14">
        <f>IFERROR(D5/B5,"")</f>
        <v/>
      </c>
      <c r="F5">
        <f>IF($A5="","",SUMIFS(tblBase[QTD],tblBase[Coordenador],$A5,tblBase[Grupo_Status],"Pendente")+SUMIFS(tblBase[QTD],tblBase[Coordenador],$A5,tblBase[Grupo_Status],"Em andamento"))</f>
        <v/>
      </c>
    </row>
    <row r="6">
      <c r="A6" t="inlineStr">
        <is>
          <t>NORTE</t>
        </is>
      </c>
      <c r="B6">
        <f>IF($A6="","",SUMIFS(tblBase[QTD],tblBase[Coordenador],$A6))</f>
        <v/>
      </c>
      <c r="C6" s="10">
        <f>IF($A6="","",SUMIFS(tblBase[Valor_Total],tblBase[Coordenador],$A6))</f>
        <v/>
      </c>
      <c r="D6">
        <f>IF($A6="","",SUMIFS(tblBase[QTD],tblBase[Coordenador],$A6,tblBase[Grupo_Status],"Concluído"))</f>
        <v/>
      </c>
      <c r="E6" s="14">
        <f>IFERROR(D6/B6,"")</f>
        <v/>
      </c>
      <c r="F6">
        <f>IF($A6="","",SUMIFS(tblBase[QTD],tblBase[Coordenador],$A6,tblBase[Grupo_Status],"Pendente")+SUMIFS(tblBase[QTD],tblBase[Coordenador],$A6,tblBase[Grupo_Status],"Em andamento"))</f>
        <v/>
      </c>
    </row>
    <row r="7">
      <c r="A7" t="inlineStr">
        <is>
          <t>SUDESTE MG</t>
        </is>
      </c>
      <c r="B7">
        <f>IF($A7="","",SUMIFS(tblBase[QTD],tblBase[Coordenador],$A7))</f>
        <v/>
      </c>
      <c r="C7" s="10">
        <f>IF($A7="","",SUMIFS(tblBase[Valor_Total],tblBase[Coordenador],$A7))</f>
        <v/>
      </c>
      <c r="D7">
        <f>IF($A7="","",SUMIFS(tblBase[QTD],tblBase[Coordenador],$A7,tblBase[Grupo_Status],"Concluído"))</f>
        <v/>
      </c>
      <c r="E7" s="14">
        <f>IFERROR(D7/B7,"")</f>
        <v/>
      </c>
      <c r="F7">
        <f>IF($A7="","",SUMIFS(tblBase[QTD],tblBase[Coordenador],$A7,tblBase[Grupo_Status],"Pendente")+SUMIFS(tblBase[QTD],tblBase[Coordenador],$A7,tblBase[Grupo_Status],"Em andamento"))</f>
        <v/>
      </c>
    </row>
    <row r="8">
      <c r="A8" t="inlineStr">
        <is>
          <t>SUDESTE RJ e ES</t>
        </is>
      </c>
      <c r="B8">
        <f>IF($A8="","",SUMIFS(tblBase[QTD],tblBase[Coordenador],$A8))</f>
        <v/>
      </c>
      <c r="C8" s="10">
        <f>IF($A8="","",SUMIFS(tblBase[Valor_Total],tblBase[Coordenador],$A8))</f>
        <v/>
      </c>
      <c r="D8">
        <f>IF($A8="","",SUMIFS(tblBase[QTD],tblBase[Coordenador],$A8,tblBase[Grupo_Status],"Concluído"))</f>
        <v/>
      </c>
      <c r="E8" s="14">
        <f>IFERROR(D8/B8,"")</f>
        <v/>
      </c>
      <c r="F8">
        <f>IF($A8="","",SUMIFS(tblBase[QTD],tblBase[Coordenador],$A8,tblBase[Grupo_Status],"Pendente")+SUMIFS(tblBase[QTD],tblBase[Coordenador],$A8,tblBase[Grupo_Status],"Em andamento"))</f>
        <v/>
      </c>
    </row>
    <row r="9">
      <c r="A9" t="inlineStr">
        <is>
          <t>SUDESTE SP</t>
        </is>
      </c>
      <c r="B9">
        <f>IF($A9="","",SUMIFS(tblBase[QTD],tblBase[Coordenador],$A9))</f>
        <v/>
      </c>
      <c r="C9" s="10">
        <f>IF($A9="","",SUMIFS(tblBase[Valor_Total],tblBase[Coordenador],$A9))</f>
        <v/>
      </c>
      <c r="D9">
        <f>IF($A9="","",SUMIFS(tblBase[QTD],tblBase[Coordenador],$A9,tblBase[Grupo_Status],"Concluído"))</f>
        <v/>
      </c>
      <c r="E9" s="14">
        <f>IFERROR(D9/B9,"")</f>
        <v/>
      </c>
      <c r="F9">
        <f>IF($A9="","",SUMIFS(tblBase[QTD],tblBase[Coordenador],$A9,tblBase[Grupo_Status],"Pendente")+SUMIFS(tblBase[QTD],tblBase[Coordenador],$A9,tblBase[Grupo_Status],"Em andamento"))</f>
        <v/>
      </c>
    </row>
    <row r="10">
      <c r="A10" t="inlineStr">
        <is>
          <t>SUL</t>
        </is>
      </c>
      <c r="B10">
        <f>IF($A10="","",SUMIFS(tblBase[QTD],tblBase[Coordenador],$A10))</f>
        <v/>
      </c>
      <c r="C10" s="10">
        <f>IF($A10="","",SUMIFS(tblBase[Valor_Total],tblBase[Coordenador],$A10))</f>
        <v/>
      </c>
      <c r="D10">
        <f>IF($A10="","",SUMIFS(tblBase[QTD],tblBase[Coordenador],$A10,tblBase[Grupo_Status],"Concluído"))</f>
        <v/>
      </c>
      <c r="E10" s="14">
        <f>IFERROR(D10/B10,"")</f>
        <v/>
      </c>
      <c r="F10">
        <f>IF($A10="","",SUMIFS(tblBase[QTD],tblBase[Coordenador],$A10,tblBase[Grupo_Status],"Pendente")+SUMIFS(tblBase[QTD],tblBase[Coordenador],$A10,tblBase[Grupo_Status],"Em andamento"))</f>
        <v/>
      </c>
    </row>
    <row r="11">
      <c r="B11">
        <f>IF($A11="","",SUMIFS(tblBase[QTD],tblBase[Coordenador],$A11))</f>
        <v/>
      </c>
      <c r="C11" s="10">
        <f>IF($A11="","",SUMIFS(tblBase[Valor_Total],tblBase[Coordenador],$A11))</f>
        <v/>
      </c>
      <c r="D11">
        <f>IF($A11="","",SUMIFS(tblBase[QTD],tblBase[Coordenador],$A11,tblBase[Grupo_Status],"Concluído"))</f>
        <v/>
      </c>
      <c r="E11" s="14">
        <f>IFERROR(D11/B11,"")</f>
        <v/>
      </c>
      <c r="F11">
        <f>IF($A11="","",SUMIFS(tblBase[QTD],tblBase[Coordenador],$A11,tblBase[Grupo_Status],"Pendente")+SUMIFS(tblBase[QTD],tblBase[Coordenador],$A11,tblBase[Grupo_Status],"Em andamento"))</f>
        <v/>
      </c>
    </row>
    <row r="12">
      <c r="B12">
        <f>IF($A12="","",SUMIFS(tblBase[QTD],tblBase[Coordenador],$A12))</f>
        <v/>
      </c>
      <c r="C12" s="10">
        <f>IF($A12="","",SUMIFS(tblBase[Valor_Total],tblBase[Coordenador],$A12))</f>
        <v/>
      </c>
      <c r="D12">
        <f>IF($A12="","",SUMIFS(tblBase[QTD],tblBase[Coordenador],$A12,tblBase[Grupo_Status],"Concluído"))</f>
        <v/>
      </c>
      <c r="E12" s="14">
        <f>IFERROR(D12/B12,"")</f>
        <v/>
      </c>
      <c r="F12">
        <f>IF($A12="","",SUMIFS(tblBase[QTD],tblBase[Coordenador],$A12,tblBase[Grupo_Status],"Pendente")+SUMIFS(tblBase[QTD],tblBase[Coordenador],$A12,tblBase[Grupo_Status],"Em andamento"))</f>
        <v/>
      </c>
    </row>
    <row r="13">
      <c r="B13">
        <f>IF($A13="","",SUMIFS(tblBase[QTD],tblBase[Coordenador],$A13))</f>
        <v/>
      </c>
      <c r="C13" s="10">
        <f>IF($A13="","",SUMIFS(tblBase[Valor_Total],tblBase[Coordenador],$A13))</f>
        <v/>
      </c>
      <c r="D13">
        <f>IF($A13="","",SUMIFS(tblBase[QTD],tblBase[Coordenador],$A13,tblBase[Grupo_Status],"Concluído"))</f>
        <v/>
      </c>
      <c r="E13" s="14">
        <f>IFERROR(D13/B13,"")</f>
        <v/>
      </c>
      <c r="F13">
        <f>IF($A13="","",SUMIFS(tblBase[QTD],tblBase[Coordenador],$A13,tblBase[Grupo_Status],"Pendente")+SUMIFS(tblBase[QTD],tblBase[Coordenador],$A13,tblBase[Grupo_Status],"Em andamento"))</f>
        <v/>
      </c>
    </row>
    <row r="14">
      <c r="B14">
        <f>IF($A14="","",SUMIFS(tblBase[QTD],tblBase[Coordenador],$A14))</f>
        <v/>
      </c>
      <c r="C14" s="10">
        <f>IF($A14="","",SUMIFS(tblBase[Valor_Total],tblBase[Coordenador],$A14))</f>
        <v/>
      </c>
      <c r="D14">
        <f>IF($A14="","",SUMIFS(tblBase[QTD],tblBase[Coordenador],$A14,tblBase[Grupo_Status],"Concluído"))</f>
        <v/>
      </c>
      <c r="E14" s="14">
        <f>IFERROR(D14/B14,"")</f>
        <v/>
      </c>
      <c r="F14">
        <f>IF($A14="","",SUMIFS(tblBase[QTD],tblBase[Coordenador],$A14,tblBase[Grupo_Status],"Pendente")+SUMIFS(tblBase[QTD],tblBase[Coordenador],$A14,tblBase[Grupo_Status],"Em andamento"))</f>
        <v/>
      </c>
    </row>
    <row r="15">
      <c r="B15">
        <f>IF($A15="","",SUMIFS(tblBase[QTD],tblBase[Coordenador],$A15))</f>
        <v/>
      </c>
      <c r="C15" s="10">
        <f>IF($A15="","",SUMIFS(tblBase[Valor_Total],tblBase[Coordenador],$A15))</f>
        <v/>
      </c>
      <c r="D15">
        <f>IF($A15="","",SUMIFS(tblBase[QTD],tblBase[Coordenador],$A15,tblBase[Grupo_Status],"Concluído"))</f>
        <v/>
      </c>
      <c r="E15" s="14">
        <f>IFERROR(D15/B15,"")</f>
        <v/>
      </c>
      <c r="F15">
        <f>IF($A15="","",SUMIFS(tblBase[QTD],tblBase[Coordenador],$A15,tblBase[Grupo_Status],"Pendente")+SUMIFS(tblBase[QTD],tblBase[Coordenador],$A15,tblBase[Grupo_Status],"Em andamento"))</f>
        <v/>
      </c>
    </row>
    <row r="16">
      <c r="B16">
        <f>IF($A16="","",SUMIFS(tblBase[QTD],tblBase[Coordenador],$A16))</f>
        <v/>
      </c>
      <c r="C16" s="10">
        <f>IF($A16="","",SUMIFS(tblBase[Valor_Total],tblBase[Coordenador],$A16))</f>
        <v/>
      </c>
      <c r="D16">
        <f>IF($A16="","",SUMIFS(tblBase[QTD],tblBase[Coordenador],$A16,tblBase[Grupo_Status],"Concluído"))</f>
        <v/>
      </c>
      <c r="E16" s="14">
        <f>IFERROR(D16/B16,"")</f>
        <v/>
      </c>
      <c r="F16">
        <f>IF($A16="","",SUMIFS(tblBase[QTD],tblBase[Coordenador],$A16,tblBase[Grupo_Status],"Pendente")+SUMIFS(tblBase[QTD],tblBase[Coordenador],$A16,tblBase[Grupo_Status],"Em andamento"))</f>
        <v/>
      </c>
    </row>
    <row r="17">
      <c r="B17">
        <f>IF($A17="","",SUMIFS(tblBase[QTD],tblBase[Coordenador],$A17))</f>
        <v/>
      </c>
      <c r="C17" s="10">
        <f>IF($A17="","",SUMIFS(tblBase[Valor_Total],tblBase[Coordenador],$A17))</f>
        <v/>
      </c>
      <c r="D17">
        <f>IF($A17="","",SUMIFS(tblBase[QTD],tblBase[Coordenador],$A17,tblBase[Grupo_Status],"Concluído"))</f>
        <v/>
      </c>
      <c r="E17" s="14">
        <f>IFERROR(D17/B17,"")</f>
        <v/>
      </c>
      <c r="F17">
        <f>IF($A17="","",SUMIFS(tblBase[QTD],tblBase[Coordenador],$A17,tblBase[Grupo_Status],"Pendente")+SUMIFS(tblBase[QTD],tblBase[Coordenador],$A17,tblBase[Grupo_Status],"Em andamento"))</f>
        <v/>
      </c>
    </row>
    <row r="18">
      <c r="B18">
        <f>IF($A18="","",SUMIFS(tblBase[QTD],tblBase[Coordenador],$A18))</f>
        <v/>
      </c>
      <c r="C18" s="10">
        <f>IF($A18="","",SUMIFS(tblBase[Valor_Total],tblBase[Coordenador],$A18))</f>
        <v/>
      </c>
      <c r="D18">
        <f>IF($A18="","",SUMIFS(tblBase[QTD],tblBase[Coordenador],$A18,tblBase[Grupo_Status],"Concluído"))</f>
        <v/>
      </c>
      <c r="E18" s="14">
        <f>IFERROR(D18/B18,"")</f>
        <v/>
      </c>
      <c r="F18">
        <f>IF($A18="","",SUMIFS(tblBase[QTD],tblBase[Coordenador],$A18,tblBase[Grupo_Status],"Pendente")+SUMIFS(tblBase[QTD],tblBase[Coordenador],$A18,tblBase[Grupo_Status],"Em andamento"))</f>
        <v/>
      </c>
    </row>
    <row r="19">
      <c r="B19">
        <f>IF($A19="","",SUMIFS(tblBase[QTD],tblBase[Coordenador],$A19))</f>
        <v/>
      </c>
      <c r="C19" s="10">
        <f>IF($A19="","",SUMIFS(tblBase[Valor_Total],tblBase[Coordenador],$A19))</f>
        <v/>
      </c>
      <c r="D19">
        <f>IF($A19="","",SUMIFS(tblBase[QTD],tblBase[Coordenador],$A19,tblBase[Grupo_Status],"Concluído"))</f>
        <v/>
      </c>
      <c r="E19" s="14">
        <f>IFERROR(D19/B19,"")</f>
        <v/>
      </c>
      <c r="F19">
        <f>IF($A19="","",SUMIFS(tblBase[QTD],tblBase[Coordenador],$A19,tblBase[Grupo_Status],"Pendente")+SUMIFS(tblBase[QTD],tblBase[Coordenador],$A19,tblBase[Grupo_Status],"Em andamento"))</f>
        <v/>
      </c>
    </row>
    <row r="20">
      <c r="B20">
        <f>IF($A20="","",SUMIFS(tblBase[QTD],tblBase[Coordenador],$A20))</f>
        <v/>
      </c>
      <c r="C20" s="10">
        <f>IF($A20="","",SUMIFS(tblBase[Valor_Total],tblBase[Coordenador],$A20))</f>
        <v/>
      </c>
      <c r="D20">
        <f>IF($A20="","",SUMIFS(tblBase[QTD],tblBase[Coordenador],$A20,tblBase[Grupo_Status],"Concluído"))</f>
        <v/>
      </c>
      <c r="E20" s="14">
        <f>IFERROR(D20/B20,"")</f>
        <v/>
      </c>
      <c r="F20">
        <f>IF($A20="","",SUMIFS(tblBase[QTD],tblBase[Coordenador],$A20,tblBase[Grupo_Status],"Pendente")+SUMIFS(tblBase[QTD],tblBase[Coordenador],$A20,tblBase[Grupo_Status],"Em andamento"))</f>
        <v/>
      </c>
    </row>
    <row r="21">
      <c r="B21">
        <f>IF($A21="","",SUMIFS(tblBase[QTD],tblBase[Coordenador],$A21))</f>
        <v/>
      </c>
      <c r="C21" s="10">
        <f>IF($A21="","",SUMIFS(tblBase[Valor_Total],tblBase[Coordenador],$A21))</f>
        <v/>
      </c>
      <c r="D21">
        <f>IF($A21="","",SUMIFS(tblBase[QTD],tblBase[Coordenador],$A21,tblBase[Grupo_Status],"Concluído"))</f>
        <v/>
      </c>
      <c r="E21" s="14">
        <f>IFERROR(D21/B21,"")</f>
        <v/>
      </c>
      <c r="F21">
        <f>IF($A21="","",SUMIFS(tblBase[QTD],tblBase[Coordenador],$A21,tblBase[Grupo_Status],"Pendente")+SUMIFS(tblBase[QTD],tblBase[Coordenador],$A21,tblBase[Grupo_Status],"Em andamento"))</f>
        <v/>
      </c>
    </row>
    <row r="22">
      <c r="B22">
        <f>IF($A22="","",SUMIFS(tblBase[QTD],tblBase[Coordenador],$A22))</f>
        <v/>
      </c>
      <c r="C22" s="10">
        <f>IF($A22="","",SUMIFS(tblBase[Valor_Total],tblBase[Coordenador],$A22))</f>
        <v/>
      </c>
      <c r="D22">
        <f>IF($A22="","",SUMIFS(tblBase[QTD],tblBase[Coordenador],$A22,tblBase[Grupo_Status],"Concluído"))</f>
        <v/>
      </c>
      <c r="E22" s="14">
        <f>IFERROR(D22/B22,"")</f>
        <v/>
      </c>
      <c r="F22">
        <f>IF($A22="","",SUMIFS(tblBase[QTD],tblBase[Coordenador],$A22,tblBase[Grupo_Status],"Pendente")+SUMIFS(tblBase[QTD],tblBase[Coordenador],$A22,tblBase[Grupo_Status],"Em andamento"))</f>
        <v/>
      </c>
    </row>
    <row r="23">
      <c r="B23">
        <f>IF($A23="","",SUMIFS(tblBase[QTD],tblBase[Coordenador],$A23))</f>
        <v/>
      </c>
      <c r="C23" s="10">
        <f>IF($A23="","",SUMIFS(tblBase[Valor_Total],tblBase[Coordenador],$A23))</f>
        <v/>
      </c>
      <c r="D23">
        <f>IF($A23="","",SUMIFS(tblBase[QTD],tblBase[Coordenador],$A23,tblBase[Grupo_Status],"Concluído"))</f>
        <v/>
      </c>
      <c r="E23" s="14">
        <f>IFERROR(D23/B23,"")</f>
        <v/>
      </c>
      <c r="F23">
        <f>IF($A23="","",SUMIFS(tblBase[QTD],tblBase[Coordenador],$A23,tblBase[Grupo_Status],"Pendente")+SUMIFS(tblBase[QTD],tblBase[Coordenador],$A23,tblBase[Grupo_Status],"Em andamento"))</f>
        <v/>
      </c>
    </row>
    <row r="24">
      <c r="B24">
        <f>IF($A24="","",SUMIFS(tblBase[QTD],tblBase[Coordenador],$A24))</f>
        <v/>
      </c>
      <c r="C24" s="10">
        <f>IF($A24="","",SUMIFS(tblBase[Valor_Total],tblBase[Coordenador],$A24))</f>
        <v/>
      </c>
      <c r="D24">
        <f>IF($A24="","",SUMIFS(tblBase[QTD],tblBase[Coordenador],$A24,tblBase[Grupo_Status],"Concluído"))</f>
        <v/>
      </c>
      <c r="E24" s="14">
        <f>IFERROR(D24/B24,"")</f>
        <v/>
      </c>
      <c r="F24">
        <f>IF($A24="","",SUMIFS(tblBase[QTD],tblBase[Coordenador],$A24,tblBase[Grupo_Status],"Pendente")+SUMIFS(tblBase[QTD],tblBase[Coordenador],$A24,tblBase[Grupo_Status],"Em andamento"))</f>
        <v/>
      </c>
    </row>
    <row r="25">
      <c r="B25">
        <f>IF($A25="","",SUMIFS(tblBase[QTD],tblBase[Coordenador],$A25))</f>
        <v/>
      </c>
      <c r="C25" s="10">
        <f>IF($A25="","",SUMIFS(tblBase[Valor_Total],tblBase[Coordenador],$A25))</f>
        <v/>
      </c>
      <c r="D25">
        <f>IF($A25="","",SUMIFS(tblBase[QTD],tblBase[Coordenador],$A25,tblBase[Grupo_Status],"Concluído"))</f>
        <v/>
      </c>
      <c r="E25" s="14">
        <f>IFERROR(D25/B25,"")</f>
        <v/>
      </c>
      <c r="F25">
        <f>IF($A25="","",SUMIFS(tblBase[QTD],tblBase[Coordenador],$A25,tblBase[Grupo_Status],"Pendente")+SUMIFS(tblBase[QTD],tblBase[Coordenador],$A25,tblBase[Grupo_Status],"Em andamento"))</f>
        <v/>
      </c>
    </row>
    <row r="26">
      <c r="A26" s="13" t="inlineStr">
        <is>
          <t>Total da base</t>
        </is>
      </c>
      <c r="B26">
        <f>SUM(tblBase[QTD])</f>
        <v/>
      </c>
      <c r="C26" s="10">
        <f>SUM(tblBase[Valor_Total])</f>
        <v/>
      </c>
      <c r="D26">
        <f>SUMIFS(tblBase[QTD],tblBase[Grupo_Status],"Concluído")</f>
        <v/>
      </c>
      <c r="E26" s="14">
        <f>IFERROR(D26/B26,"")</f>
        <v/>
      </c>
      <c r="F26">
        <f>SUMIFS(tblBase[QTD],tblBase[Grupo_Status],"Pendente")+SUMIFS(tblBase[QTD],tblBase[Grupo_Status],"Em andamento")</f>
        <v/>
      </c>
    </row>
    <row r="27">
      <c r="A27" t="inlineStr">
        <is>
          <t>Não listado acima (categoria nova)</t>
        </is>
      </c>
      <c r="B27">
        <f>B26-SUM(B4:B25)</f>
        <v/>
      </c>
      <c r="C27">
        <f>C26-SUM(C4:C25)</f>
        <v/>
      </c>
      <c r="D27">
        <f>D26-SUM(D4:D25)</f>
        <v/>
      </c>
      <c r="F27">
        <f>F26-SUM(F4:F25)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8" customWidth="1" min="3" max="3"/>
    <col width="12" customWidth="1" min="4" max="4"/>
    <col width="12" customWidth="1" min="5" max="5"/>
    <col width="11" customWidth="1" min="6" max="6"/>
  </cols>
  <sheetData>
    <row r="1">
      <c r="A1" s="12" t="inlineStr">
        <is>
          <t>Volume por UF</t>
        </is>
      </c>
    </row>
    <row r="2">
      <c r="A2" s="2" t="inlineStr">
        <is>
          <t>Digite uma nova categoria nas linhas em branco no fim da lista: as fórmulas já estão prontas.</t>
        </is>
      </c>
    </row>
    <row r="3">
      <c r="A3" s="3" t="inlineStr">
        <is>
          <t>Categoria</t>
        </is>
      </c>
      <c r="B3" s="3" t="inlineStr">
        <is>
          <t>Itens</t>
        </is>
      </c>
      <c r="C3" s="3" t="inlineStr">
        <is>
          <t>Valor total (R$)</t>
        </is>
      </c>
      <c r="D3" s="3" t="inlineStr">
        <is>
          <t>Devolvidos</t>
        </is>
      </c>
      <c r="E3" s="3" t="inlineStr">
        <is>
          <t>% devolvido</t>
        </is>
      </c>
      <c r="F3" s="3" t="inlineStr">
        <is>
          <t>Em aberto</t>
        </is>
      </c>
    </row>
    <row r="4">
      <c r="A4" t="inlineStr">
        <is>
          <t>AC</t>
        </is>
      </c>
      <c r="B4">
        <f>IF($A4="","",SUMIFS(tblBase[QTD],tblBase[UF],$A4))</f>
        <v/>
      </c>
      <c r="C4" s="10">
        <f>IF($A4="","",SUMIFS(tblBase[Valor_Total],tblBase[UF],$A4))</f>
        <v/>
      </c>
      <c r="D4">
        <f>IF($A4="","",SUMIFS(tblBase[QTD],tblBase[UF],$A4,tblBase[Grupo_Status],"Concluído"))</f>
        <v/>
      </c>
      <c r="E4" s="14">
        <f>IFERROR(D4/B4,"")</f>
        <v/>
      </c>
      <c r="F4">
        <f>IF($A4="","",SUMIFS(tblBase[QTD],tblBase[UF],$A4,tblBase[Grupo_Status],"Pendente")+SUMIFS(tblBase[QTD],tblBase[UF],$A4,tblBase[Grupo_Status],"Em andamento"))</f>
        <v/>
      </c>
    </row>
    <row r="5">
      <c r="A5" t="inlineStr">
        <is>
          <t>AL</t>
        </is>
      </c>
      <c r="B5">
        <f>IF($A5="","",SUMIFS(tblBase[QTD],tblBase[UF],$A5))</f>
        <v/>
      </c>
      <c r="C5" s="10">
        <f>IF($A5="","",SUMIFS(tblBase[Valor_Total],tblBase[UF],$A5))</f>
        <v/>
      </c>
      <c r="D5">
        <f>IF($A5="","",SUMIFS(tblBase[QTD],tblBase[UF],$A5,tblBase[Grupo_Status],"Concluído"))</f>
        <v/>
      </c>
      <c r="E5" s="14">
        <f>IFERROR(D5/B5,"")</f>
        <v/>
      </c>
      <c r="F5">
        <f>IF($A5="","",SUMIFS(tblBase[QTD],tblBase[UF],$A5,tblBase[Grupo_Status],"Pendente")+SUMIFS(tblBase[QTD],tblBase[UF],$A5,tblBase[Grupo_Status],"Em andamento"))</f>
        <v/>
      </c>
    </row>
    <row r="6">
      <c r="A6" t="inlineStr">
        <is>
          <t>AM</t>
        </is>
      </c>
      <c r="B6">
        <f>IF($A6="","",SUMIFS(tblBase[QTD],tblBase[UF],$A6))</f>
        <v/>
      </c>
      <c r="C6" s="10">
        <f>IF($A6="","",SUMIFS(tblBase[Valor_Total],tblBase[UF],$A6))</f>
        <v/>
      </c>
      <c r="D6">
        <f>IF($A6="","",SUMIFS(tblBase[QTD],tblBase[UF],$A6,tblBase[Grupo_Status],"Concluído"))</f>
        <v/>
      </c>
      <c r="E6" s="14">
        <f>IFERROR(D6/B6,"")</f>
        <v/>
      </c>
      <c r="F6">
        <f>IF($A6="","",SUMIFS(tblBase[QTD],tblBase[UF],$A6,tblBase[Grupo_Status],"Pendente")+SUMIFS(tblBase[QTD],tblBase[UF],$A6,tblBase[Grupo_Status],"Em andamento"))</f>
        <v/>
      </c>
    </row>
    <row r="7">
      <c r="A7" t="inlineStr">
        <is>
          <t>AP</t>
        </is>
      </c>
      <c r="B7">
        <f>IF($A7="","",SUMIFS(tblBase[QTD],tblBase[UF],$A7))</f>
        <v/>
      </c>
      <c r="C7" s="10">
        <f>IF($A7="","",SUMIFS(tblBase[Valor_Total],tblBase[UF],$A7))</f>
        <v/>
      </c>
      <c r="D7">
        <f>IF($A7="","",SUMIFS(tblBase[QTD],tblBase[UF],$A7,tblBase[Grupo_Status],"Concluído"))</f>
        <v/>
      </c>
      <c r="E7" s="14">
        <f>IFERROR(D7/B7,"")</f>
        <v/>
      </c>
      <c r="F7">
        <f>IF($A7="","",SUMIFS(tblBase[QTD],tblBase[UF],$A7,tblBase[Grupo_Status],"Pendente")+SUMIFS(tblBase[QTD],tblBase[UF],$A7,tblBase[Grupo_Status],"Em andamento"))</f>
        <v/>
      </c>
    </row>
    <row r="8">
      <c r="A8" t="inlineStr">
        <is>
          <t>BA</t>
        </is>
      </c>
      <c r="B8">
        <f>IF($A8="","",SUMIFS(tblBase[QTD],tblBase[UF],$A8))</f>
        <v/>
      </c>
      <c r="C8" s="10">
        <f>IF($A8="","",SUMIFS(tblBase[Valor_Total],tblBase[UF],$A8))</f>
        <v/>
      </c>
      <c r="D8">
        <f>IF($A8="","",SUMIFS(tblBase[QTD],tblBase[UF],$A8,tblBase[Grupo_Status],"Concluído"))</f>
        <v/>
      </c>
      <c r="E8" s="14">
        <f>IFERROR(D8/B8,"")</f>
        <v/>
      </c>
      <c r="F8">
        <f>IF($A8="","",SUMIFS(tblBase[QTD],tblBase[UF],$A8,tblBase[Grupo_Status],"Pendente")+SUMIFS(tblBase[QTD],tblBase[UF],$A8,tblBase[Grupo_Status],"Em andamento"))</f>
        <v/>
      </c>
    </row>
    <row r="9">
      <c r="A9" t="inlineStr">
        <is>
          <t>CE</t>
        </is>
      </c>
      <c r="B9">
        <f>IF($A9="","",SUMIFS(tblBase[QTD],tblBase[UF],$A9))</f>
        <v/>
      </c>
      <c r="C9" s="10">
        <f>IF($A9="","",SUMIFS(tblBase[Valor_Total],tblBase[UF],$A9))</f>
        <v/>
      </c>
      <c r="D9">
        <f>IF($A9="","",SUMIFS(tblBase[QTD],tblBase[UF],$A9,tblBase[Grupo_Status],"Concluído"))</f>
        <v/>
      </c>
      <c r="E9" s="14">
        <f>IFERROR(D9/B9,"")</f>
        <v/>
      </c>
      <c r="F9">
        <f>IF($A9="","",SUMIFS(tblBase[QTD],tblBase[UF],$A9,tblBase[Grupo_Status],"Pendente")+SUMIFS(tblBase[QTD],tblBase[UF],$A9,tblBase[Grupo_Status],"Em andamento"))</f>
        <v/>
      </c>
    </row>
    <row r="10">
      <c r="A10" t="inlineStr">
        <is>
          <t>DF</t>
        </is>
      </c>
      <c r="B10">
        <f>IF($A10="","",SUMIFS(tblBase[QTD],tblBase[UF],$A10))</f>
        <v/>
      </c>
      <c r="C10" s="10">
        <f>IF($A10="","",SUMIFS(tblBase[Valor_Total],tblBase[UF],$A10))</f>
        <v/>
      </c>
      <c r="D10">
        <f>IF($A10="","",SUMIFS(tblBase[QTD],tblBase[UF],$A10,tblBase[Grupo_Status],"Concluído"))</f>
        <v/>
      </c>
      <c r="E10" s="14">
        <f>IFERROR(D10/B10,"")</f>
        <v/>
      </c>
      <c r="F10">
        <f>IF($A10="","",SUMIFS(tblBase[QTD],tblBase[UF],$A10,tblBase[Grupo_Status],"Pendente")+SUMIFS(tblBase[QTD],tblBase[UF],$A10,tblBase[Grupo_Status],"Em andamento"))</f>
        <v/>
      </c>
    </row>
    <row r="11">
      <c r="A11" t="inlineStr">
        <is>
          <t>ES</t>
        </is>
      </c>
      <c r="B11">
        <f>IF($A11="","",SUMIFS(tblBase[QTD],tblBase[UF],$A11))</f>
        <v/>
      </c>
      <c r="C11" s="10">
        <f>IF($A11="","",SUMIFS(tblBase[Valor_Total],tblBase[UF],$A11))</f>
        <v/>
      </c>
      <c r="D11">
        <f>IF($A11="","",SUMIFS(tblBase[QTD],tblBase[UF],$A11,tblBase[Grupo_Status],"Concluído"))</f>
        <v/>
      </c>
      <c r="E11" s="14">
        <f>IFERROR(D11/B11,"")</f>
        <v/>
      </c>
      <c r="F11">
        <f>IF($A11="","",SUMIFS(tblBase[QTD],tblBase[UF],$A11,tblBase[Grupo_Status],"Pendente")+SUMIFS(tblBase[QTD],tblBase[UF],$A11,tblBase[Grupo_Status],"Em andamento"))</f>
        <v/>
      </c>
    </row>
    <row r="12">
      <c r="A12" t="inlineStr">
        <is>
          <t>GO</t>
        </is>
      </c>
      <c r="B12">
        <f>IF($A12="","",SUMIFS(tblBase[QTD],tblBase[UF],$A12))</f>
        <v/>
      </c>
      <c r="C12" s="10">
        <f>IF($A12="","",SUMIFS(tblBase[Valor_Total],tblBase[UF],$A12))</f>
        <v/>
      </c>
      <c r="D12">
        <f>IF($A12="","",SUMIFS(tblBase[QTD],tblBase[UF],$A12,tblBase[Grupo_Status],"Concluído"))</f>
        <v/>
      </c>
      <c r="E12" s="14">
        <f>IFERROR(D12/B12,"")</f>
        <v/>
      </c>
      <c r="F12">
        <f>IF($A12="","",SUMIFS(tblBase[QTD],tblBase[UF],$A12,tblBase[Grupo_Status],"Pendente")+SUMIFS(tblBase[QTD],tblBase[UF],$A12,tblBase[Grupo_Status],"Em andamento"))</f>
        <v/>
      </c>
    </row>
    <row r="13">
      <c r="A13" t="inlineStr">
        <is>
          <t>MA</t>
        </is>
      </c>
      <c r="B13">
        <f>IF($A13="","",SUMIFS(tblBase[QTD],tblBase[UF],$A13))</f>
        <v/>
      </c>
      <c r="C13" s="10">
        <f>IF($A13="","",SUMIFS(tblBase[Valor_Total],tblBase[UF],$A13))</f>
        <v/>
      </c>
      <c r="D13">
        <f>IF($A13="","",SUMIFS(tblBase[QTD],tblBase[UF],$A13,tblBase[Grupo_Status],"Concluído"))</f>
        <v/>
      </c>
      <c r="E13" s="14">
        <f>IFERROR(D13/B13,"")</f>
        <v/>
      </c>
      <c r="F13">
        <f>IF($A13="","",SUMIFS(tblBase[QTD],tblBase[UF],$A13,tblBase[Grupo_Status],"Pendente")+SUMIFS(tblBase[QTD],tblBase[UF],$A13,tblBase[Grupo_Status],"Em andamento"))</f>
        <v/>
      </c>
    </row>
    <row r="14">
      <c r="A14" t="inlineStr">
        <is>
          <t>MG</t>
        </is>
      </c>
      <c r="B14">
        <f>IF($A14="","",SUMIFS(tblBase[QTD],tblBase[UF],$A14))</f>
        <v/>
      </c>
      <c r="C14" s="10">
        <f>IF($A14="","",SUMIFS(tblBase[Valor_Total],tblBase[UF],$A14))</f>
        <v/>
      </c>
      <c r="D14">
        <f>IF($A14="","",SUMIFS(tblBase[QTD],tblBase[UF],$A14,tblBase[Grupo_Status],"Concluído"))</f>
        <v/>
      </c>
      <c r="E14" s="14">
        <f>IFERROR(D14/B14,"")</f>
        <v/>
      </c>
      <c r="F14">
        <f>IF($A14="","",SUMIFS(tblBase[QTD],tblBase[UF],$A14,tblBase[Grupo_Status],"Pendente")+SUMIFS(tblBase[QTD],tblBase[UF],$A14,tblBase[Grupo_Status],"Em andamento"))</f>
        <v/>
      </c>
    </row>
    <row r="15">
      <c r="A15" t="inlineStr">
        <is>
          <t>MS</t>
        </is>
      </c>
      <c r="B15">
        <f>IF($A15="","",SUMIFS(tblBase[QTD],tblBase[UF],$A15))</f>
        <v/>
      </c>
      <c r="C15" s="10">
        <f>IF($A15="","",SUMIFS(tblBase[Valor_Total],tblBase[UF],$A15))</f>
        <v/>
      </c>
      <c r="D15">
        <f>IF($A15="","",SUMIFS(tblBase[QTD],tblBase[UF],$A15,tblBase[Grupo_Status],"Concluído"))</f>
        <v/>
      </c>
      <c r="E15" s="14">
        <f>IFERROR(D15/B15,"")</f>
        <v/>
      </c>
      <c r="F15">
        <f>IF($A15="","",SUMIFS(tblBase[QTD],tblBase[UF],$A15,tblBase[Grupo_Status],"Pendente")+SUMIFS(tblBase[QTD],tblBase[UF],$A15,tblBase[Grupo_Status],"Em andamento"))</f>
        <v/>
      </c>
    </row>
    <row r="16">
      <c r="A16" t="inlineStr">
        <is>
          <t>MT</t>
        </is>
      </c>
      <c r="B16">
        <f>IF($A16="","",SUMIFS(tblBase[QTD],tblBase[UF],$A16))</f>
        <v/>
      </c>
      <c r="C16" s="10">
        <f>IF($A16="","",SUMIFS(tblBase[Valor_Total],tblBase[UF],$A16))</f>
        <v/>
      </c>
      <c r="D16">
        <f>IF($A16="","",SUMIFS(tblBase[QTD],tblBase[UF],$A16,tblBase[Grupo_Status],"Concluído"))</f>
        <v/>
      </c>
      <c r="E16" s="14">
        <f>IFERROR(D16/B16,"")</f>
        <v/>
      </c>
      <c r="F16">
        <f>IF($A16="","",SUMIFS(tblBase[QTD],tblBase[UF],$A16,tblBase[Grupo_Status],"Pendente")+SUMIFS(tblBase[QTD],tblBase[UF],$A16,tblBase[Grupo_Status],"Em andamento"))</f>
        <v/>
      </c>
    </row>
    <row r="17">
      <c r="A17" t="inlineStr">
        <is>
          <t>PA</t>
        </is>
      </c>
      <c r="B17">
        <f>IF($A17="","",SUMIFS(tblBase[QTD],tblBase[UF],$A17))</f>
        <v/>
      </c>
      <c r="C17" s="10">
        <f>IF($A17="","",SUMIFS(tblBase[Valor_Total],tblBase[UF],$A17))</f>
        <v/>
      </c>
      <c r="D17">
        <f>IF($A17="","",SUMIFS(tblBase[QTD],tblBase[UF],$A17,tblBase[Grupo_Status],"Concluído"))</f>
        <v/>
      </c>
      <c r="E17" s="14">
        <f>IFERROR(D17/B17,"")</f>
        <v/>
      </c>
      <c r="F17">
        <f>IF($A17="","",SUMIFS(tblBase[QTD],tblBase[UF],$A17,tblBase[Grupo_Status],"Pendente")+SUMIFS(tblBase[QTD],tblBase[UF],$A17,tblBase[Grupo_Status],"Em andamento"))</f>
        <v/>
      </c>
    </row>
    <row r="18">
      <c r="A18" t="inlineStr">
        <is>
          <t>PB</t>
        </is>
      </c>
      <c r="B18">
        <f>IF($A18="","",SUMIFS(tblBase[QTD],tblBase[UF],$A18))</f>
        <v/>
      </c>
      <c r="C18" s="10">
        <f>IF($A18="","",SUMIFS(tblBase[Valor_Total],tblBase[UF],$A18))</f>
        <v/>
      </c>
      <c r="D18">
        <f>IF($A18="","",SUMIFS(tblBase[QTD],tblBase[UF],$A18,tblBase[Grupo_Status],"Concluído"))</f>
        <v/>
      </c>
      <c r="E18" s="14">
        <f>IFERROR(D18/B18,"")</f>
        <v/>
      </c>
      <c r="F18">
        <f>IF($A18="","",SUMIFS(tblBase[QTD],tblBase[UF],$A18,tblBase[Grupo_Status],"Pendente")+SUMIFS(tblBase[QTD],tblBase[UF],$A18,tblBase[Grupo_Status],"Em andamento"))</f>
        <v/>
      </c>
    </row>
    <row r="19">
      <c r="A19" t="inlineStr">
        <is>
          <t>PE</t>
        </is>
      </c>
      <c r="B19">
        <f>IF($A19="","",SUMIFS(tblBase[QTD],tblBase[UF],$A19))</f>
        <v/>
      </c>
      <c r="C19" s="10">
        <f>IF($A19="","",SUMIFS(tblBase[Valor_Total],tblBase[UF],$A19))</f>
        <v/>
      </c>
      <c r="D19">
        <f>IF($A19="","",SUMIFS(tblBase[QTD],tblBase[UF],$A19,tblBase[Grupo_Status],"Concluído"))</f>
        <v/>
      </c>
      <c r="E19" s="14">
        <f>IFERROR(D19/B19,"")</f>
        <v/>
      </c>
      <c r="F19">
        <f>IF($A19="","",SUMIFS(tblBase[QTD],tblBase[UF],$A19,tblBase[Grupo_Status],"Pendente")+SUMIFS(tblBase[QTD],tblBase[UF],$A19,tblBase[Grupo_Status],"Em andamento"))</f>
        <v/>
      </c>
    </row>
    <row r="20">
      <c r="A20" t="inlineStr">
        <is>
          <t>PI</t>
        </is>
      </c>
      <c r="B20">
        <f>IF($A20="","",SUMIFS(tblBase[QTD],tblBase[UF],$A20))</f>
        <v/>
      </c>
      <c r="C20" s="10">
        <f>IF($A20="","",SUMIFS(tblBase[Valor_Total],tblBase[UF],$A20))</f>
        <v/>
      </c>
      <c r="D20">
        <f>IF($A20="","",SUMIFS(tblBase[QTD],tblBase[UF],$A20,tblBase[Grupo_Status],"Concluído"))</f>
        <v/>
      </c>
      <c r="E20" s="14">
        <f>IFERROR(D20/B20,"")</f>
        <v/>
      </c>
      <c r="F20">
        <f>IF($A20="","",SUMIFS(tblBase[QTD],tblBase[UF],$A20,tblBase[Grupo_Status],"Pendente")+SUMIFS(tblBase[QTD],tblBase[UF],$A20,tblBase[Grupo_Status],"Em andamento"))</f>
        <v/>
      </c>
    </row>
    <row r="21">
      <c r="A21" t="inlineStr">
        <is>
          <t>PR</t>
        </is>
      </c>
      <c r="B21">
        <f>IF($A21="","",SUMIFS(tblBase[QTD],tblBase[UF],$A21))</f>
        <v/>
      </c>
      <c r="C21" s="10">
        <f>IF($A21="","",SUMIFS(tblBase[Valor_Total],tblBase[UF],$A21))</f>
        <v/>
      </c>
      <c r="D21">
        <f>IF($A21="","",SUMIFS(tblBase[QTD],tblBase[UF],$A21,tblBase[Grupo_Status],"Concluído"))</f>
        <v/>
      </c>
      <c r="E21" s="14">
        <f>IFERROR(D21/B21,"")</f>
        <v/>
      </c>
      <c r="F21">
        <f>IF($A21="","",SUMIFS(tblBase[QTD],tblBase[UF],$A21,tblBase[Grupo_Status],"Pendente")+SUMIFS(tblBase[QTD],tblBase[UF],$A21,tblBase[Grupo_Status],"Em andamento"))</f>
        <v/>
      </c>
    </row>
    <row r="22">
      <c r="A22" t="inlineStr">
        <is>
          <t>RJ</t>
        </is>
      </c>
      <c r="B22">
        <f>IF($A22="","",SUMIFS(tblBase[QTD],tblBase[UF],$A22))</f>
        <v/>
      </c>
      <c r="C22" s="10">
        <f>IF($A22="","",SUMIFS(tblBase[Valor_Total],tblBase[UF],$A22))</f>
        <v/>
      </c>
      <c r="D22">
        <f>IF($A22="","",SUMIFS(tblBase[QTD],tblBase[UF],$A22,tblBase[Grupo_Status],"Concluído"))</f>
        <v/>
      </c>
      <c r="E22" s="14">
        <f>IFERROR(D22/B22,"")</f>
        <v/>
      </c>
      <c r="F22">
        <f>IF($A22="","",SUMIFS(tblBase[QTD],tblBase[UF],$A22,tblBase[Grupo_Status],"Pendente")+SUMIFS(tblBase[QTD],tblBase[UF],$A22,tblBase[Grupo_Status],"Em andamento"))</f>
        <v/>
      </c>
    </row>
    <row r="23">
      <c r="A23" t="inlineStr">
        <is>
          <t>RN</t>
        </is>
      </c>
      <c r="B23">
        <f>IF($A23="","",SUMIFS(tblBase[QTD],tblBase[UF],$A23))</f>
        <v/>
      </c>
      <c r="C23" s="10">
        <f>IF($A23="","",SUMIFS(tblBase[Valor_Total],tblBase[UF],$A23))</f>
        <v/>
      </c>
      <c r="D23">
        <f>IF($A23="","",SUMIFS(tblBase[QTD],tblBase[UF],$A23,tblBase[Grupo_Status],"Concluído"))</f>
        <v/>
      </c>
      <c r="E23" s="14">
        <f>IFERROR(D23/B23,"")</f>
        <v/>
      </c>
      <c r="F23">
        <f>IF($A23="","",SUMIFS(tblBase[QTD],tblBase[UF],$A23,tblBase[Grupo_Status],"Pendente")+SUMIFS(tblBase[QTD],tblBase[UF],$A23,tblBase[Grupo_Status],"Em andamento"))</f>
        <v/>
      </c>
    </row>
    <row r="24">
      <c r="A24" t="inlineStr">
        <is>
          <t>RO</t>
        </is>
      </c>
      <c r="B24">
        <f>IF($A24="","",SUMIFS(tblBase[QTD],tblBase[UF],$A24))</f>
        <v/>
      </c>
      <c r="C24" s="10">
        <f>IF($A24="","",SUMIFS(tblBase[Valor_Total],tblBase[UF],$A24))</f>
        <v/>
      </c>
      <c r="D24">
        <f>IF($A24="","",SUMIFS(tblBase[QTD],tblBase[UF],$A24,tblBase[Grupo_Status],"Concluído"))</f>
        <v/>
      </c>
      <c r="E24" s="14">
        <f>IFERROR(D24/B24,"")</f>
        <v/>
      </c>
      <c r="F24">
        <f>IF($A24="","",SUMIFS(tblBase[QTD],tblBase[UF],$A24,tblBase[Grupo_Status],"Pendente")+SUMIFS(tblBase[QTD],tblBase[UF],$A24,tblBase[Grupo_Status],"Em andamento"))</f>
        <v/>
      </c>
    </row>
    <row r="25">
      <c r="A25" t="inlineStr">
        <is>
          <t>RR</t>
        </is>
      </c>
      <c r="B25">
        <f>IF($A25="","",SUMIFS(tblBase[QTD],tblBase[UF],$A25))</f>
        <v/>
      </c>
      <c r="C25" s="10">
        <f>IF($A25="","",SUMIFS(tblBase[Valor_Total],tblBase[UF],$A25))</f>
        <v/>
      </c>
      <c r="D25">
        <f>IF($A25="","",SUMIFS(tblBase[QTD],tblBase[UF],$A25,tblBase[Grupo_Status],"Concluído"))</f>
        <v/>
      </c>
      <c r="E25" s="14">
        <f>IFERROR(D25/B25,"")</f>
        <v/>
      </c>
      <c r="F25">
        <f>IF($A25="","",SUMIFS(tblBase[QTD],tblBase[UF],$A25,tblBase[Grupo_Status],"Pendente")+SUMIFS(tblBase[QTD],tblBase[UF],$A25,tblBase[Grupo_Status],"Em andamento"))</f>
        <v/>
      </c>
    </row>
    <row r="26">
      <c r="A26" t="inlineStr">
        <is>
          <t>RS</t>
        </is>
      </c>
      <c r="B26">
        <f>IF($A26="","",SUMIFS(tblBase[QTD],tblBase[UF],$A26))</f>
        <v/>
      </c>
      <c r="C26" s="10">
        <f>IF($A26="","",SUMIFS(tblBase[Valor_Total],tblBase[UF],$A26))</f>
        <v/>
      </c>
      <c r="D26">
        <f>IF($A26="","",SUMIFS(tblBase[QTD],tblBase[UF],$A26,tblBase[Grupo_Status],"Concluído"))</f>
        <v/>
      </c>
      <c r="E26" s="14">
        <f>IFERROR(D26/B26,"")</f>
        <v/>
      </c>
      <c r="F26">
        <f>IF($A26="","",SUMIFS(tblBase[QTD],tblBase[UF],$A26,tblBase[Grupo_Status],"Pendente")+SUMIFS(tblBase[QTD],tblBase[UF],$A26,tblBase[Grupo_Status],"Em andamento"))</f>
        <v/>
      </c>
    </row>
    <row r="27">
      <c r="A27" t="inlineStr">
        <is>
          <t>SC</t>
        </is>
      </c>
      <c r="B27">
        <f>IF($A27="","",SUMIFS(tblBase[QTD],tblBase[UF],$A27))</f>
        <v/>
      </c>
      <c r="C27" s="10">
        <f>IF($A27="","",SUMIFS(tblBase[Valor_Total],tblBase[UF],$A27))</f>
        <v/>
      </c>
      <c r="D27">
        <f>IF($A27="","",SUMIFS(tblBase[QTD],tblBase[UF],$A27,tblBase[Grupo_Status],"Concluído"))</f>
        <v/>
      </c>
      <c r="E27" s="14">
        <f>IFERROR(D27/B27,"")</f>
        <v/>
      </c>
      <c r="F27">
        <f>IF($A27="","",SUMIFS(tblBase[QTD],tblBase[UF],$A27,tblBase[Grupo_Status],"Pendente")+SUMIFS(tblBase[QTD],tblBase[UF],$A27,tblBase[Grupo_Status],"Em andamento"))</f>
        <v/>
      </c>
    </row>
    <row r="28">
      <c r="A28" t="inlineStr">
        <is>
          <t>SE</t>
        </is>
      </c>
      <c r="B28">
        <f>IF($A28="","",SUMIFS(tblBase[QTD],tblBase[UF],$A28))</f>
        <v/>
      </c>
      <c r="C28" s="10">
        <f>IF($A28="","",SUMIFS(tblBase[Valor_Total],tblBase[UF],$A28))</f>
        <v/>
      </c>
      <c r="D28">
        <f>IF($A28="","",SUMIFS(tblBase[QTD],tblBase[UF],$A28,tblBase[Grupo_Status],"Concluído"))</f>
        <v/>
      </c>
      <c r="E28" s="14">
        <f>IFERROR(D28/B28,"")</f>
        <v/>
      </c>
      <c r="F28">
        <f>IF($A28="","",SUMIFS(tblBase[QTD],tblBase[UF],$A28,tblBase[Grupo_Status],"Pendente")+SUMIFS(tblBase[QTD],tblBase[UF],$A28,tblBase[Grupo_Status],"Em andamento"))</f>
        <v/>
      </c>
    </row>
    <row r="29">
      <c r="A29" t="inlineStr">
        <is>
          <t>SP</t>
        </is>
      </c>
      <c r="B29">
        <f>IF($A29="","",SUMIFS(tblBase[QTD],tblBase[UF],$A29))</f>
        <v/>
      </c>
      <c r="C29" s="10">
        <f>IF($A29="","",SUMIFS(tblBase[Valor_Total],tblBase[UF],$A29))</f>
        <v/>
      </c>
      <c r="D29">
        <f>IF($A29="","",SUMIFS(tblBase[QTD],tblBase[UF],$A29,tblBase[Grupo_Status],"Concluído"))</f>
        <v/>
      </c>
      <c r="E29" s="14">
        <f>IFERROR(D29/B29,"")</f>
        <v/>
      </c>
      <c r="F29">
        <f>IF($A29="","",SUMIFS(tblBase[QTD],tblBase[UF],$A29,tblBase[Grupo_Status],"Pendente")+SUMIFS(tblBase[QTD],tblBase[UF],$A29,tblBase[Grupo_Status],"Em andamento"))</f>
        <v/>
      </c>
    </row>
    <row r="30">
      <c r="A30" t="inlineStr">
        <is>
          <t>TO</t>
        </is>
      </c>
      <c r="B30">
        <f>IF($A30="","",SUMIFS(tblBase[QTD],tblBase[UF],$A30))</f>
        <v/>
      </c>
      <c r="C30" s="10">
        <f>IF($A30="","",SUMIFS(tblBase[Valor_Total],tblBase[UF],$A30))</f>
        <v/>
      </c>
      <c r="D30">
        <f>IF($A30="","",SUMIFS(tblBase[QTD],tblBase[UF],$A30,tblBase[Grupo_Status],"Concluído"))</f>
        <v/>
      </c>
      <c r="E30" s="14">
        <f>IFERROR(D30/B30,"")</f>
        <v/>
      </c>
      <c r="F30">
        <f>IF($A30="","",SUMIFS(tblBase[QTD],tblBase[UF],$A30,tblBase[Grupo_Status],"Pendente")+SUMIFS(tblBase[QTD],tblBase[UF],$A30,tblBase[Grupo_Status],"Em andamento"))</f>
        <v/>
      </c>
    </row>
    <row r="31">
      <c r="B31">
        <f>IF($A31="","",SUMIFS(tblBase[QTD],tblBase[UF],$A31))</f>
        <v/>
      </c>
      <c r="C31" s="10">
        <f>IF($A31="","",SUMIFS(tblBase[Valor_Total],tblBase[UF],$A31))</f>
        <v/>
      </c>
      <c r="D31">
        <f>IF($A31="","",SUMIFS(tblBase[QTD],tblBase[UF],$A31,tblBase[Grupo_Status],"Concluído"))</f>
        <v/>
      </c>
      <c r="E31" s="14">
        <f>IFERROR(D31/B31,"")</f>
        <v/>
      </c>
      <c r="F31">
        <f>IF($A31="","",SUMIFS(tblBase[QTD],tblBase[UF],$A31,tblBase[Grupo_Status],"Pendente")+SUMIFS(tblBase[QTD],tblBase[UF],$A31,tblBase[Grupo_Status],"Em andamento"))</f>
        <v/>
      </c>
    </row>
    <row r="32">
      <c r="B32">
        <f>IF($A32="","",SUMIFS(tblBase[QTD],tblBase[UF],$A32))</f>
        <v/>
      </c>
      <c r="C32" s="10">
        <f>IF($A32="","",SUMIFS(tblBase[Valor_Total],tblBase[UF],$A32))</f>
        <v/>
      </c>
      <c r="D32">
        <f>IF($A32="","",SUMIFS(tblBase[QTD],tblBase[UF],$A32,tblBase[Grupo_Status],"Concluído"))</f>
        <v/>
      </c>
      <c r="E32" s="14">
        <f>IFERROR(D32/B32,"")</f>
        <v/>
      </c>
      <c r="F32">
        <f>IF($A32="","",SUMIFS(tblBase[QTD],tblBase[UF],$A32,tblBase[Grupo_Status],"Pendente")+SUMIFS(tblBase[QTD],tblBase[UF],$A32,tblBase[Grupo_Status],"Em andamento"))</f>
        <v/>
      </c>
    </row>
    <row r="33">
      <c r="B33">
        <f>IF($A33="","",SUMIFS(tblBase[QTD],tblBase[UF],$A33))</f>
        <v/>
      </c>
      <c r="C33" s="10">
        <f>IF($A33="","",SUMIFS(tblBase[Valor_Total],tblBase[UF],$A33))</f>
        <v/>
      </c>
      <c r="D33">
        <f>IF($A33="","",SUMIFS(tblBase[QTD],tblBase[UF],$A33,tblBase[Grupo_Status],"Concluído"))</f>
        <v/>
      </c>
      <c r="E33" s="14">
        <f>IFERROR(D33/B33,"")</f>
        <v/>
      </c>
      <c r="F33">
        <f>IF($A33="","",SUMIFS(tblBase[QTD],tblBase[UF],$A33,tblBase[Grupo_Status],"Pendente")+SUMIFS(tblBase[QTD],tblBase[UF],$A33,tblBase[Grupo_Status],"Em andamento"))</f>
        <v/>
      </c>
    </row>
    <row r="34">
      <c r="B34">
        <f>IF($A34="","",SUMIFS(tblBase[QTD],tblBase[UF],$A34))</f>
        <v/>
      </c>
      <c r="C34" s="10">
        <f>IF($A34="","",SUMIFS(tblBase[Valor_Total],tblBase[UF],$A34))</f>
        <v/>
      </c>
      <c r="D34">
        <f>IF($A34="","",SUMIFS(tblBase[QTD],tblBase[UF],$A34,tblBase[Grupo_Status],"Concluído"))</f>
        <v/>
      </c>
      <c r="E34" s="14">
        <f>IFERROR(D34/B34,"")</f>
        <v/>
      </c>
      <c r="F34">
        <f>IF($A34="","",SUMIFS(tblBase[QTD],tblBase[UF],$A34,tblBase[Grupo_Status],"Pendente")+SUMIFS(tblBase[QTD],tblBase[UF],$A34,tblBase[Grupo_Status],"Em andamento"))</f>
        <v/>
      </c>
    </row>
    <row r="35">
      <c r="B35">
        <f>IF($A35="","",SUMIFS(tblBase[QTD],tblBase[UF],$A35))</f>
        <v/>
      </c>
      <c r="C35" s="10">
        <f>IF($A35="","",SUMIFS(tblBase[Valor_Total],tblBase[UF],$A35))</f>
        <v/>
      </c>
      <c r="D35">
        <f>IF($A35="","",SUMIFS(tblBase[QTD],tblBase[UF],$A35,tblBase[Grupo_Status],"Concluído"))</f>
        <v/>
      </c>
      <c r="E35" s="14">
        <f>IFERROR(D35/B35,"")</f>
        <v/>
      </c>
      <c r="F35">
        <f>IF($A35="","",SUMIFS(tblBase[QTD],tblBase[UF],$A35,tblBase[Grupo_Status],"Pendente")+SUMIFS(tblBase[QTD],tblBase[UF],$A35,tblBase[Grupo_Status],"Em andamento"))</f>
        <v/>
      </c>
    </row>
    <row r="36">
      <c r="A36" s="13" t="inlineStr">
        <is>
          <t>Total da base</t>
        </is>
      </c>
      <c r="B36">
        <f>SUM(tblBase[QTD])</f>
        <v/>
      </c>
      <c r="C36" s="10">
        <f>SUM(tblBase[Valor_Total])</f>
        <v/>
      </c>
      <c r="D36">
        <f>SUMIFS(tblBase[QTD],tblBase[Grupo_Status],"Concluído")</f>
        <v/>
      </c>
      <c r="E36" s="14">
        <f>IFERROR(D36/B36,"")</f>
        <v/>
      </c>
      <c r="F36">
        <f>SUMIFS(tblBase[QTD],tblBase[Grupo_Status],"Pendente")+SUMIFS(tblBase[QTD],tblBase[Grupo_Status],"Em andamento")</f>
        <v/>
      </c>
    </row>
    <row r="37">
      <c r="A37" t="inlineStr">
        <is>
          <t>Não listado acima (categoria nova)</t>
        </is>
      </c>
      <c r="B37">
        <f>B36-SUM(B4:B35)</f>
        <v/>
      </c>
      <c r="C37">
        <f>C36-SUM(C4:C35)</f>
        <v/>
      </c>
      <c r="D37">
        <f>D36-SUM(D4:D35)</f>
        <v/>
      </c>
      <c r="F37">
        <f>F36-SUM(F4:F35)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18" customWidth="1" min="4" max="4"/>
    <col width="11" customWidth="1" min="5" max="5"/>
  </cols>
  <sheetData>
    <row r="1">
      <c r="A1" s="12" t="inlineStr">
        <is>
          <t>Peças com maior volume (edite os códigos da coluna A; o restante é fórmula)</t>
        </is>
      </c>
    </row>
    <row r="3">
      <c r="A3" s="3" t="inlineStr">
        <is>
          <t>Código</t>
        </is>
      </c>
      <c r="B3" s="3" t="inlineStr">
        <is>
          <t>Descrição</t>
        </is>
      </c>
      <c r="C3" s="3" t="inlineStr">
        <is>
          <t>Itens</t>
        </is>
      </c>
      <c r="D3" s="3" t="inlineStr">
        <is>
          <t>Valor total (R$)</t>
        </is>
      </c>
      <c r="E3" s="3" t="inlineStr">
        <is>
          <t>Em aberto</t>
        </is>
      </c>
    </row>
    <row r="4">
      <c r="A4" t="inlineStr">
        <is>
          <t>PC-0001</t>
        </is>
      </c>
      <c r="B4">
        <f>IFERROR(INDEX(tblValores[Peça],MATCH($A4,tblValores[Cód. Peça],0)),"")</f>
        <v/>
      </c>
      <c r="C4">
        <f>IF($A4="","",SUMIFS(tblBase[QTD],tblBase[Codigo_Peca],$A4))</f>
        <v/>
      </c>
      <c r="D4" s="10">
        <f>IF($A4="","",SUMIFS(tblBase[Valor_Total],tblBase[Codigo_Peca],$A4))</f>
        <v/>
      </c>
      <c r="E4">
        <f>IF($A4="","",SUMIFS(tblBase[QTD],tblBase[Codigo_Peca],$A4,tblBase[Grupo_Status],"Pendente")+SUMIFS(tblBase[QTD],tblBase[Codigo_Peca],$A4,tblBase[Grupo_Status],"Em andamento"))</f>
        <v/>
      </c>
    </row>
    <row r="5">
      <c r="A5" t="inlineStr">
        <is>
          <t>PC-0002</t>
        </is>
      </c>
      <c r="B5">
        <f>IFERROR(INDEX(tblValores[Peça],MATCH($A5,tblValores[Cód. Peça],0)),"")</f>
        <v/>
      </c>
      <c r="C5">
        <f>IF($A5="","",SUMIFS(tblBase[QTD],tblBase[Codigo_Peca],$A5))</f>
        <v/>
      </c>
      <c r="D5" s="10">
        <f>IF($A5="","",SUMIFS(tblBase[Valor_Total],tblBase[Codigo_Peca],$A5))</f>
        <v/>
      </c>
      <c r="E5">
        <f>IF($A5="","",SUMIFS(tblBase[QTD],tblBase[Codigo_Peca],$A5,tblBase[Grupo_Status],"Pendente")+SUMIFS(tblBase[QTD],tblBase[Codigo_Peca],$A5,tblBase[Grupo_Status],"Em andamento"))</f>
        <v/>
      </c>
    </row>
    <row r="6">
      <c r="A6" t="inlineStr">
        <is>
          <t>PC-0003</t>
        </is>
      </c>
      <c r="B6">
        <f>IFERROR(INDEX(tblValores[Peça],MATCH($A6,tblValores[Cód. Peça],0)),"")</f>
        <v/>
      </c>
      <c r="C6">
        <f>IF($A6="","",SUMIFS(tblBase[QTD],tblBase[Codigo_Peca],$A6))</f>
        <v/>
      </c>
      <c r="D6" s="10">
        <f>IF($A6="","",SUMIFS(tblBase[Valor_Total],tblBase[Codigo_Peca],$A6))</f>
        <v/>
      </c>
      <c r="E6">
        <f>IF($A6="","",SUMIFS(tblBase[QTD],tblBase[Codigo_Peca],$A6,tblBase[Grupo_Status],"Pendente")+SUMIFS(tblBase[QTD],tblBase[Codigo_Peca],$A6,tblBase[Grupo_Status],"Em andamento"))</f>
        <v/>
      </c>
    </row>
    <row r="7">
      <c r="A7" t="inlineStr">
        <is>
          <t>PC-0004</t>
        </is>
      </c>
      <c r="B7">
        <f>IFERROR(INDEX(tblValores[Peça],MATCH($A7,tblValores[Cód. Peça],0)),"")</f>
        <v/>
      </c>
      <c r="C7">
        <f>IF($A7="","",SUMIFS(tblBase[QTD],tblBase[Codigo_Peca],$A7))</f>
        <v/>
      </c>
      <c r="D7" s="10">
        <f>IF($A7="","",SUMIFS(tblBase[Valor_Total],tblBase[Codigo_Peca],$A7))</f>
        <v/>
      </c>
      <c r="E7">
        <f>IF($A7="","",SUMIFS(tblBase[QTD],tblBase[Codigo_Peca],$A7,tblBase[Grupo_Status],"Pendente")+SUMIFS(tblBase[QTD],tblBase[Codigo_Peca],$A7,tblBase[Grupo_Status],"Em andamento"))</f>
        <v/>
      </c>
    </row>
    <row r="8">
      <c r="A8" t="inlineStr">
        <is>
          <t>PC-0005</t>
        </is>
      </c>
      <c r="B8">
        <f>IFERROR(INDEX(tblValores[Peça],MATCH($A8,tblValores[Cód. Peça],0)),"")</f>
        <v/>
      </c>
      <c r="C8">
        <f>IF($A8="","",SUMIFS(tblBase[QTD],tblBase[Codigo_Peca],$A8))</f>
        <v/>
      </c>
      <c r="D8" s="10">
        <f>IF($A8="","",SUMIFS(tblBase[Valor_Total],tblBase[Codigo_Peca],$A8))</f>
        <v/>
      </c>
      <c r="E8">
        <f>IF($A8="","",SUMIFS(tblBase[QTD],tblBase[Codigo_Peca],$A8,tblBase[Grupo_Status],"Pendente")+SUMIFS(tblBase[QTD],tblBase[Codigo_Peca],$A8,tblBase[Grupo_Status],"Em andamento"))</f>
        <v/>
      </c>
    </row>
    <row r="9">
      <c r="A9" t="inlineStr">
        <is>
          <t>PC-0006</t>
        </is>
      </c>
      <c r="B9">
        <f>IFERROR(INDEX(tblValores[Peça],MATCH($A9,tblValores[Cód. Peça],0)),"")</f>
        <v/>
      </c>
      <c r="C9">
        <f>IF($A9="","",SUMIFS(tblBase[QTD],tblBase[Codigo_Peca],$A9))</f>
        <v/>
      </c>
      <c r="D9" s="10">
        <f>IF($A9="","",SUMIFS(tblBase[Valor_Total],tblBase[Codigo_Peca],$A9))</f>
        <v/>
      </c>
      <c r="E9">
        <f>IF($A9="","",SUMIFS(tblBase[QTD],tblBase[Codigo_Peca],$A9,tblBase[Grupo_Status],"Pendente")+SUMIFS(tblBase[QTD],tblBase[Codigo_Peca],$A9,tblBase[Grupo_Status],"Em andamento"))</f>
        <v/>
      </c>
    </row>
    <row r="10">
      <c r="A10" t="inlineStr">
        <is>
          <t>PC-0007</t>
        </is>
      </c>
      <c r="B10">
        <f>IFERROR(INDEX(tblValores[Peça],MATCH($A10,tblValores[Cód. Peça],0)),"")</f>
        <v/>
      </c>
      <c r="C10">
        <f>IF($A10="","",SUMIFS(tblBase[QTD],tblBase[Codigo_Peca],$A10))</f>
        <v/>
      </c>
      <c r="D10" s="10">
        <f>IF($A10="","",SUMIFS(tblBase[Valor_Total],tblBase[Codigo_Peca],$A10))</f>
        <v/>
      </c>
      <c r="E10">
        <f>IF($A10="","",SUMIFS(tblBase[QTD],tblBase[Codigo_Peca],$A10,tblBase[Grupo_Status],"Pendente")+SUMIFS(tblBase[QTD],tblBase[Codigo_Peca],$A10,tblBase[Grupo_Status],"Em andamento"))</f>
        <v/>
      </c>
    </row>
    <row r="11">
      <c r="A11" t="inlineStr">
        <is>
          <t>PC-0008</t>
        </is>
      </c>
      <c r="B11">
        <f>IFERROR(INDEX(tblValores[Peça],MATCH($A11,tblValores[Cód. Peça],0)),"")</f>
        <v/>
      </c>
      <c r="C11">
        <f>IF($A11="","",SUMIFS(tblBase[QTD],tblBase[Codigo_Peca],$A11))</f>
        <v/>
      </c>
      <c r="D11" s="10">
        <f>IF($A11="","",SUMIFS(tblBase[Valor_Total],tblBase[Codigo_Peca],$A11))</f>
        <v/>
      </c>
      <c r="E11">
        <f>IF($A11="","",SUMIFS(tblBase[QTD],tblBase[Codigo_Peca],$A11,tblBase[Grupo_Status],"Pendente")+SUMIFS(tblBase[QTD],tblBase[Codigo_Peca],$A11,tblBase[Grupo_Status],"Em andamento"))</f>
        <v/>
      </c>
    </row>
    <row r="12">
      <c r="A12" t="inlineStr">
        <is>
          <t>PC-0009</t>
        </is>
      </c>
      <c r="B12">
        <f>IFERROR(INDEX(tblValores[Peça],MATCH($A12,tblValores[Cód. Peça],0)),"")</f>
        <v/>
      </c>
      <c r="C12">
        <f>IF($A12="","",SUMIFS(tblBase[QTD],tblBase[Codigo_Peca],$A12))</f>
        <v/>
      </c>
      <c r="D12" s="10">
        <f>IF($A12="","",SUMIFS(tblBase[Valor_Total],tblBase[Codigo_Peca],$A12))</f>
        <v/>
      </c>
      <c r="E12">
        <f>IF($A12="","",SUMIFS(tblBase[QTD],tblBase[Codigo_Peca],$A12,tblBase[Grupo_Status],"Pendente")+SUMIFS(tblBase[QTD],tblBase[Codigo_Peca],$A12,tblBase[Grupo_Status],"Em andamento"))</f>
        <v/>
      </c>
    </row>
    <row r="13">
      <c r="A13" t="inlineStr">
        <is>
          <t>PC-0010</t>
        </is>
      </c>
      <c r="B13">
        <f>IFERROR(INDEX(tblValores[Peça],MATCH($A13,tblValores[Cód. Peça],0)),"")</f>
        <v/>
      </c>
      <c r="C13">
        <f>IF($A13="","",SUMIFS(tblBase[QTD],tblBase[Codigo_Peca],$A13))</f>
        <v/>
      </c>
      <c r="D13" s="10">
        <f>IF($A13="","",SUMIFS(tblBase[Valor_Total],tblBase[Codigo_Peca],$A13))</f>
        <v/>
      </c>
      <c r="E13">
        <f>IF($A13="","",SUMIFS(tblBase[QTD],tblBase[Codigo_Peca],$A13,tblBase[Grupo_Status],"Pendente")+SUMIFS(tblBase[QTD],tblBase[Codigo_Peca],$A13,tblBase[Grupo_Status],"Em andamento"))</f>
        <v/>
      </c>
    </row>
    <row r="14">
      <c r="A14" t="inlineStr">
        <is>
          <t>PC-0011</t>
        </is>
      </c>
      <c r="B14">
        <f>IFERROR(INDEX(tblValores[Peça],MATCH($A14,tblValores[Cód. Peça],0)),"")</f>
        <v/>
      </c>
      <c r="C14">
        <f>IF($A14="","",SUMIFS(tblBase[QTD],tblBase[Codigo_Peca],$A14))</f>
        <v/>
      </c>
      <c r="D14" s="10">
        <f>IF($A14="","",SUMIFS(tblBase[Valor_Total],tblBase[Codigo_Peca],$A14))</f>
        <v/>
      </c>
      <c r="E14">
        <f>IF($A14="","",SUMIFS(tblBase[QTD],tblBase[Codigo_Peca],$A14,tblBase[Grupo_Status],"Pendente")+SUMIFS(tblBase[QTD],tblBase[Codigo_Peca],$A14,tblBase[Grupo_Status],"Em andamento"))</f>
        <v/>
      </c>
    </row>
    <row r="15">
      <c r="A15" t="inlineStr">
        <is>
          <t>PC-0012</t>
        </is>
      </c>
      <c r="B15">
        <f>IFERROR(INDEX(tblValores[Peça],MATCH($A15,tblValores[Cód. Peça],0)),"")</f>
        <v/>
      </c>
      <c r="C15">
        <f>IF($A15="","",SUMIFS(tblBase[QTD],tblBase[Codigo_Peca],$A15))</f>
        <v/>
      </c>
      <c r="D15" s="10">
        <f>IF($A15="","",SUMIFS(tblBase[Valor_Total],tblBase[Codigo_Peca],$A15))</f>
        <v/>
      </c>
      <c r="E15">
        <f>IF($A15="","",SUMIFS(tblBase[QTD],tblBase[Codigo_Peca],$A15,tblBase[Grupo_Status],"Pendente")+SUMIFS(tblBase[QTD],tblBase[Codigo_Peca],$A15,tblBase[Grupo_Status],"Em andamento"))</f>
        <v/>
      </c>
    </row>
    <row r="16">
      <c r="A16" t="inlineStr">
        <is>
          <t>PC-0013</t>
        </is>
      </c>
      <c r="B16">
        <f>IFERROR(INDEX(tblValores[Peça],MATCH($A16,tblValores[Cód. Peça],0)),"")</f>
        <v/>
      </c>
      <c r="C16">
        <f>IF($A16="","",SUMIFS(tblBase[QTD],tblBase[Codigo_Peca],$A16))</f>
        <v/>
      </c>
      <c r="D16" s="10">
        <f>IF($A16="","",SUMIFS(tblBase[Valor_Total],tblBase[Codigo_Peca],$A16))</f>
        <v/>
      </c>
      <c r="E16">
        <f>IF($A16="","",SUMIFS(tblBase[QTD],tblBase[Codigo_Peca],$A16,tblBase[Grupo_Status],"Pendente")+SUMIFS(tblBase[QTD],tblBase[Codigo_Peca],$A16,tblBase[Grupo_Status],"Em andamento"))</f>
        <v/>
      </c>
    </row>
    <row r="17">
      <c r="A17" t="inlineStr">
        <is>
          <t>PC-0014</t>
        </is>
      </c>
      <c r="B17">
        <f>IFERROR(INDEX(tblValores[Peça],MATCH($A17,tblValores[Cód. Peça],0)),"")</f>
        <v/>
      </c>
      <c r="C17">
        <f>IF($A17="","",SUMIFS(tblBase[QTD],tblBase[Codigo_Peca],$A17))</f>
        <v/>
      </c>
      <c r="D17" s="10">
        <f>IF($A17="","",SUMIFS(tblBase[Valor_Total],tblBase[Codigo_Peca],$A17))</f>
        <v/>
      </c>
      <c r="E17">
        <f>IF($A17="","",SUMIFS(tblBase[QTD],tblBase[Codigo_Peca],$A17,tblBase[Grupo_Status],"Pendente")+SUMIFS(tblBase[QTD],tblBase[Codigo_Peca],$A17,tblBase[Grupo_Status],"Em andamento"))</f>
        <v/>
      </c>
    </row>
    <row r="18">
      <c r="A18" t="inlineStr">
        <is>
          <t>PC-0015</t>
        </is>
      </c>
      <c r="B18">
        <f>IFERROR(INDEX(tblValores[Peça],MATCH($A18,tblValores[Cód. Peça],0)),"")</f>
        <v/>
      </c>
      <c r="C18">
        <f>IF($A18="","",SUMIFS(tblBase[QTD],tblBase[Codigo_Peca],$A18))</f>
        <v/>
      </c>
      <c r="D18" s="10">
        <f>IF($A18="","",SUMIFS(tblBase[Valor_Total],tblBase[Codigo_Peca],$A18))</f>
        <v/>
      </c>
      <c r="E18">
        <f>IF($A18="","",SUMIFS(tblBase[QTD],tblBase[Codigo_Peca],$A18,tblBase[Grupo_Status],"Pendente")+SUMIFS(tblBase[QTD],tblBase[Codigo_Peca],$A18,tblBase[Grupo_Status],"Em andamento"))</f>
        <v/>
      </c>
    </row>
    <row r="19">
      <c r="A19" t="inlineStr">
        <is>
          <t>PC-0016</t>
        </is>
      </c>
      <c r="B19">
        <f>IFERROR(INDEX(tblValores[Peça],MATCH($A19,tblValores[Cód. Peça],0)),"")</f>
        <v/>
      </c>
      <c r="C19">
        <f>IF($A19="","",SUMIFS(tblBase[QTD],tblBase[Codigo_Peca],$A19))</f>
        <v/>
      </c>
      <c r="D19" s="10">
        <f>IF($A19="","",SUMIFS(tblBase[Valor_Total],tblBase[Codigo_Peca],$A19))</f>
        <v/>
      </c>
      <c r="E19">
        <f>IF($A19="","",SUMIFS(tblBase[QTD],tblBase[Codigo_Peca],$A19,tblBase[Grupo_Status],"Pendente")+SUMIFS(tblBase[QTD],tblBase[Codigo_Peca],$A19,tblBase[Grupo_Status],"Em andamento"))</f>
        <v/>
      </c>
    </row>
    <row r="20">
      <c r="A20" t="inlineStr">
        <is>
          <t>PC-0017</t>
        </is>
      </c>
      <c r="B20">
        <f>IFERROR(INDEX(tblValores[Peça],MATCH($A20,tblValores[Cód. Peça],0)),"")</f>
        <v/>
      </c>
      <c r="C20">
        <f>IF($A20="","",SUMIFS(tblBase[QTD],tblBase[Codigo_Peca],$A20))</f>
        <v/>
      </c>
      <c r="D20" s="10">
        <f>IF($A20="","",SUMIFS(tblBase[Valor_Total],tblBase[Codigo_Peca],$A20))</f>
        <v/>
      </c>
      <c r="E20">
        <f>IF($A20="","",SUMIFS(tblBase[QTD],tblBase[Codigo_Peca],$A20,tblBase[Grupo_Status],"Pendente")+SUMIFS(tblBase[QTD],tblBase[Codigo_Peca],$A20,tblBase[Grupo_Status],"Em andamento"))</f>
        <v/>
      </c>
    </row>
    <row r="21">
      <c r="A21" t="inlineStr">
        <is>
          <t>PC-0018</t>
        </is>
      </c>
      <c r="B21">
        <f>IFERROR(INDEX(tblValores[Peça],MATCH($A21,tblValores[Cód. Peça],0)),"")</f>
        <v/>
      </c>
      <c r="C21">
        <f>IF($A21="","",SUMIFS(tblBase[QTD],tblBase[Codigo_Peca],$A21))</f>
        <v/>
      </c>
      <c r="D21" s="10">
        <f>IF($A21="","",SUMIFS(tblBase[Valor_Total],tblBase[Codigo_Peca],$A21))</f>
        <v/>
      </c>
      <c r="E21">
        <f>IF($A21="","",SUMIFS(tblBase[QTD],tblBase[Codigo_Peca],$A21,tblBase[Grupo_Status],"Pendente")+SUMIFS(tblBase[QTD],tblBase[Codigo_Peca],$A21,tblBase[Grupo_Status],"Em andamento"))</f>
        <v/>
      </c>
    </row>
    <row r="22">
      <c r="A22" t="inlineStr">
        <is>
          <t>PC-0019</t>
        </is>
      </c>
      <c r="B22">
        <f>IFERROR(INDEX(tblValores[Peça],MATCH($A22,tblValores[Cód. Peça],0)),"")</f>
        <v/>
      </c>
      <c r="C22">
        <f>IF($A22="","",SUMIFS(tblBase[QTD],tblBase[Codigo_Peca],$A22))</f>
        <v/>
      </c>
      <c r="D22" s="10">
        <f>IF($A22="","",SUMIFS(tblBase[Valor_Total],tblBase[Codigo_Peca],$A22))</f>
        <v/>
      </c>
      <c r="E22">
        <f>IF($A22="","",SUMIFS(tblBase[QTD],tblBase[Codigo_Peca],$A22,tblBase[Grupo_Status],"Pendente")+SUMIFS(tblBase[QTD],tblBase[Codigo_Peca],$A22,tblBase[Grupo_Status],"Em andamento"))</f>
        <v/>
      </c>
    </row>
    <row r="23">
      <c r="A23" t="inlineStr">
        <is>
          <t>PC-0020</t>
        </is>
      </c>
      <c r="B23">
        <f>IFERROR(INDEX(tblValores[Peça],MATCH($A23,tblValores[Cód. Peça],0)),"")</f>
        <v/>
      </c>
      <c r="C23">
        <f>IF($A23="","",SUMIFS(tblBase[QTD],tblBase[Codigo_Peca],$A23))</f>
        <v/>
      </c>
      <c r="D23" s="10">
        <f>IF($A23="","",SUMIFS(tblBase[Valor_Total],tblBase[Codigo_Peca],$A23))</f>
        <v/>
      </c>
      <c r="E23">
        <f>IF($A23="","",SUMIFS(tblBase[QTD],tblBase[Codigo_Peca],$A23,tblBase[Grupo_Status],"Pendente")+SUMIFS(tblBase[QTD],tblBase[Codigo_Peca],$A23,tblBase[Grupo_Status],"Em andamento"))</f>
        <v/>
      </c>
    </row>
    <row r="24">
      <c r="A24" t="inlineStr">
        <is>
          <t>PC-0021</t>
        </is>
      </c>
      <c r="B24">
        <f>IFERROR(INDEX(tblValores[Peça],MATCH($A24,tblValores[Cód. Peça],0)),"")</f>
        <v/>
      </c>
      <c r="C24">
        <f>IF($A24="","",SUMIFS(tblBase[QTD],tblBase[Codigo_Peca],$A24))</f>
        <v/>
      </c>
      <c r="D24" s="10">
        <f>IF($A24="","",SUMIFS(tblBase[Valor_Total],tblBase[Codigo_Peca],$A24))</f>
        <v/>
      </c>
      <c r="E24">
        <f>IF($A24="","",SUMIFS(tblBase[QTD],tblBase[Codigo_Peca],$A24,tblBase[Grupo_Status],"Pendente")+SUMIFS(tblBase[QTD],tblBase[Codigo_Peca],$A24,tblBase[Grupo_Status],"Em andamento"))</f>
        <v/>
      </c>
    </row>
    <row r="25">
      <c r="A25" t="inlineStr">
        <is>
          <t>PC-0022</t>
        </is>
      </c>
      <c r="B25">
        <f>IFERROR(INDEX(tblValores[Peça],MATCH($A25,tblValores[Cód. Peça],0)),"")</f>
        <v/>
      </c>
      <c r="C25">
        <f>IF($A25="","",SUMIFS(tblBase[QTD],tblBase[Codigo_Peca],$A25))</f>
        <v/>
      </c>
      <c r="D25" s="10">
        <f>IF($A25="","",SUMIFS(tblBase[Valor_Total],tblBase[Codigo_Peca],$A25))</f>
        <v/>
      </c>
      <c r="E25">
        <f>IF($A25="","",SUMIFS(tblBase[QTD],tblBase[Codigo_Peca],$A25,tblBase[Grupo_Status],"Pendente")+SUMIFS(tblBase[QTD],tblBase[Codigo_Peca],$A25,tblBase[Grupo_Status],"Em andamento"))</f>
        <v/>
      </c>
    </row>
    <row r="26">
      <c r="A26" t="inlineStr">
        <is>
          <t>PC-0023</t>
        </is>
      </c>
      <c r="B26">
        <f>IFERROR(INDEX(tblValores[Peça],MATCH($A26,tblValores[Cód. Peça],0)),"")</f>
        <v/>
      </c>
      <c r="C26">
        <f>IF($A26="","",SUMIFS(tblBase[QTD],tblBase[Codigo_Peca],$A26))</f>
        <v/>
      </c>
      <c r="D26" s="10">
        <f>IF($A26="","",SUMIFS(tblBase[Valor_Total],tblBase[Codigo_Peca],$A26))</f>
        <v/>
      </c>
      <c r="E26">
        <f>IF($A26="","",SUMIFS(tblBase[QTD],tblBase[Codigo_Peca],$A26,tblBase[Grupo_Status],"Pendente")+SUMIFS(tblBase[QTD],tblBase[Codigo_Peca],$A26,tblBase[Grupo_Status],"Em andamento"))</f>
        <v/>
      </c>
    </row>
    <row r="27">
      <c r="A27" t="inlineStr">
        <is>
          <t>PC-0024</t>
        </is>
      </c>
      <c r="B27">
        <f>IFERROR(INDEX(tblValores[Peça],MATCH($A27,tblValores[Cód. Peça],0)),"")</f>
        <v/>
      </c>
      <c r="C27">
        <f>IF($A27="","",SUMIFS(tblBase[QTD],tblBase[Codigo_Peca],$A27))</f>
        <v/>
      </c>
      <c r="D27" s="10">
        <f>IF($A27="","",SUMIFS(tblBase[Valor_Total],tblBase[Codigo_Peca],$A27))</f>
        <v/>
      </c>
      <c r="E27">
        <f>IF($A27="","",SUMIFS(tblBase[QTD],tblBase[Codigo_Peca],$A27,tblBase[Grupo_Status],"Pendente")+SUMIFS(tblBase[QTD],tblBase[Codigo_Peca],$A27,tblBase[Grupo_Status],"Em andamento"))</f>
        <v/>
      </c>
    </row>
    <row r="28">
      <c r="A28" t="inlineStr">
        <is>
          <t>PC-0025</t>
        </is>
      </c>
      <c r="B28">
        <f>IFERROR(INDEX(tblValores[Peça],MATCH($A28,tblValores[Cód. Peça],0)),"")</f>
        <v/>
      </c>
      <c r="C28">
        <f>IF($A28="","",SUMIFS(tblBase[QTD],tblBase[Codigo_Peca],$A28))</f>
        <v/>
      </c>
      <c r="D28" s="10">
        <f>IF($A28="","",SUMIFS(tblBase[Valor_Total],tblBase[Codigo_Peca],$A28))</f>
        <v/>
      </c>
      <c r="E28">
        <f>IF($A28="","",SUMIFS(tblBase[QTD],tblBase[Codigo_Peca],$A28,tblBase[Grupo_Status],"Pendente")+SUMIFS(tblBase[QTD],tblBase[Codigo_Peca],$A28,tblBase[Grupo_Status],"Em andamento"))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</cols>
  <sheetData>
    <row r="1">
      <c r="A1" s="12" t="inlineStr">
        <is>
          <t>Aging dos itens em aberto — pendentes e em andamento (dias desde o encerramento do chamado)</t>
        </is>
      </c>
    </row>
    <row r="3">
      <c r="A3" s="3" t="inlineStr">
        <is>
          <t>Faixa</t>
        </is>
      </c>
      <c r="B3" s="3" t="inlineStr">
        <is>
          <t>Itens</t>
        </is>
      </c>
      <c r="C3" s="3" t="inlineStr">
        <is>
          <t>Valor em risco (R$)</t>
        </is>
      </c>
    </row>
    <row r="4">
      <c r="A4" t="inlineStr">
        <is>
          <t>0-30 dias</t>
        </is>
      </c>
      <c r="B4">
        <f>SUMIFS(tblBase[QTD],tblBase[Faixa_Aging],$A4)</f>
        <v/>
      </c>
      <c r="C4" s="10">
        <f>SUMIFS(tblBase[Valor_Total],tblBase[Faixa_Aging],$A4)</f>
        <v/>
      </c>
    </row>
    <row r="5">
      <c r="A5" t="inlineStr">
        <is>
          <t>31-60 dias</t>
        </is>
      </c>
      <c r="B5">
        <f>SUMIFS(tblBase[QTD],tblBase[Faixa_Aging],$A5)</f>
        <v/>
      </c>
      <c r="C5" s="10">
        <f>SUMIFS(tblBase[Valor_Total],tblBase[Faixa_Aging],$A5)</f>
        <v/>
      </c>
    </row>
    <row r="6">
      <c r="A6" t="inlineStr">
        <is>
          <t>61-90 dias</t>
        </is>
      </c>
      <c r="B6">
        <f>SUMIFS(tblBase[QTD],tblBase[Faixa_Aging],$A6)</f>
        <v/>
      </c>
      <c r="C6" s="10">
        <f>SUMIFS(tblBase[Valor_Total],tblBase[Faixa_Aging],$A6)</f>
        <v/>
      </c>
    </row>
    <row r="7">
      <c r="A7" t="inlineStr">
        <is>
          <t>Mais de 90 dias</t>
        </is>
      </c>
      <c r="B7">
        <f>SUMIFS(tblBase[QTD],tblBase[Faixa_Aging],$A7)</f>
        <v/>
      </c>
      <c r="C7" s="10">
        <f>SUMIFS(tblBase[Valor_Total],tblBase[Faixa_Aging],$A7)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24" customWidth="1" min="4" max="4"/>
    <col width="38" customWidth="1" min="5" max="5"/>
    <col width="14" customWidth="1" min="6" max="6"/>
    <col width="24" customWidth="1" min="7" max="7"/>
    <col width="16" customWidth="1" min="8" max="8"/>
  </cols>
  <sheetData>
    <row r="1">
      <c r="A1" s="3" t="inlineStr">
        <is>
          <t>Cód. Peça</t>
        </is>
      </c>
      <c r="B1" s="3" t="inlineStr">
        <is>
          <t>Peça</t>
        </is>
      </c>
      <c r="C1" s="3" t="inlineStr">
        <is>
          <t>Valor Unitário (Débito)</t>
        </is>
      </c>
      <c r="D1" s="3" t="inlineStr">
        <is>
          <t>Família</t>
        </is>
      </c>
      <c r="E1" s="3" t="inlineStr">
        <is>
          <t>Descrição da família</t>
        </is>
      </c>
      <c r="F1" s="3" t="inlineStr">
        <is>
          <t>Cód Genérico</t>
        </is>
      </c>
      <c r="G1" s="3" t="inlineStr">
        <is>
          <t>Valor unitário de devolução</t>
        </is>
      </c>
      <c r="H1" s="3" t="inlineStr">
        <is>
          <t>Tipo</t>
        </is>
      </c>
    </row>
    <row r="2">
      <c r="A2" t="inlineStr">
        <is>
          <t>PC-0001</t>
        </is>
      </c>
      <c r="B2" t="inlineStr">
        <is>
          <t>Compressor modelo 01</t>
        </is>
      </c>
      <c r="C2" s="10" t="n">
        <v>325</v>
      </c>
      <c r="D2" t="inlineStr">
        <is>
          <t>COMPRESSOR</t>
        </is>
      </c>
      <c r="E2" t="inlineStr">
        <is>
          <t>COMPRESSOR - RETORNO EM GARANTIA</t>
        </is>
      </c>
      <c r="F2" t="inlineStr">
        <is>
          <t>PG-COM</t>
        </is>
      </c>
      <c r="G2" s="10" t="n">
        <v>32</v>
      </c>
      <c r="H2" t="inlineStr">
        <is>
          <t>Refrigeradores</t>
        </is>
      </c>
    </row>
    <row r="3">
      <c r="A3" t="inlineStr">
        <is>
          <t>PC-0002</t>
        </is>
      </c>
      <c r="B3" t="inlineStr">
        <is>
          <t>Compressor modelo 02</t>
        </is>
      </c>
      <c r="C3" s="10" t="n">
        <v>315</v>
      </c>
      <c r="D3" t="inlineStr">
        <is>
          <t>COMPRESSOR</t>
        </is>
      </c>
      <c r="E3" t="inlineStr">
        <is>
          <t>COMPRESSOR - RETORNO EM GARANTIA</t>
        </is>
      </c>
      <c r="F3" t="inlineStr">
        <is>
          <t>PG-COM</t>
        </is>
      </c>
      <c r="G3" s="10" t="n">
        <v>32</v>
      </c>
      <c r="H3" t="inlineStr">
        <is>
          <t>Refrigeradores</t>
        </is>
      </c>
    </row>
    <row r="4">
      <c r="A4" t="inlineStr">
        <is>
          <t>PC-0003</t>
        </is>
      </c>
      <c r="B4" t="inlineStr">
        <is>
          <t>Compressor modelo 03</t>
        </is>
      </c>
      <c r="C4" s="10" t="n">
        <v>330</v>
      </c>
      <c r="D4" t="inlineStr">
        <is>
          <t>COMPRESSOR</t>
        </is>
      </c>
      <c r="E4" t="inlineStr">
        <is>
          <t>COMPRESSOR - RETORNO EM GARANTIA</t>
        </is>
      </c>
      <c r="F4" t="inlineStr">
        <is>
          <t>PG-COM</t>
        </is>
      </c>
      <c r="G4" s="10" t="n">
        <v>32</v>
      </c>
      <c r="H4" t="inlineStr">
        <is>
          <t>Refrigeradores</t>
        </is>
      </c>
    </row>
    <row r="5">
      <c r="A5" t="inlineStr">
        <is>
          <t>PC-0004</t>
        </is>
      </c>
      <c r="B5" t="inlineStr">
        <is>
          <t>Termostato modelo 01</t>
        </is>
      </c>
      <c r="C5" s="10" t="n">
        <v>40</v>
      </c>
      <c r="D5" t="inlineStr">
        <is>
          <t>TERMOSTATO</t>
        </is>
      </c>
      <c r="E5" t="inlineStr">
        <is>
          <t>TERMOSTATO - RETORNO EM GARANTIA</t>
        </is>
      </c>
      <c r="F5" t="inlineStr">
        <is>
          <t>PG-TER</t>
        </is>
      </c>
      <c r="G5" s="10" t="n">
        <v>4.5</v>
      </c>
      <c r="H5" t="inlineStr">
        <is>
          <t>Refrigeradores</t>
        </is>
      </c>
    </row>
    <row r="6">
      <c r="A6" t="inlineStr">
        <is>
          <t>PC-0005</t>
        </is>
      </c>
      <c r="B6" t="inlineStr">
        <is>
          <t>Termostato modelo 02</t>
        </is>
      </c>
      <c r="C6" s="10" t="n">
        <v>40</v>
      </c>
      <c r="D6" t="inlineStr">
        <is>
          <t>TERMOSTATO</t>
        </is>
      </c>
      <c r="E6" t="inlineStr">
        <is>
          <t>TERMOSTATO - RETORNO EM GARANTIA</t>
        </is>
      </c>
      <c r="F6" t="inlineStr">
        <is>
          <t>PG-TER</t>
        </is>
      </c>
      <c r="G6" s="10" t="n">
        <v>4.5</v>
      </c>
      <c r="H6" t="inlineStr">
        <is>
          <t>Refrigeradores</t>
        </is>
      </c>
    </row>
    <row r="7">
      <c r="A7" t="inlineStr">
        <is>
          <t>PC-0006</t>
        </is>
      </c>
      <c r="B7" t="inlineStr">
        <is>
          <t>Termostato modelo 03</t>
        </is>
      </c>
      <c r="C7" s="10" t="n">
        <v>50</v>
      </c>
      <c r="D7" t="inlineStr">
        <is>
          <t>TERMOSTATO</t>
        </is>
      </c>
      <c r="E7" t="inlineStr">
        <is>
          <t>TERMOSTATO - RETORNO EM GARANTIA</t>
        </is>
      </c>
      <c r="F7" t="inlineStr">
        <is>
          <t>PG-TER</t>
        </is>
      </c>
      <c r="G7" s="10" t="n">
        <v>4.5</v>
      </c>
      <c r="H7" t="inlineStr">
        <is>
          <t>Refrigeradores</t>
        </is>
      </c>
    </row>
    <row r="8">
      <c r="A8" t="inlineStr">
        <is>
          <t>PC-0007</t>
        </is>
      </c>
      <c r="B8" t="inlineStr">
        <is>
          <t>Ventilador modelo 01</t>
        </is>
      </c>
      <c r="C8" s="10" t="n">
        <v>55</v>
      </c>
      <c r="D8" t="inlineStr">
        <is>
          <t>VENTILADOR</t>
        </is>
      </c>
      <c r="E8" t="inlineStr">
        <is>
          <t>VENTILADOR - RETORNO EM GARANTIA</t>
        </is>
      </c>
      <c r="F8" t="inlineStr">
        <is>
          <t>PG-VEN</t>
        </is>
      </c>
      <c r="G8" s="10" t="n">
        <v>6</v>
      </c>
      <c r="H8" t="inlineStr">
        <is>
          <t>Refrigeradores</t>
        </is>
      </c>
    </row>
    <row r="9">
      <c r="A9" t="inlineStr">
        <is>
          <t>PC-0008</t>
        </is>
      </c>
      <c r="B9" t="inlineStr">
        <is>
          <t>Ventilador modelo 02</t>
        </is>
      </c>
      <c r="C9" s="10" t="n">
        <v>55</v>
      </c>
      <c r="D9" t="inlineStr">
        <is>
          <t>VENTILADOR</t>
        </is>
      </c>
      <c r="E9" t="inlineStr">
        <is>
          <t>VENTILADOR - RETORNO EM GARANTIA</t>
        </is>
      </c>
      <c r="F9" t="inlineStr">
        <is>
          <t>PG-VEN</t>
        </is>
      </c>
      <c r="G9" s="10" t="n">
        <v>6</v>
      </c>
      <c r="H9" t="inlineStr">
        <is>
          <t>Refrigeradores</t>
        </is>
      </c>
    </row>
    <row r="10">
      <c r="A10" t="inlineStr">
        <is>
          <t>PC-0009</t>
        </is>
      </c>
      <c r="B10" t="inlineStr">
        <is>
          <t>Ventilador modelo 03</t>
        </is>
      </c>
      <c r="C10" s="10" t="n">
        <v>70</v>
      </c>
      <c r="D10" t="inlineStr">
        <is>
          <t>VENTILADOR</t>
        </is>
      </c>
      <c r="E10" t="inlineStr">
        <is>
          <t>VENTILADOR - RETORNO EM GARANTIA</t>
        </is>
      </c>
      <c r="F10" t="inlineStr">
        <is>
          <t>PG-VEN</t>
        </is>
      </c>
      <c r="G10" s="10" t="n">
        <v>6</v>
      </c>
      <c r="H10" t="inlineStr">
        <is>
          <t>Refrigeradores</t>
        </is>
      </c>
    </row>
    <row r="11">
      <c r="A11" t="inlineStr">
        <is>
          <t>PC-0010</t>
        </is>
      </c>
      <c r="B11" t="inlineStr">
        <is>
          <t>Ventilador modelo 04</t>
        </is>
      </c>
      <c r="C11" s="10" t="n">
        <v>65</v>
      </c>
      <c r="D11" t="inlineStr">
        <is>
          <t>VENTILADOR</t>
        </is>
      </c>
      <c r="E11" t="inlineStr">
        <is>
          <t>VENTILADOR - RETORNO EM GARANTIA</t>
        </is>
      </c>
      <c r="F11" t="inlineStr">
        <is>
          <t>PG-VEN</t>
        </is>
      </c>
      <c r="G11" s="10" t="n">
        <v>6</v>
      </c>
      <c r="H11" t="inlineStr">
        <is>
          <t>Refrigeradores</t>
        </is>
      </c>
    </row>
    <row r="12">
      <c r="A12" t="inlineStr">
        <is>
          <t>PC-0011</t>
        </is>
      </c>
      <c r="B12" t="inlineStr">
        <is>
          <t>Placa eletrônica modelo 01</t>
        </is>
      </c>
      <c r="C12" s="10" t="n">
        <v>190</v>
      </c>
      <c r="D12" t="inlineStr">
        <is>
          <t>PLACA ELETRÔNICA</t>
        </is>
      </c>
      <c r="E12" t="inlineStr">
        <is>
          <t>PLACA ELETRÔNICA - RETORNO EM GARANTIA</t>
        </is>
      </c>
      <c r="F12" t="inlineStr">
        <is>
          <t>PG-PLA</t>
        </is>
      </c>
      <c r="G12" s="10" t="n">
        <v>18</v>
      </c>
      <c r="H12" t="inlineStr">
        <is>
          <t>Refrigeradores</t>
        </is>
      </c>
    </row>
    <row r="13">
      <c r="A13" t="inlineStr">
        <is>
          <t>PC-0012</t>
        </is>
      </c>
      <c r="B13" t="inlineStr">
        <is>
          <t>Placa eletrônica modelo 02</t>
        </is>
      </c>
      <c r="C13" s="10" t="n">
        <v>175</v>
      </c>
      <c r="D13" t="inlineStr">
        <is>
          <t>PLACA ELETRÔNICA</t>
        </is>
      </c>
      <c r="E13" t="inlineStr">
        <is>
          <t>PLACA ELETRÔNICA - RETORNO EM GARANTIA</t>
        </is>
      </c>
      <c r="F13" t="inlineStr">
        <is>
          <t>PG-PLA</t>
        </is>
      </c>
      <c r="G13" s="10" t="n">
        <v>18</v>
      </c>
      <c r="H13" t="inlineStr">
        <is>
          <t>Refrigeradores</t>
        </is>
      </c>
    </row>
    <row r="14">
      <c r="A14" t="inlineStr">
        <is>
          <t>PC-0013</t>
        </is>
      </c>
      <c r="B14" t="inlineStr">
        <is>
          <t>Placa eletrônica modelo 03</t>
        </is>
      </c>
      <c r="C14" s="10" t="n">
        <v>185</v>
      </c>
      <c r="D14" t="inlineStr">
        <is>
          <t>PLACA ELETRÔNICA</t>
        </is>
      </c>
      <c r="E14" t="inlineStr">
        <is>
          <t>PLACA ELETRÔNICA - RETORNO EM GARANTIA</t>
        </is>
      </c>
      <c r="F14" t="inlineStr">
        <is>
          <t>PG-PLA</t>
        </is>
      </c>
      <c r="G14" s="10" t="n">
        <v>18</v>
      </c>
      <c r="H14" t="inlineStr">
        <is>
          <t>Refrigeradores</t>
        </is>
      </c>
    </row>
    <row r="15">
      <c r="A15" t="inlineStr">
        <is>
          <t>PC-0014</t>
        </is>
      </c>
      <c r="B15" t="inlineStr">
        <is>
          <t>Placa eletrônica modelo 04</t>
        </is>
      </c>
      <c r="C15" s="10" t="n">
        <v>190</v>
      </c>
      <c r="D15" t="inlineStr">
        <is>
          <t>PLACA ELETRÔNICA</t>
        </is>
      </c>
      <c r="E15" t="inlineStr">
        <is>
          <t>PLACA ELETRÔNICA - RETORNO EM GARANTIA</t>
        </is>
      </c>
      <c r="F15" t="inlineStr">
        <is>
          <t>PG-PLA</t>
        </is>
      </c>
      <c r="G15" s="10" t="n">
        <v>18</v>
      </c>
      <c r="H15" t="inlineStr">
        <is>
          <t>Refrigeradores</t>
        </is>
      </c>
    </row>
    <row r="16">
      <c r="A16" t="inlineStr">
        <is>
          <t>PC-0015</t>
        </is>
      </c>
      <c r="B16" t="inlineStr">
        <is>
          <t>Filtro secador modelo 01</t>
        </is>
      </c>
      <c r="C16" s="10" t="n">
        <v>25</v>
      </c>
      <c r="D16" t="inlineStr">
        <is>
          <t>FILTRO SECADOR</t>
        </is>
      </c>
      <c r="E16" t="inlineStr">
        <is>
          <t>FILTRO SECADOR - RETORNO EM GARANTIA</t>
        </is>
      </c>
      <c r="F16" t="inlineStr">
        <is>
          <t>PG-FIL</t>
        </is>
      </c>
      <c r="G16" s="10" t="n">
        <v>2.5</v>
      </c>
      <c r="H16" t="inlineStr">
        <is>
          <t>Refrigeradores</t>
        </is>
      </c>
    </row>
    <row r="17">
      <c r="A17" t="inlineStr">
        <is>
          <t>PC-0016</t>
        </is>
      </c>
      <c r="B17" t="inlineStr">
        <is>
          <t>Filtro secador modelo 02</t>
        </is>
      </c>
      <c r="C17" s="10" t="n">
        <v>35</v>
      </c>
      <c r="D17" t="inlineStr">
        <is>
          <t>FILTRO SECADOR</t>
        </is>
      </c>
      <c r="E17" t="inlineStr">
        <is>
          <t>FILTRO SECADOR - RETORNO EM GARANTIA</t>
        </is>
      </c>
      <c r="F17" t="inlineStr">
        <is>
          <t>PG-FIL</t>
        </is>
      </c>
      <c r="G17" s="10" t="n">
        <v>2.5</v>
      </c>
      <c r="H17" t="inlineStr">
        <is>
          <t>Refrigeradores</t>
        </is>
      </c>
    </row>
    <row r="18">
      <c r="A18" t="inlineStr">
        <is>
          <t>PC-0017</t>
        </is>
      </c>
      <c r="B18" t="inlineStr">
        <is>
          <t>Filtro secador modelo 03</t>
        </is>
      </c>
      <c r="C18" s="10" t="n">
        <v>30</v>
      </c>
      <c r="D18" t="inlineStr">
        <is>
          <t>FILTRO SECADOR</t>
        </is>
      </c>
      <c r="E18" t="inlineStr">
        <is>
          <t>FILTRO SECADOR - RETORNO EM GARANTIA</t>
        </is>
      </c>
      <c r="F18" t="inlineStr">
        <is>
          <t>PG-FIL</t>
        </is>
      </c>
      <c r="G18" s="10" t="n">
        <v>2.5</v>
      </c>
      <c r="H18" t="inlineStr">
        <is>
          <t>Refrigeradores</t>
        </is>
      </c>
    </row>
    <row r="19">
      <c r="A19" t="inlineStr">
        <is>
          <t>PC-0018</t>
        </is>
      </c>
      <c r="B19" t="inlineStr">
        <is>
          <t>Gaxeta da porta modelo 01</t>
        </is>
      </c>
      <c r="C19" s="10" t="n">
        <v>45</v>
      </c>
      <c r="D19" t="inlineStr">
        <is>
          <t>GAXETA DA PORTA</t>
        </is>
      </c>
      <c r="E19" t="inlineStr">
        <is>
          <t>GAXETA DA PORTA - RETORNO EM GARANTIA</t>
        </is>
      </c>
      <c r="F19" t="inlineStr">
        <is>
          <t>PG-GAX</t>
        </is>
      </c>
      <c r="G19" s="10" t="n">
        <v>3.5</v>
      </c>
      <c r="H19" t="inlineStr">
        <is>
          <t>Refrigeradores</t>
        </is>
      </c>
    </row>
    <row r="20">
      <c r="A20" t="inlineStr">
        <is>
          <t>PC-0019</t>
        </is>
      </c>
      <c r="B20" t="inlineStr">
        <is>
          <t>Gaxeta da porta modelo 02</t>
        </is>
      </c>
      <c r="C20" s="10" t="n">
        <v>45</v>
      </c>
      <c r="D20" t="inlineStr">
        <is>
          <t>GAXETA DA PORTA</t>
        </is>
      </c>
      <c r="E20" t="inlineStr">
        <is>
          <t>GAXETA DA PORTA - RETORNO EM GARANTIA</t>
        </is>
      </c>
      <c r="F20" t="inlineStr">
        <is>
          <t>PG-GAX</t>
        </is>
      </c>
      <c r="G20" s="10" t="n">
        <v>3.5</v>
      </c>
      <c r="H20" t="inlineStr">
        <is>
          <t>Refrigeradores</t>
        </is>
      </c>
    </row>
    <row r="21">
      <c r="A21" t="inlineStr">
        <is>
          <t>PC-0020</t>
        </is>
      </c>
      <c r="B21" t="inlineStr">
        <is>
          <t>Gaxeta da porta modelo 03</t>
        </is>
      </c>
      <c r="C21" s="10" t="n">
        <v>35</v>
      </c>
      <c r="D21" t="inlineStr">
        <is>
          <t>GAXETA DA PORTA</t>
        </is>
      </c>
      <c r="E21" t="inlineStr">
        <is>
          <t>GAXETA DA PORTA - RETORNO EM GARANTIA</t>
        </is>
      </c>
      <c r="F21" t="inlineStr">
        <is>
          <t>PG-GAX</t>
        </is>
      </c>
      <c r="G21" s="10" t="n">
        <v>3.5</v>
      </c>
      <c r="H21" t="inlineStr">
        <is>
          <t>Refrigeradores</t>
        </is>
      </c>
    </row>
    <row r="22">
      <c r="A22" t="inlineStr">
        <is>
          <t>PC-0021</t>
        </is>
      </c>
      <c r="B22" t="inlineStr">
        <is>
          <t>Controlador digital modelo 01</t>
        </is>
      </c>
      <c r="C22" s="10" t="n">
        <v>155</v>
      </c>
      <c r="D22" t="inlineStr">
        <is>
          <t>CONTROLADOR DIGITAL</t>
        </is>
      </c>
      <c r="E22" t="inlineStr">
        <is>
          <t>CONTROLADOR DIGITAL - RETORNO EM GARANTIA</t>
        </is>
      </c>
      <c r="F22" t="inlineStr">
        <is>
          <t>PG-CON</t>
        </is>
      </c>
      <c r="G22" s="10" t="n">
        <v>15</v>
      </c>
      <c r="H22" t="inlineStr">
        <is>
          <t>Refrigeradores</t>
        </is>
      </c>
    </row>
    <row r="23">
      <c r="A23" t="inlineStr">
        <is>
          <t>PC-0022</t>
        </is>
      </c>
      <c r="B23" t="inlineStr">
        <is>
          <t>Controlador digital modelo 02</t>
        </is>
      </c>
      <c r="C23" s="10" t="n">
        <v>155</v>
      </c>
      <c r="D23" t="inlineStr">
        <is>
          <t>CONTROLADOR DIGITAL</t>
        </is>
      </c>
      <c r="E23" t="inlineStr">
        <is>
          <t>CONTROLADOR DIGITAL - RETORNO EM GARANTIA</t>
        </is>
      </c>
      <c r="F23" t="inlineStr">
        <is>
          <t>PG-CON</t>
        </is>
      </c>
      <c r="G23" s="10" t="n">
        <v>15</v>
      </c>
      <c r="H23" t="inlineStr">
        <is>
          <t>Refrigeradores</t>
        </is>
      </c>
    </row>
    <row r="24">
      <c r="A24" t="inlineStr">
        <is>
          <t>PC-0023</t>
        </is>
      </c>
      <c r="B24" t="inlineStr">
        <is>
          <t>Relé de partida modelo 01</t>
        </is>
      </c>
      <c r="C24" s="10" t="n">
        <v>35</v>
      </c>
      <c r="D24" t="inlineStr">
        <is>
          <t>RELÉ DE PARTIDA</t>
        </is>
      </c>
      <c r="E24" t="inlineStr">
        <is>
          <t>RELÉ DE PARTIDA - RETORNO EM GARANTIA</t>
        </is>
      </c>
      <c r="F24" t="inlineStr">
        <is>
          <t>PG-REL</t>
        </is>
      </c>
      <c r="G24" s="10" t="n">
        <v>3</v>
      </c>
      <c r="H24" t="inlineStr">
        <is>
          <t>Refrigeradores</t>
        </is>
      </c>
    </row>
    <row r="25">
      <c r="A25" t="inlineStr">
        <is>
          <t>PC-0024</t>
        </is>
      </c>
      <c r="B25" t="inlineStr">
        <is>
          <t>Relé de partida modelo 02</t>
        </is>
      </c>
      <c r="C25" s="10" t="n">
        <v>35</v>
      </c>
      <c r="D25" t="inlineStr">
        <is>
          <t>RELÉ DE PARTIDA</t>
        </is>
      </c>
      <c r="E25" t="inlineStr">
        <is>
          <t>RELÉ DE PARTIDA - RETORNO EM GARANTIA</t>
        </is>
      </c>
      <c r="F25" t="inlineStr">
        <is>
          <t>PG-REL</t>
        </is>
      </c>
      <c r="G25" s="10" t="n">
        <v>3</v>
      </c>
      <c r="H25" t="inlineStr">
        <is>
          <t>Refrigeradores</t>
        </is>
      </c>
    </row>
    <row r="26">
      <c r="A26" t="inlineStr">
        <is>
          <t>PC-0025</t>
        </is>
      </c>
      <c r="B26" t="inlineStr">
        <is>
          <t>Relé de partida modelo 03</t>
        </is>
      </c>
      <c r="C26" s="10" t="n">
        <v>30</v>
      </c>
      <c r="D26" t="inlineStr">
        <is>
          <t>RELÉ DE PARTIDA</t>
        </is>
      </c>
      <c r="E26" t="inlineStr">
        <is>
          <t>RELÉ DE PARTIDA - RETORNO EM GARANTIA</t>
        </is>
      </c>
      <c r="F26" t="inlineStr">
        <is>
          <t>PG-REL</t>
        </is>
      </c>
      <c r="G26" s="10" t="n">
        <v>3</v>
      </c>
      <c r="H26" t="inlineStr">
        <is>
          <t>Refrigeradores</t>
        </is>
      </c>
    </row>
    <row r="27">
      <c r="A27" t="inlineStr">
        <is>
          <t>PC-0026</t>
        </is>
      </c>
      <c r="B27" t="inlineStr">
        <is>
          <t>Torneira de chopp modelo 01</t>
        </is>
      </c>
      <c r="C27" s="10" t="n">
        <v>85</v>
      </c>
      <c r="D27" t="inlineStr">
        <is>
          <t>TORNEIRA DE CHOPP</t>
        </is>
      </c>
      <c r="E27" t="inlineStr">
        <is>
          <t>TORNEIRA DE CHOPP - RETORNO EM GARANTIA</t>
        </is>
      </c>
      <c r="F27" t="inlineStr">
        <is>
          <t>PG-TOR</t>
        </is>
      </c>
      <c r="G27" s="10" t="n">
        <v>9</v>
      </c>
      <c r="H27" t="inlineStr">
        <is>
          <t>Chopeiras</t>
        </is>
      </c>
    </row>
    <row r="28">
      <c r="A28" t="inlineStr">
        <is>
          <t>PC-0027</t>
        </is>
      </c>
      <c r="B28" t="inlineStr">
        <is>
          <t>Torneira de chopp modelo 02</t>
        </is>
      </c>
      <c r="C28" s="10" t="n">
        <v>100</v>
      </c>
      <c r="D28" t="inlineStr">
        <is>
          <t>TORNEIRA DE CHOPP</t>
        </is>
      </c>
      <c r="E28" t="inlineStr">
        <is>
          <t>TORNEIRA DE CHOPP - RETORNO EM GARANTIA</t>
        </is>
      </c>
      <c r="F28" t="inlineStr">
        <is>
          <t>PG-TOR</t>
        </is>
      </c>
      <c r="G28" s="10" t="n">
        <v>9</v>
      </c>
      <c r="H28" t="inlineStr">
        <is>
          <t>Chopeiras</t>
        </is>
      </c>
    </row>
    <row r="29">
      <c r="A29" t="inlineStr">
        <is>
          <t>PC-0028</t>
        </is>
      </c>
      <c r="B29" t="inlineStr">
        <is>
          <t>Torneira de chopp modelo 03</t>
        </is>
      </c>
      <c r="C29" s="10" t="n">
        <v>85</v>
      </c>
      <c r="D29" t="inlineStr">
        <is>
          <t>TORNEIRA DE CHOPP</t>
        </is>
      </c>
      <c r="E29" t="inlineStr">
        <is>
          <t>TORNEIRA DE CHOPP - RETORNO EM GARANTIA</t>
        </is>
      </c>
      <c r="F29" t="inlineStr">
        <is>
          <t>PG-TOR</t>
        </is>
      </c>
      <c r="G29" s="10" t="n">
        <v>9</v>
      </c>
      <c r="H29" t="inlineStr">
        <is>
          <t>Chopeiras</t>
        </is>
      </c>
    </row>
    <row r="30">
      <c r="A30" t="inlineStr">
        <is>
          <t>PC-0029</t>
        </is>
      </c>
      <c r="B30" t="inlineStr">
        <is>
          <t>Serpentina modelo 01</t>
        </is>
      </c>
      <c r="C30" s="10" t="n">
        <v>210</v>
      </c>
      <c r="D30" t="inlineStr">
        <is>
          <t>SERPENTINA</t>
        </is>
      </c>
      <c r="E30" t="inlineStr">
        <is>
          <t>SERPENTINA - RETORNO EM GARANTIA</t>
        </is>
      </c>
      <c r="F30" t="inlineStr">
        <is>
          <t>PG-SER</t>
        </is>
      </c>
      <c r="G30" s="10" t="n">
        <v>21</v>
      </c>
      <c r="H30" t="inlineStr">
        <is>
          <t>Chopeiras</t>
        </is>
      </c>
    </row>
    <row r="31">
      <c r="A31" t="inlineStr">
        <is>
          <t>PC-0030</t>
        </is>
      </c>
      <c r="B31" t="inlineStr">
        <is>
          <t>Serpentina modelo 02</t>
        </is>
      </c>
      <c r="C31" s="10" t="n">
        <v>215</v>
      </c>
      <c r="D31" t="inlineStr">
        <is>
          <t>SERPENTINA</t>
        </is>
      </c>
      <c r="E31" t="inlineStr">
        <is>
          <t>SERPENTINA - RETORNO EM GARANTIA</t>
        </is>
      </c>
      <c r="F31" t="inlineStr">
        <is>
          <t>PG-SER</t>
        </is>
      </c>
      <c r="G31" s="10" t="n">
        <v>21</v>
      </c>
      <c r="H31" t="inlineStr">
        <is>
          <t>Chopeiras</t>
        </is>
      </c>
    </row>
    <row r="32">
      <c r="A32" t="inlineStr">
        <is>
          <t>PC-0031</t>
        </is>
      </c>
      <c r="B32" t="inlineStr">
        <is>
          <t>Serpentina modelo 03</t>
        </is>
      </c>
      <c r="C32" s="10" t="n">
        <v>205</v>
      </c>
      <c r="D32" t="inlineStr">
        <is>
          <t>SERPENTINA</t>
        </is>
      </c>
      <c r="E32" t="inlineStr">
        <is>
          <t>SERPENTINA - RETORNO EM GARANTIA</t>
        </is>
      </c>
      <c r="F32" t="inlineStr">
        <is>
          <t>PG-SER</t>
        </is>
      </c>
      <c r="G32" s="10" t="n">
        <v>21</v>
      </c>
      <c r="H32" t="inlineStr">
        <is>
          <t>Chopeiras</t>
        </is>
      </c>
    </row>
    <row r="33">
      <c r="A33" t="inlineStr">
        <is>
          <t>PC-0032</t>
        </is>
      </c>
      <c r="B33" t="inlineStr">
        <is>
          <t>Regulador de pressão modelo 01</t>
        </is>
      </c>
      <c r="C33" s="10" t="n">
        <v>120</v>
      </c>
      <c r="D33" t="inlineStr">
        <is>
          <t>REGULADOR DE PRESSÃO</t>
        </is>
      </c>
      <c r="E33" t="inlineStr">
        <is>
          <t>REGULADOR DE PRESSÃO - RETORNO EM GARANTIA</t>
        </is>
      </c>
      <c r="F33" t="inlineStr">
        <is>
          <t>PG-REG</t>
        </is>
      </c>
      <c r="G33" s="10" t="n">
        <v>12</v>
      </c>
      <c r="H33" t="inlineStr">
        <is>
          <t>Chopeiras</t>
        </is>
      </c>
    </row>
    <row r="34">
      <c r="A34" t="inlineStr">
        <is>
          <t>PC-0033</t>
        </is>
      </c>
      <c r="B34" t="inlineStr">
        <is>
          <t>Regulador de pressão modelo 02</t>
        </is>
      </c>
      <c r="C34" s="10" t="n">
        <v>115</v>
      </c>
      <c r="D34" t="inlineStr">
        <is>
          <t>REGULADOR DE PRESSÃO</t>
        </is>
      </c>
      <c r="E34" t="inlineStr">
        <is>
          <t>REGULADOR DE PRESSÃO - RETORNO EM GARANTIA</t>
        </is>
      </c>
      <c r="F34" t="inlineStr">
        <is>
          <t>PG-REG</t>
        </is>
      </c>
      <c r="G34" s="10" t="n">
        <v>12</v>
      </c>
      <c r="H34" t="inlineStr">
        <is>
          <t>Chopeiras</t>
        </is>
      </c>
    </row>
    <row r="35">
      <c r="A35" t="inlineStr">
        <is>
          <t>PC-0034</t>
        </is>
      </c>
      <c r="B35" t="inlineStr">
        <is>
          <t>Regulador de pressão modelo 03</t>
        </is>
      </c>
      <c r="C35" s="10" t="n">
        <v>115</v>
      </c>
      <c r="D35" t="inlineStr">
        <is>
          <t>REGULADOR DE PRESSÃO</t>
        </is>
      </c>
      <c r="E35" t="inlineStr">
        <is>
          <t>REGULADOR DE PRESSÃO - RETORNO EM GARANTIA</t>
        </is>
      </c>
      <c r="F35" t="inlineStr">
        <is>
          <t>PG-REG</t>
        </is>
      </c>
      <c r="G35" s="10" t="n">
        <v>12</v>
      </c>
      <c r="H35" t="inlineStr">
        <is>
          <t>Chopeiras</t>
        </is>
      </c>
    </row>
    <row r="36">
      <c r="A36" t="inlineStr">
        <is>
          <t>PC-0035</t>
        </is>
      </c>
      <c r="B36" t="inlineStr">
        <is>
          <t>Válvula extratora modelo 01</t>
        </is>
      </c>
      <c r="C36" s="10" t="n">
        <v>85</v>
      </c>
      <c r="D36" t="inlineStr">
        <is>
          <t>VÁLVULA EXTRATORA</t>
        </is>
      </c>
      <c r="E36" t="inlineStr">
        <is>
          <t>VÁLVULA EXTRATORA - RETORNO EM GARANTIA</t>
        </is>
      </c>
      <c r="F36" t="inlineStr">
        <is>
          <t>PG-VÁL</t>
        </is>
      </c>
      <c r="G36" s="10" t="n">
        <v>7.5</v>
      </c>
      <c r="H36" t="inlineStr">
        <is>
          <t>Chopeiras</t>
        </is>
      </c>
    </row>
    <row r="37">
      <c r="A37" t="inlineStr">
        <is>
          <t>PC-0036</t>
        </is>
      </c>
      <c r="B37" t="inlineStr">
        <is>
          <t>Válvula extratora modelo 02</t>
        </is>
      </c>
      <c r="C37" s="10" t="n">
        <v>85</v>
      </c>
      <c r="D37" t="inlineStr">
        <is>
          <t>VÁLVULA EXTRATORA</t>
        </is>
      </c>
      <c r="E37" t="inlineStr">
        <is>
          <t>VÁLVULA EXTRATORA - RETORNO EM GARANTIA</t>
        </is>
      </c>
      <c r="F37" t="inlineStr">
        <is>
          <t>PG-VÁL</t>
        </is>
      </c>
      <c r="G37" s="10" t="n">
        <v>7.5</v>
      </c>
      <c r="H37" t="inlineStr">
        <is>
          <t>Chopeiras</t>
        </is>
      </c>
    </row>
    <row r="38">
      <c r="A38" t="inlineStr">
        <is>
          <t>PC-0037</t>
        </is>
      </c>
      <c r="B38" t="inlineStr">
        <is>
          <t>Bomba de recirculação modelo 01</t>
        </is>
      </c>
      <c r="C38" s="10" t="n">
        <v>255</v>
      </c>
      <c r="D38" t="inlineStr">
        <is>
          <t>BOMBA DE RECIRCULAÇÃO</t>
        </is>
      </c>
      <c r="E38" t="inlineStr">
        <is>
          <t>BOMBA DE RECIRCULAÇÃO - RETORNO EM GARANTIA</t>
        </is>
      </c>
      <c r="F38" t="inlineStr">
        <is>
          <t>PG-BOM</t>
        </is>
      </c>
      <c r="G38" s="10" t="n">
        <v>26</v>
      </c>
      <c r="H38" t="inlineStr">
        <is>
          <t>Misturadores</t>
        </is>
      </c>
    </row>
    <row r="39">
      <c r="A39" t="inlineStr">
        <is>
          <t>PC-0038</t>
        </is>
      </c>
      <c r="B39" t="inlineStr">
        <is>
          <t>Bomba de recirculação modelo 02</t>
        </is>
      </c>
      <c r="C39" s="10" t="n">
        <v>265</v>
      </c>
      <c r="D39" t="inlineStr">
        <is>
          <t>BOMBA DE RECIRCULAÇÃO</t>
        </is>
      </c>
      <c r="E39" t="inlineStr">
        <is>
          <t>BOMBA DE RECIRCULAÇÃO - RETORNO EM GARANTIA</t>
        </is>
      </c>
      <c r="F39" t="inlineStr">
        <is>
          <t>PG-BOM</t>
        </is>
      </c>
      <c r="G39" s="10" t="n">
        <v>26</v>
      </c>
      <c r="H39" t="inlineStr">
        <is>
          <t>Misturadores</t>
        </is>
      </c>
    </row>
    <row r="40">
      <c r="A40" t="inlineStr">
        <is>
          <t>PC-0039</t>
        </is>
      </c>
      <c r="B40" t="inlineStr">
        <is>
          <t>Bomba de recirculação modelo 03</t>
        </is>
      </c>
      <c r="C40" s="10" t="n">
        <v>255</v>
      </c>
      <c r="D40" t="inlineStr">
        <is>
          <t>BOMBA DE RECIRCULAÇÃO</t>
        </is>
      </c>
      <c r="E40" t="inlineStr">
        <is>
          <t>BOMBA DE RECIRCULAÇÃO - RETORNO EM GARANTIA</t>
        </is>
      </c>
      <c r="F40" t="inlineStr">
        <is>
          <t>PG-BOM</t>
        </is>
      </c>
      <c r="G40" s="10" t="n">
        <v>26</v>
      </c>
      <c r="H40" t="inlineStr">
        <is>
          <t>Misturadores</t>
        </is>
      </c>
    </row>
    <row r="41">
      <c r="A41" t="inlineStr">
        <is>
          <t>PC-0040</t>
        </is>
      </c>
      <c r="B41" t="inlineStr">
        <is>
          <t>Motor agitador modelo 01</t>
        </is>
      </c>
      <c r="C41" s="10" t="n">
        <v>200</v>
      </c>
      <c r="D41" t="inlineStr">
        <is>
          <t>MOTOR AGITADOR</t>
        </is>
      </c>
      <c r="E41" t="inlineStr">
        <is>
          <t>MOTOR AGITADOR - RETORNO EM GARANTIA</t>
        </is>
      </c>
      <c r="F41" t="inlineStr">
        <is>
          <t>PG-MOT</t>
        </is>
      </c>
      <c r="G41" s="10" t="n">
        <v>19</v>
      </c>
      <c r="H41" t="inlineStr">
        <is>
          <t>Misturadores</t>
        </is>
      </c>
    </row>
    <row r="42">
      <c r="A42" t="inlineStr">
        <is>
          <t>PC-0041</t>
        </is>
      </c>
      <c r="B42" t="inlineStr">
        <is>
          <t>Motor agitador modelo 02</t>
        </is>
      </c>
      <c r="C42" s="10" t="n">
        <v>185</v>
      </c>
      <c r="D42" t="inlineStr">
        <is>
          <t>MOTOR AGITADOR</t>
        </is>
      </c>
      <c r="E42" t="inlineStr">
        <is>
          <t>MOTOR AGITADOR - RETORNO EM GARANTIA</t>
        </is>
      </c>
      <c r="F42" t="inlineStr">
        <is>
          <t>PG-MOT</t>
        </is>
      </c>
      <c r="G42" s="10" t="n">
        <v>19</v>
      </c>
      <c r="H42" t="inlineStr">
        <is>
          <t>Misturadores</t>
        </is>
      </c>
    </row>
    <row r="43">
      <c r="A43" t="inlineStr">
        <is>
          <t>PC-0042</t>
        </is>
      </c>
      <c r="B43" t="inlineStr">
        <is>
          <t>Bico dosador modelo 01</t>
        </is>
      </c>
      <c r="C43" s="10" t="n">
        <v>40</v>
      </c>
      <c r="D43" t="inlineStr">
        <is>
          <t>BICO DOSADOR</t>
        </is>
      </c>
      <c r="E43" t="inlineStr">
        <is>
          <t>BICO DOSADOR - RETORNO EM GARANTIA</t>
        </is>
      </c>
      <c r="F43" t="inlineStr">
        <is>
          <t>PG-BIC</t>
        </is>
      </c>
      <c r="G43" s="10" t="n">
        <v>4</v>
      </c>
      <c r="H43" t="inlineStr">
        <is>
          <t>Misturadores</t>
        </is>
      </c>
    </row>
    <row r="44">
      <c r="A44" t="inlineStr">
        <is>
          <t>PC-0043</t>
        </is>
      </c>
      <c r="B44" t="inlineStr">
        <is>
          <t>Bico dosador modelo 02</t>
        </is>
      </c>
      <c r="C44" s="10" t="n">
        <v>35</v>
      </c>
      <c r="D44" t="inlineStr">
        <is>
          <t>BICO DOSADOR</t>
        </is>
      </c>
      <c r="E44" t="inlineStr">
        <is>
          <t>BICO DOSADOR - RETORNO EM GARANTIA</t>
        </is>
      </c>
      <c r="F44" t="inlineStr">
        <is>
          <t>PG-BIC</t>
        </is>
      </c>
      <c r="G44" s="10" t="n">
        <v>4</v>
      </c>
      <c r="H44" t="inlineStr">
        <is>
          <t>Misturadores</t>
        </is>
      </c>
    </row>
    <row r="45">
      <c r="A45" t="inlineStr">
        <is>
          <t>PC-0044</t>
        </is>
      </c>
      <c r="B45" t="inlineStr">
        <is>
          <t>Bico dosador modelo 03</t>
        </is>
      </c>
      <c r="C45" s="10" t="n">
        <v>50</v>
      </c>
      <c r="D45" t="inlineStr">
        <is>
          <t>BICO DOSADOR</t>
        </is>
      </c>
      <c r="E45" t="inlineStr">
        <is>
          <t>BICO DOSADOR - RETORNO EM GARANTIA</t>
        </is>
      </c>
      <c r="F45" t="inlineStr">
        <is>
          <t>PG-BIC</t>
        </is>
      </c>
      <c r="G45" s="10" t="n">
        <v>4</v>
      </c>
      <c r="H45" t="inlineStr">
        <is>
          <t>Misturadores</t>
        </is>
      </c>
    </row>
    <row r="46">
      <c r="A46" t="inlineStr">
        <is>
          <t>PC-0045</t>
        </is>
      </c>
      <c r="B46" t="inlineStr">
        <is>
          <t>Sensor de nível modelo 01</t>
        </is>
      </c>
      <c r="C46" s="10" t="n">
        <v>50</v>
      </c>
      <c r="D46" t="inlineStr">
        <is>
          <t>SENSOR DE NÍVEL</t>
        </is>
      </c>
      <c r="E46" t="inlineStr">
        <is>
          <t>SENSOR DE NÍVEL - RETORNO EM GARANTIA</t>
        </is>
      </c>
      <c r="F46" t="inlineStr">
        <is>
          <t>PG-SEN</t>
        </is>
      </c>
      <c r="G46" s="10" t="n">
        <v>5.5</v>
      </c>
      <c r="H46" t="inlineStr">
        <is>
          <t>Misturadores</t>
        </is>
      </c>
    </row>
    <row r="47">
      <c r="A47" t="inlineStr">
        <is>
          <t>PC-0046</t>
        </is>
      </c>
      <c r="B47" t="inlineStr">
        <is>
          <t>Sensor de nível modelo 02</t>
        </is>
      </c>
      <c r="C47" s="10" t="n">
        <v>60</v>
      </c>
      <c r="D47" t="inlineStr">
        <is>
          <t>SENSOR DE NÍVEL</t>
        </is>
      </c>
      <c r="E47" t="inlineStr">
        <is>
          <t>SENSOR DE NÍVEL - RETORNO EM GARANTIA</t>
        </is>
      </c>
      <c r="F47" t="inlineStr">
        <is>
          <t>PG-SEN</t>
        </is>
      </c>
      <c r="G47" s="10" t="n">
        <v>5.5</v>
      </c>
      <c r="H47" t="inlineStr">
        <is>
          <t>Misturadores</t>
        </is>
      </c>
    </row>
    <row r="48">
      <c r="A48" t="inlineStr">
        <is>
          <t>PC-0047</t>
        </is>
      </c>
      <c r="B48" t="inlineStr">
        <is>
          <t>Sensor de nível modelo 03</t>
        </is>
      </c>
      <c r="C48" s="10" t="n">
        <v>50</v>
      </c>
      <c r="D48" t="inlineStr">
        <is>
          <t>SENSOR DE NÍVEL</t>
        </is>
      </c>
      <c r="E48" t="inlineStr">
        <is>
          <t>SENSOR DE NÍVEL - RETORNO EM GARANTIA</t>
        </is>
      </c>
      <c r="F48" t="inlineStr">
        <is>
          <t>PG-SEN</t>
        </is>
      </c>
      <c r="G48" s="10" t="n">
        <v>5.5</v>
      </c>
      <c r="H48" t="inlineStr">
        <is>
          <t>Misturadores</t>
        </is>
      </c>
    </row>
    <row r="49">
      <c r="A49" t="inlineStr">
        <is>
          <t>PC-0048</t>
        </is>
      </c>
      <c r="B49" t="inlineStr">
        <is>
          <t>Sensor de nível modelo 04</t>
        </is>
      </c>
      <c r="C49" s="10" t="n">
        <v>60</v>
      </c>
      <c r="D49" t="inlineStr">
        <is>
          <t>SENSOR DE NÍVEL</t>
        </is>
      </c>
      <c r="E49" t="inlineStr">
        <is>
          <t>SENSOR DE NÍVEL - RETORNO EM GARANTIA</t>
        </is>
      </c>
      <c r="F49" t="inlineStr">
        <is>
          <t>PG-SEN</t>
        </is>
      </c>
      <c r="G49" s="10" t="n">
        <v>5.5</v>
      </c>
      <c r="H49" t="inlineStr">
        <is>
          <t>Misturadores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14" customWidth="1" min="4" max="4"/>
    <col width="18" customWidth="1" min="5" max="5"/>
    <col width="10" customWidth="1" min="6" max="6"/>
    <col width="40" customWidth="1" min="7" max="7"/>
    <col width="14" customWidth="1" min="8" max="8"/>
    <col width="11" customWidth="1" min="9" max="9"/>
    <col width="8" customWidth="1" min="10" max="10"/>
    <col width="14" customWidth="1" min="11" max="11"/>
  </cols>
  <sheetData>
    <row r="1">
      <c r="A1" s="3" t="inlineStr">
        <is>
          <t>UF</t>
        </is>
      </c>
      <c r="B1" s="3" t="inlineStr">
        <is>
          <t>ESTADO COMPLETO</t>
        </is>
      </c>
      <c r="C1" s="3" t="inlineStr">
        <is>
          <t>STA</t>
        </is>
      </c>
      <c r="D1" s="3" t="inlineStr">
        <is>
          <t>Região</t>
        </is>
      </c>
      <c r="E1" s="3" t="inlineStr">
        <is>
          <t>Coordenador</t>
        </is>
      </c>
      <c r="F1" s="3" t="inlineStr">
        <is>
          <t>Cód STA</t>
        </is>
      </c>
      <c r="G1" s="3" t="inlineStr">
        <is>
          <t>Email</t>
        </is>
      </c>
      <c r="H1" s="3" t="inlineStr">
        <is>
          <t>Data_Cadastro</t>
        </is>
      </c>
      <c r="I1" s="3" t="inlineStr">
        <is>
          <t>STA ativa?</t>
        </is>
      </c>
      <c r="J1" s="3" t="inlineStr">
        <is>
          <t>MEI?</t>
        </is>
      </c>
      <c r="K1" s="3" t="inlineStr">
        <is>
          <t>E-mail válido?</t>
        </is>
      </c>
    </row>
    <row r="2">
      <c r="A2" t="inlineStr">
        <is>
          <t>SP</t>
        </is>
      </c>
      <c r="B2" t="inlineStr">
        <is>
          <t>São Paulo</t>
        </is>
      </c>
      <c r="C2" t="inlineStr">
        <is>
          <t>Cool Service ME (10010)</t>
        </is>
      </c>
      <c r="D2" t="inlineStr">
        <is>
          <t>Sudeste</t>
        </is>
      </c>
      <c r="E2" t="inlineStr">
        <is>
          <t>SUDESTE SP</t>
        </is>
      </c>
      <c r="F2" t="n">
        <v>10010</v>
      </c>
      <c r="G2" t="inlineStr">
        <is>
          <t>cool.service.me@exemplo.com.br</t>
        </is>
      </c>
      <c r="H2" s="11" t="n">
        <v>45396</v>
      </c>
      <c r="I2" t="inlineStr">
        <is>
          <t>Sim</t>
        </is>
      </c>
      <c r="J2" t="inlineStr">
        <is>
          <t>Sim</t>
        </is>
      </c>
      <c r="K2">
        <f>IF(AND(G2&lt;&gt;"",ISNUMBER(FIND("@",G2)),ISNUMBER(FIND(".",G2))),"Sim","Não")</f>
        <v/>
      </c>
    </row>
    <row r="3">
      <c r="A3" t="inlineStr">
        <is>
          <t>DF</t>
        </is>
      </c>
      <c r="B3" t="inlineStr">
        <is>
          <t>Distrito Federal</t>
        </is>
      </c>
      <c r="C3" t="inlineStr">
        <is>
          <t>Termotec Técnica (10021)</t>
        </is>
      </c>
      <c r="D3" t="inlineStr">
        <is>
          <t>Centro-Oeste</t>
        </is>
      </c>
      <c r="E3" t="inlineStr">
        <is>
          <t>CENTRO OESTE</t>
        </is>
      </c>
      <c r="F3" t="n">
        <v>10021</v>
      </c>
      <c r="G3" t="inlineStr">
        <is>
          <t>termotec.tecnica@exemplo.com.br</t>
        </is>
      </c>
      <c r="H3" s="11" t="n">
        <v>45319</v>
      </c>
      <c r="I3" t="inlineStr">
        <is>
          <t>Sim</t>
        </is>
      </c>
      <c r="J3" t="inlineStr">
        <is>
          <t>Não</t>
        </is>
      </c>
      <c r="K3">
        <f>IF(AND(G3&lt;&gt;"",ISNUMBER(FIND("@",G3)),ISNUMBER(FIND(".",G3))),"Sim","Não")</f>
        <v/>
      </c>
    </row>
    <row r="4">
      <c r="A4" t="inlineStr">
        <is>
          <t>SP</t>
        </is>
      </c>
      <c r="B4" t="inlineStr">
        <is>
          <t>São Paulo</t>
        </is>
      </c>
      <c r="C4" t="inlineStr">
        <is>
          <t>Refrigel Manutenção (10111)</t>
        </is>
      </c>
      <c r="D4" t="inlineStr">
        <is>
          <t>Sudeste</t>
        </is>
      </c>
      <c r="E4" t="inlineStr">
        <is>
          <t>SUDESTE SP</t>
        </is>
      </c>
      <c r="F4" t="n">
        <v>10111</v>
      </c>
      <c r="G4" t="inlineStr">
        <is>
          <t>refrigel.manutencao@exemplo.com.br</t>
        </is>
      </c>
      <c r="H4" s="11" t="n">
        <v>45298</v>
      </c>
      <c r="I4" t="inlineStr">
        <is>
          <t>Sim</t>
        </is>
      </c>
      <c r="J4" t="inlineStr">
        <is>
          <t>Não</t>
        </is>
      </c>
      <c r="K4">
        <f>IF(AND(G4&lt;&gt;"",ISNUMBER(FIND("@",G4)),ISNUMBER(FIND(".",G4))),"Sim","Não")</f>
        <v/>
      </c>
    </row>
    <row r="5">
      <c r="A5" t="inlineStr">
        <is>
          <t>RO</t>
        </is>
      </c>
      <c r="B5" t="inlineStr">
        <is>
          <t>Rondônia</t>
        </is>
      </c>
      <c r="C5" t="inlineStr">
        <is>
          <t>Frigo Serviços (10172)</t>
        </is>
      </c>
      <c r="D5" t="inlineStr">
        <is>
          <t>Norte</t>
        </is>
      </c>
      <c r="E5" t="inlineStr">
        <is>
          <t>NORTE</t>
        </is>
      </c>
      <c r="F5" t="n">
        <v>10172</v>
      </c>
      <c r="G5" t="inlineStr">
        <is>
          <t>frigo.servicos@exemplo.com.br</t>
        </is>
      </c>
      <c r="H5" s="11" t="n">
        <v>45636</v>
      </c>
      <c r="I5" t="inlineStr">
        <is>
          <t>Sim</t>
        </is>
      </c>
      <c r="J5" t="inlineStr">
        <is>
          <t>Não</t>
        </is>
      </c>
      <c r="K5">
        <f>IF(AND(G5&lt;&gt;"",ISNUMBER(FIND("@",G5)),ISNUMBER(FIND(".",G5))),"Sim","Não")</f>
        <v/>
      </c>
    </row>
    <row r="6">
      <c r="A6" t="inlineStr">
        <is>
          <t>MT</t>
        </is>
      </c>
      <c r="B6" t="inlineStr">
        <is>
          <t>Mato Grosso</t>
        </is>
      </c>
      <c r="C6" t="inlineStr">
        <is>
          <t>Assistência Técnica ME (10227)</t>
        </is>
      </c>
      <c r="D6" t="inlineStr">
        <is>
          <t>Centro-Oeste</t>
        </is>
      </c>
      <c r="E6" t="inlineStr">
        <is>
          <t>CENTRO OESTE</t>
        </is>
      </c>
      <c r="F6" t="n">
        <v>10227</v>
      </c>
      <c r="G6" t="inlineStr">
        <is>
          <t>assistencia.tecnica.me@exemplo.com.br</t>
        </is>
      </c>
      <c r="H6" s="11" t="n">
        <v>45336</v>
      </c>
      <c r="I6" t="inlineStr">
        <is>
          <t>Sim</t>
        </is>
      </c>
      <c r="J6" t="inlineStr">
        <is>
          <t>Não</t>
        </is>
      </c>
      <c r="K6">
        <f>IF(AND(G6&lt;&gt;"",ISNUMBER(FIND("@",G6)),ISNUMBER(FIND(".",G6))),"Sim","Não")</f>
        <v/>
      </c>
    </row>
    <row r="7">
      <c r="A7" t="inlineStr">
        <is>
          <t>MS</t>
        </is>
      </c>
      <c r="B7" t="inlineStr">
        <is>
          <t>Mato Grosso do Sul</t>
        </is>
      </c>
      <c r="C7" t="inlineStr">
        <is>
          <t>Ice Tech Express (10302)</t>
        </is>
      </c>
      <c r="D7" t="inlineStr">
        <is>
          <t>Centro-Oeste</t>
        </is>
      </c>
      <c r="E7" t="inlineStr">
        <is>
          <t>CENTRO OESTE</t>
        </is>
      </c>
      <c r="F7" t="n">
        <v>10302</v>
      </c>
      <c r="G7" t="inlineStr"/>
      <c r="H7" s="11" t="n">
        <v>45662</v>
      </c>
      <c r="I7" t="inlineStr">
        <is>
          <t>Sim</t>
        </is>
      </c>
      <c r="J7" t="inlineStr">
        <is>
          <t>Não</t>
        </is>
      </c>
      <c r="K7">
        <f>IF(AND(G7&lt;&gt;"",ISNUMBER(FIND("@",G7)),ISNUMBER(FIND(".",G7))),"Sim","Não")</f>
        <v/>
      </c>
    </row>
    <row r="8">
      <c r="A8" t="inlineStr">
        <is>
          <t>GO</t>
        </is>
      </c>
      <c r="B8" t="inlineStr">
        <is>
          <t>Goiás</t>
        </is>
      </c>
      <c r="C8" t="inlineStr">
        <is>
          <t>Termotec Manutenção (10317)</t>
        </is>
      </c>
      <c r="D8" t="inlineStr">
        <is>
          <t>Centro-Oeste</t>
        </is>
      </c>
      <c r="E8" t="inlineStr">
        <is>
          <t>CENTRO OESTE</t>
        </is>
      </c>
      <c r="F8" t="n">
        <v>10317</v>
      </c>
      <c r="G8" t="inlineStr">
        <is>
          <t>termotec.manutencao@exemplo.com.br</t>
        </is>
      </c>
      <c r="H8" s="11" t="n">
        <v>45530</v>
      </c>
      <c r="I8" t="inlineStr">
        <is>
          <t>Sim</t>
        </is>
      </c>
      <c r="J8" t="inlineStr">
        <is>
          <t>Não</t>
        </is>
      </c>
      <c r="K8">
        <f>IF(AND(G8&lt;&gt;"",ISNUMBER(FIND("@",G8)),ISNUMBER(FIND(".",G8))),"Sim","Não")</f>
        <v/>
      </c>
    </row>
    <row r="9">
      <c r="A9" t="inlineStr">
        <is>
          <t>AC</t>
        </is>
      </c>
      <c r="B9" t="inlineStr">
        <is>
          <t>Acre</t>
        </is>
      </c>
      <c r="C9" t="inlineStr">
        <is>
          <t>Zero Grau ME (10372)</t>
        </is>
      </c>
      <c r="D9" t="inlineStr">
        <is>
          <t>Norte</t>
        </is>
      </c>
      <c r="E9" t="inlineStr">
        <is>
          <t>NORTE</t>
        </is>
      </c>
      <c r="F9" t="n">
        <v>10372</v>
      </c>
      <c r="G9" t="inlineStr">
        <is>
          <t>zero.grau.me@exemplo.com.br</t>
        </is>
      </c>
      <c r="H9" s="11" t="n">
        <v>45671</v>
      </c>
      <c r="I9" t="inlineStr">
        <is>
          <t>Sim</t>
        </is>
      </c>
      <c r="J9" t="inlineStr">
        <is>
          <t>Não</t>
        </is>
      </c>
      <c r="K9">
        <f>IF(AND(G9&lt;&gt;"",ISNUMBER(FIND("@",G9)),ISNUMBER(FIND(".",G9))),"Sim","Não")</f>
        <v/>
      </c>
    </row>
    <row r="10">
      <c r="A10" t="inlineStr">
        <is>
          <t>SP</t>
        </is>
      </c>
      <c r="B10" t="inlineStr">
        <is>
          <t>São Paulo</t>
        </is>
      </c>
      <c r="C10" t="inlineStr">
        <is>
          <t>Polar Manutenção (10413)</t>
        </is>
      </c>
      <c r="D10" t="inlineStr">
        <is>
          <t>Sudeste</t>
        </is>
      </c>
      <c r="E10" t="inlineStr">
        <is>
          <t>SUDESTE SP</t>
        </is>
      </c>
      <c r="F10" t="n">
        <v>10413</v>
      </c>
      <c r="G10" t="inlineStr">
        <is>
          <t>polar.manutencao@exemplo.com.br</t>
        </is>
      </c>
      <c r="H10" s="11" t="n">
        <v>45542</v>
      </c>
      <c r="I10" t="inlineStr">
        <is>
          <t>Sim</t>
        </is>
      </c>
      <c r="J10" t="inlineStr">
        <is>
          <t>Não</t>
        </is>
      </c>
      <c r="K10">
        <f>IF(AND(G10&lt;&gt;"",ISNUMBER(FIND("@",G10)),ISNUMBER(FIND(".",G10))),"Sim","Não")</f>
        <v/>
      </c>
    </row>
    <row r="11">
      <c r="A11" t="inlineStr">
        <is>
          <t>RR</t>
        </is>
      </c>
      <c r="B11" t="inlineStr">
        <is>
          <t>Roraima</t>
        </is>
      </c>
      <c r="C11" t="inlineStr">
        <is>
          <t>Clima Express (10468)</t>
        </is>
      </c>
      <c r="D11" t="inlineStr">
        <is>
          <t>Norte</t>
        </is>
      </c>
      <c r="E11" t="inlineStr">
        <is>
          <t>NORTE</t>
        </is>
      </c>
      <c r="F11" t="n">
        <v>10468</v>
      </c>
      <c r="G11" t="inlineStr">
        <is>
          <t>clima.express@exemplo.com.br</t>
        </is>
      </c>
      <c r="H11" s="11" t="n">
        <v>45624</v>
      </c>
      <c r="I11" t="inlineStr">
        <is>
          <t>Sim</t>
        </is>
      </c>
      <c r="J11" t="inlineStr">
        <is>
          <t>Não</t>
        </is>
      </c>
      <c r="K11">
        <f>IF(AND(G11&lt;&gt;"",ISNUMBER(FIND("@",G11)),ISNUMBER(FIND(".",G11))),"Sim","Não")</f>
        <v/>
      </c>
    </row>
    <row r="12">
      <c r="A12" t="inlineStr">
        <is>
          <t>PR</t>
        </is>
      </c>
      <c r="B12" t="inlineStr">
        <is>
          <t>Paraná</t>
        </is>
      </c>
      <c r="C12" t="inlineStr">
        <is>
          <t>Zero Grau Ltda (10504)</t>
        </is>
      </c>
      <c r="D12" t="inlineStr">
        <is>
          <t>Sul</t>
        </is>
      </c>
      <c r="E12" t="inlineStr">
        <is>
          <t>SUL</t>
        </is>
      </c>
      <c r="F12" t="n">
        <v>10504</v>
      </c>
      <c r="G12" t="inlineStr">
        <is>
          <t>zero.grau.ltda@exemplo.com.br</t>
        </is>
      </c>
      <c r="H12" s="11" t="n">
        <v>45359</v>
      </c>
      <c r="I12" t="inlineStr">
        <is>
          <t>Sim</t>
        </is>
      </c>
      <c r="J12" t="inlineStr">
        <is>
          <t>Não</t>
        </is>
      </c>
      <c r="K12">
        <f>IF(AND(G12&lt;&gt;"",ISNUMBER(FIND("@",G12)),ISNUMBER(FIND(".",G12))),"Sim","Não")</f>
        <v/>
      </c>
    </row>
    <row r="13">
      <c r="A13" t="inlineStr">
        <is>
          <t>SP</t>
        </is>
      </c>
      <c r="B13" t="inlineStr">
        <is>
          <t>São Paulo</t>
        </is>
      </c>
      <c r="C13" t="inlineStr">
        <is>
          <t>Frio Refrigeração (10538)</t>
        </is>
      </c>
      <c r="D13" t="inlineStr">
        <is>
          <t>Sudeste</t>
        </is>
      </c>
      <c r="E13" t="inlineStr">
        <is>
          <t>SUDESTE SP</t>
        </is>
      </c>
      <c r="F13" t="n">
        <v>10538</v>
      </c>
      <c r="G13" t="inlineStr">
        <is>
          <t>frio.refrigeracao@exemplo.com.br</t>
        </is>
      </c>
      <c r="H13" s="11" t="n">
        <v>45761</v>
      </c>
      <c r="I13" t="inlineStr">
        <is>
          <t>Sim</t>
        </is>
      </c>
      <c r="J13" t="inlineStr">
        <is>
          <t>Não</t>
        </is>
      </c>
      <c r="K13">
        <f>IF(AND(G13&lt;&gt;"",ISNUMBER(FIND("@",G13)),ISNUMBER(FIND(".",G13))),"Sim","Não")</f>
        <v/>
      </c>
    </row>
    <row r="14">
      <c r="A14" t="inlineStr">
        <is>
          <t>PI</t>
        </is>
      </c>
      <c r="B14" t="inlineStr">
        <is>
          <t>Piauí</t>
        </is>
      </c>
      <c r="C14" t="inlineStr">
        <is>
          <t>Clima &amp; Cia (10562)</t>
        </is>
      </c>
      <c r="D14" t="inlineStr">
        <is>
          <t>Nordeste</t>
        </is>
      </c>
      <c r="E14" t="inlineStr">
        <is>
          <t>NORDESTE</t>
        </is>
      </c>
      <c r="F14" t="n">
        <v>10562</v>
      </c>
      <c r="G14" t="inlineStr">
        <is>
          <t>clima@exemplo.com.br</t>
        </is>
      </c>
      <c r="H14" s="11" t="n">
        <v>45730</v>
      </c>
      <c r="I14" t="inlineStr">
        <is>
          <t>Sim</t>
        </is>
      </c>
      <c r="J14" t="inlineStr">
        <is>
          <t>Não</t>
        </is>
      </c>
      <c r="K14">
        <f>IF(AND(G14&lt;&gt;"",ISNUMBER(FIND("@",G14)),ISNUMBER(FIND(".",G14))),"Sim","Não")</f>
        <v/>
      </c>
    </row>
    <row r="15">
      <c r="A15" t="inlineStr">
        <is>
          <t>CE</t>
        </is>
      </c>
      <c r="B15" t="inlineStr">
        <is>
          <t>Ceará</t>
        </is>
      </c>
      <c r="C15" t="inlineStr">
        <is>
          <t>Brisa Técnica (10615)</t>
        </is>
      </c>
      <c r="D15" t="inlineStr">
        <is>
          <t>Nordeste</t>
        </is>
      </c>
      <c r="E15" t="inlineStr">
        <is>
          <t>NORDESTE</t>
        </is>
      </c>
      <c r="F15" t="n">
        <v>10615</v>
      </c>
      <c r="G15" t="inlineStr">
        <is>
          <t>brisa.tecnica@exemplo.com.br</t>
        </is>
      </c>
      <c r="H15" s="11" t="n">
        <v>45340</v>
      </c>
      <c r="I15" t="inlineStr">
        <is>
          <t>Sim</t>
        </is>
      </c>
      <c r="J15" t="inlineStr">
        <is>
          <t>Sim</t>
        </is>
      </c>
      <c r="K15">
        <f>IF(AND(G15&lt;&gt;"",ISNUMBER(FIND("@",G15)),ISNUMBER(FIND(".",G15))),"Sim","Não")</f>
        <v/>
      </c>
    </row>
    <row r="16">
      <c r="A16" t="inlineStr">
        <is>
          <t>RJ</t>
        </is>
      </c>
      <c r="B16" t="inlineStr">
        <is>
          <t>Rio de Janeiro</t>
        </is>
      </c>
      <c r="C16" t="inlineStr">
        <is>
          <t>Clima Serviços (10676)</t>
        </is>
      </c>
      <c r="D16" t="inlineStr">
        <is>
          <t>Sudeste</t>
        </is>
      </c>
      <c r="E16" t="inlineStr">
        <is>
          <t>SUDESTE RJ e ES</t>
        </is>
      </c>
      <c r="F16" t="n">
        <v>10676</v>
      </c>
      <c r="G16" t="inlineStr">
        <is>
          <t>clima.servicos@exemplo.com.br</t>
        </is>
      </c>
      <c r="H16" s="11" t="n">
        <v>45771</v>
      </c>
      <c r="I16" t="inlineStr">
        <is>
          <t>Sim</t>
        </is>
      </c>
      <c r="J16" t="inlineStr">
        <is>
          <t>Não</t>
        </is>
      </c>
      <c r="K16">
        <f>IF(AND(G16&lt;&gt;"",ISNUMBER(FIND("@",G16)),ISNUMBER(FIND(".",G16))),"Sim","Não")</f>
        <v/>
      </c>
    </row>
    <row r="17">
      <c r="A17" t="inlineStr">
        <is>
          <t>PR</t>
        </is>
      </c>
      <c r="B17" t="inlineStr">
        <is>
          <t>Paraná</t>
        </is>
      </c>
      <c r="C17" t="inlineStr">
        <is>
          <t>Refrigel &amp; Cia (10753)</t>
        </is>
      </c>
      <c r="D17" t="inlineStr">
        <is>
          <t>Sul</t>
        </is>
      </c>
      <c r="E17" t="inlineStr">
        <is>
          <t>SUL</t>
        </is>
      </c>
      <c r="F17" t="n">
        <v>10753</v>
      </c>
      <c r="G17" t="inlineStr">
        <is>
          <t>refrigel@exemplo.com.br</t>
        </is>
      </c>
      <c r="H17" s="11" t="n">
        <v>45841</v>
      </c>
      <c r="I17" t="inlineStr">
        <is>
          <t>Sim</t>
        </is>
      </c>
      <c r="J17" t="inlineStr">
        <is>
          <t>Sim</t>
        </is>
      </c>
      <c r="K17">
        <f>IF(AND(G17&lt;&gt;"",ISNUMBER(FIND("@",G17)),ISNUMBER(FIND(".",G17))),"Sim","Não")</f>
        <v/>
      </c>
    </row>
    <row r="18">
      <c r="A18" t="inlineStr">
        <is>
          <t>AM</t>
        </is>
      </c>
      <c r="B18" t="inlineStr">
        <is>
          <t>Amazonas</t>
        </is>
      </c>
      <c r="C18" t="inlineStr">
        <is>
          <t>Frigo &amp; Cia (10842)</t>
        </is>
      </c>
      <c r="D18" t="inlineStr">
        <is>
          <t>Norte</t>
        </is>
      </c>
      <c r="E18" t="inlineStr">
        <is>
          <t>NORTE</t>
        </is>
      </c>
      <c r="F18" t="n">
        <v>10842</v>
      </c>
      <c r="G18" t="inlineStr">
        <is>
          <t>frigo@exemplo.com.br</t>
        </is>
      </c>
      <c r="H18" s="11" t="n">
        <v>45295</v>
      </c>
      <c r="I18" t="inlineStr">
        <is>
          <t>Sim</t>
        </is>
      </c>
      <c r="J18" t="inlineStr">
        <is>
          <t>Não</t>
        </is>
      </c>
      <c r="K18">
        <f>IF(AND(G18&lt;&gt;"",ISNUMBER(FIND("@",G18)),ISNUMBER(FIND(".",G18))),"Sim","Não")</f>
        <v/>
      </c>
    </row>
    <row r="19">
      <c r="A19" t="inlineStr">
        <is>
          <t>PR</t>
        </is>
      </c>
      <c r="B19" t="inlineStr">
        <is>
          <t>Paraná</t>
        </is>
      </c>
      <c r="C19" t="inlineStr">
        <is>
          <t>Ice Tech &amp; Cia (10913)</t>
        </is>
      </c>
      <c r="D19" t="inlineStr">
        <is>
          <t>Sul</t>
        </is>
      </c>
      <c r="E19" t="inlineStr">
        <is>
          <t>SUL</t>
        </is>
      </c>
      <c r="F19" t="n">
        <v>10913</v>
      </c>
      <c r="G19" t="inlineStr">
        <is>
          <t>ice.tech@exemplo.com.br</t>
        </is>
      </c>
      <c r="H19" s="11" t="n">
        <v>45597</v>
      </c>
      <c r="I19" t="inlineStr">
        <is>
          <t>Sim</t>
        </is>
      </c>
      <c r="J19" t="inlineStr">
        <is>
          <t>Sim</t>
        </is>
      </c>
      <c r="K19">
        <f>IF(AND(G19&lt;&gt;"",ISNUMBER(FIND("@",G19)),ISNUMBER(FIND(".",G19))),"Sim","Não")</f>
        <v/>
      </c>
    </row>
    <row r="20">
      <c r="A20" t="inlineStr">
        <is>
          <t>TO</t>
        </is>
      </c>
      <c r="B20" t="inlineStr">
        <is>
          <t>Tocantins</t>
        </is>
      </c>
      <c r="C20" t="inlineStr">
        <is>
          <t>Zero Grau Manutenção (10939)</t>
        </is>
      </c>
      <c r="D20" t="inlineStr">
        <is>
          <t>Norte</t>
        </is>
      </c>
      <c r="E20" t="inlineStr">
        <is>
          <t>NORTE</t>
        </is>
      </c>
      <c r="F20" t="n">
        <v>10939</v>
      </c>
      <c r="G20" t="inlineStr">
        <is>
          <t>zero.grau.manutencao@exemplo.com.br</t>
        </is>
      </c>
      <c r="H20" s="11" t="n">
        <v>45835</v>
      </c>
      <c r="I20" t="inlineStr">
        <is>
          <t>Sim</t>
        </is>
      </c>
      <c r="J20" t="inlineStr">
        <is>
          <t>Não</t>
        </is>
      </c>
      <c r="K20">
        <f>IF(AND(G20&lt;&gt;"",ISNUMBER(FIND("@",G20)),ISNUMBER(FIND(".",G20))),"Sim","Não")</f>
        <v/>
      </c>
    </row>
    <row r="21">
      <c r="A21" t="inlineStr">
        <is>
          <t>AC</t>
        </is>
      </c>
      <c r="B21" t="inlineStr">
        <is>
          <t>Acre</t>
        </is>
      </c>
      <c r="C21" t="inlineStr">
        <is>
          <t>Brisa Ltda (11022)</t>
        </is>
      </c>
      <c r="D21" t="inlineStr">
        <is>
          <t>Norte</t>
        </is>
      </c>
      <c r="E21" t="inlineStr">
        <is>
          <t>NORTE</t>
        </is>
      </c>
      <c r="F21" t="n">
        <v>11022</v>
      </c>
      <c r="G21" t="inlineStr"/>
      <c r="H21" s="11" t="n">
        <v>45606</v>
      </c>
      <c r="I21" t="inlineStr">
        <is>
          <t>Sim</t>
        </is>
      </c>
      <c r="J21" t="inlineStr">
        <is>
          <t>Não</t>
        </is>
      </c>
      <c r="K21">
        <f>IF(AND(G21&lt;&gt;"",ISNUMBER(FIND("@",G21)),ISNUMBER(FIND(".",G21))),"Sim","Não")</f>
        <v/>
      </c>
    </row>
    <row r="22">
      <c r="A22" t="inlineStr">
        <is>
          <t>RJ</t>
        </is>
      </c>
      <c r="B22" t="inlineStr">
        <is>
          <t>Rio de Janeiro</t>
        </is>
      </c>
      <c r="C22" t="inlineStr">
        <is>
          <t>Frio Ltda (11059)</t>
        </is>
      </c>
      <c r="D22" t="inlineStr">
        <is>
          <t>Sudeste</t>
        </is>
      </c>
      <c r="E22" t="inlineStr">
        <is>
          <t>SUDESTE RJ e ES</t>
        </is>
      </c>
      <c r="F22" t="n">
        <v>11059</v>
      </c>
      <c r="G22" t="inlineStr">
        <is>
          <t>frio.ltda@exemplo.com.br</t>
        </is>
      </c>
      <c r="H22" s="11" t="n">
        <v>45362</v>
      </c>
      <c r="I22" t="inlineStr">
        <is>
          <t>Sim</t>
        </is>
      </c>
      <c r="J22" t="inlineStr">
        <is>
          <t>Não</t>
        </is>
      </c>
      <c r="K22">
        <f>IF(AND(G22&lt;&gt;"",ISNUMBER(FIND("@",G22)),ISNUMBER(FIND(".",G22))),"Sim","Não")</f>
        <v/>
      </c>
    </row>
    <row r="23">
      <c r="A23" t="inlineStr">
        <is>
          <t>ES</t>
        </is>
      </c>
      <c r="B23" t="inlineStr">
        <is>
          <t>Espírito Santo</t>
        </is>
      </c>
      <c r="C23" t="inlineStr">
        <is>
          <t>Refrigel Serviços (11099)</t>
        </is>
      </c>
      <c r="D23" t="inlineStr">
        <is>
          <t>Sudeste</t>
        </is>
      </c>
      <c r="E23" t="inlineStr">
        <is>
          <t>SUDESTE RJ e ES</t>
        </is>
      </c>
      <c r="F23" t="n">
        <v>11099</v>
      </c>
      <c r="G23" t="inlineStr">
        <is>
          <t>refrigel.servicos@exemplo.com.br</t>
        </is>
      </c>
      <c r="H23" s="11" t="n">
        <v>45497</v>
      </c>
      <c r="I23" t="inlineStr">
        <is>
          <t>Sim</t>
        </is>
      </c>
      <c r="J23" t="inlineStr">
        <is>
          <t>Não</t>
        </is>
      </c>
      <c r="K23">
        <f>IF(AND(G23&lt;&gt;"",ISNUMBER(FIND("@",G23)),ISNUMBER(FIND(".",G23))),"Sim","Não")</f>
        <v/>
      </c>
    </row>
    <row r="24">
      <c r="A24" t="inlineStr">
        <is>
          <t>ES</t>
        </is>
      </c>
      <c r="B24" t="inlineStr">
        <is>
          <t>Espírito Santo</t>
        </is>
      </c>
      <c r="C24" t="inlineStr">
        <is>
          <t>Ártico Refrigeração (11162)</t>
        </is>
      </c>
      <c r="D24" t="inlineStr">
        <is>
          <t>Sudeste</t>
        </is>
      </c>
      <c r="E24" t="inlineStr">
        <is>
          <t>SUDESTE RJ e ES</t>
        </is>
      </c>
      <c r="F24" t="n">
        <v>11162</v>
      </c>
      <c r="G24" t="inlineStr">
        <is>
          <t>artico.refrigeracao@exemplo.com.br</t>
        </is>
      </c>
      <c r="H24" s="11" t="n">
        <v>45638</v>
      </c>
      <c r="I24" t="inlineStr">
        <is>
          <t>Sim</t>
        </is>
      </c>
      <c r="J24" t="inlineStr">
        <is>
          <t>Não</t>
        </is>
      </c>
      <c r="K24">
        <f>IF(AND(G24&lt;&gt;"",ISNUMBER(FIND("@",G24)),ISNUMBER(FIND(".",G24))),"Sim","Não")</f>
        <v/>
      </c>
    </row>
    <row r="25">
      <c r="A25" t="inlineStr">
        <is>
          <t>BA</t>
        </is>
      </c>
      <c r="B25" t="inlineStr">
        <is>
          <t>Bahia</t>
        </is>
      </c>
      <c r="C25" t="inlineStr">
        <is>
          <t>Refrigeração Manutenção (11244)</t>
        </is>
      </c>
      <c r="D25" t="inlineStr">
        <is>
          <t>Nordeste</t>
        </is>
      </c>
      <c r="E25" t="inlineStr">
        <is>
          <t>NORDESTE</t>
        </is>
      </c>
      <c r="F25" t="n">
        <v>11244</v>
      </c>
      <c r="G25" t="inlineStr"/>
      <c r="H25" s="11" t="n">
        <v>45526</v>
      </c>
      <c r="I25" t="inlineStr">
        <is>
          <t>Sim</t>
        </is>
      </c>
      <c r="J25" t="inlineStr">
        <is>
          <t>Não</t>
        </is>
      </c>
      <c r="K25">
        <f>IF(AND(G25&lt;&gt;"",ISNUMBER(FIND("@",G25)),ISNUMBER(FIND(".",G25))),"Sim","Não")</f>
        <v/>
      </c>
    </row>
    <row r="26">
      <c r="A26" t="inlineStr">
        <is>
          <t>GO</t>
        </is>
      </c>
      <c r="B26" t="inlineStr">
        <is>
          <t>Goiás</t>
        </is>
      </c>
      <c r="C26" t="inlineStr">
        <is>
          <t>Assistência Técnica Ltda (11293)</t>
        </is>
      </c>
      <c r="D26" t="inlineStr">
        <is>
          <t>Centro-Oeste</t>
        </is>
      </c>
      <c r="E26" t="inlineStr">
        <is>
          <t>CENTRO OESTE</t>
        </is>
      </c>
      <c r="F26" t="n">
        <v>11293</v>
      </c>
      <c r="G26" t="inlineStr">
        <is>
          <t>assistencia.tecnica.ltda@exemplo.com.br</t>
        </is>
      </c>
      <c r="H26" s="11" t="n">
        <v>45844</v>
      </c>
      <c r="I26" t="inlineStr">
        <is>
          <t>Sim</t>
        </is>
      </c>
      <c r="J26" t="inlineStr">
        <is>
          <t>Não</t>
        </is>
      </c>
      <c r="K26">
        <f>IF(AND(G26&lt;&gt;"",ISNUMBER(FIND("@",G26)),ISNUMBER(FIND(".",G26))),"Sim","Não")</f>
        <v/>
      </c>
    </row>
    <row r="27">
      <c r="A27" t="inlineStr">
        <is>
          <t>PE</t>
        </is>
      </c>
      <c r="B27" t="inlineStr">
        <is>
          <t>Pernambuco</t>
        </is>
      </c>
      <c r="C27" t="inlineStr">
        <is>
          <t>Frio Express (11352)</t>
        </is>
      </c>
      <c r="D27" t="inlineStr">
        <is>
          <t>Nordeste</t>
        </is>
      </c>
      <c r="E27" t="inlineStr">
        <is>
          <t>NORDESTE</t>
        </is>
      </c>
      <c r="F27" t="n">
        <v>11352</v>
      </c>
      <c r="G27" t="inlineStr">
        <is>
          <t>frio.express@exemplo.com.br</t>
        </is>
      </c>
      <c r="H27" s="11" t="n">
        <v>45725</v>
      </c>
      <c r="I27" t="inlineStr">
        <is>
          <t>Sim</t>
        </is>
      </c>
      <c r="J27" t="inlineStr">
        <is>
          <t>Não</t>
        </is>
      </c>
      <c r="K27">
        <f>IF(AND(G27&lt;&gt;"",ISNUMBER(FIND("@",G27)),ISNUMBER(FIND(".",G27))),"Sim","Não")</f>
        <v/>
      </c>
    </row>
    <row r="28">
      <c r="A28" t="inlineStr">
        <is>
          <t>SP</t>
        </is>
      </c>
      <c r="B28" t="inlineStr">
        <is>
          <t>São Paulo</t>
        </is>
      </c>
      <c r="C28" t="inlineStr">
        <is>
          <t>Ártico Express (11365)</t>
        </is>
      </c>
      <c r="D28" t="inlineStr">
        <is>
          <t>Sudeste</t>
        </is>
      </c>
      <c r="E28" t="inlineStr">
        <is>
          <t>SUDESTE SP</t>
        </is>
      </c>
      <c r="F28" t="n">
        <v>11365</v>
      </c>
      <c r="G28" t="inlineStr"/>
      <c r="H28" s="11" t="n">
        <v>45403</v>
      </c>
      <c r="I28" t="inlineStr">
        <is>
          <t>Sim</t>
        </is>
      </c>
      <c r="J28" t="inlineStr">
        <is>
          <t>Não</t>
        </is>
      </c>
      <c r="K28">
        <f>IF(AND(G28&lt;&gt;"",ISNUMBER(FIND("@",G28)),ISNUMBER(FIND(".",G28))),"Sim","Não")</f>
        <v/>
      </c>
    </row>
    <row r="29">
      <c r="A29" t="inlineStr">
        <is>
          <t>ES</t>
        </is>
      </c>
      <c r="B29" t="inlineStr">
        <is>
          <t>Espírito Santo</t>
        </is>
      </c>
      <c r="C29" t="inlineStr">
        <is>
          <t>Frio Manutenção (11396)</t>
        </is>
      </c>
      <c r="D29" t="inlineStr">
        <is>
          <t>Sudeste</t>
        </is>
      </c>
      <c r="E29" t="inlineStr">
        <is>
          <t>SUDESTE RJ e ES</t>
        </is>
      </c>
      <c r="F29" t="n">
        <v>11396</v>
      </c>
      <c r="G29" t="inlineStr">
        <is>
          <t>frio.manutencao@exemplo.com.br</t>
        </is>
      </c>
      <c r="H29" s="11" t="n">
        <v>45765</v>
      </c>
      <c r="I29" t="inlineStr">
        <is>
          <t>Sim</t>
        </is>
      </c>
      <c r="J29" t="inlineStr">
        <is>
          <t>Não</t>
        </is>
      </c>
      <c r="K29">
        <f>IF(AND(G29&lt;&gt;"",ISNUMBER(FIND("@",G29)),ISNUMBER(FIND(".",G29))),"Sim","Não")</f>
        <v/>
      </c>
    </row>
    <row r="30">
      <c r="A30" t="inlineStr">
        <is>
          <t>RS</t>
        </is>
      </c>
      <c r="B30" t="inlineStr">
        <is>
          <t>Rio Grande do Sul</t>
        </is>
      </c>
      <c r="C30" t="inlineStr">
        <is>
          <t>Frio ME (11459)</t>
        </is>
      </c>
      <c r="D30" t="inlineStr">
        <is>
          <t>Sul</t>
        </is>
      </c>
      <c r="E30" t="inlineStr">
        <is>
          <t>SUL</t>
        </is>
      </c>
      <c r="F30" t="n">
        <v>11459</v>
      </c>
      <c r="G30" t="inlineStr">
        <is>
          <t>frio.me@exemplo.com.br</t>
        </is>
      </c>
      <c r="H30" s="11" t="n">
        <v>45845</v>
      </c>
      <c r="I30" t="inlineStr">
        <is>
          <t>Sim</t>
        </is>
      </c>
      <c r="J30" t="inlineStr">
        <is>
          <t>Não</t>
        </is>
      </c>
      <c r="K30">
        <f>IF(AND(G30&lt;&gt;"",ISNUMBER(FIND("@",G30)),ISNUMBER(FIND(".",G30))),"Sim","Não")</f>
        <v/>
      </c>
    </row>
    <row r="31">
      <c r="A31" t="inlineStr">
        <is>
          <t>MG</t>
        </is>
      </c>
      <c r="B31" t="inlineStr">
        <is>
          <t>Minas Gerais</t>
        </is>
      </c>
      <c r="C31" t="inlineStr">
        <is>
          <t>Assistência Técnica Manutenção (11487)</t>
        </is>
      </c>
      <c r="D31" t="inlineStr">
        <is>
          <t>Sudeste</t>
        </is>
      </c>
      <c r="E31" t="inlineStr">
        <is>
          <t>SUDESTE MG</t>
        </is>
      </c>
      <c r="F31" t="n">
        <v>11487</v>
      </c>
      <c r="G31" t="inlineStr">
        <is>
          <t>assistencia.tecnica.manutencao@exemplo.com.br</t>
        </is>
      </c>
      <c r="H31" s="11" t="n">
        <v>45352</v>
      </c>
      <c r="I31" t="inlineStr">
        <is>
          <t>Sim</t>
        </is>
      </c>
      <c r="J31" t="inlineStr">
        <is>
          <t>Não</t>
        </is>
      </c>
      <c r="K31">
        <f>IF(AND(G31&lt;&gt;"",ISNUMBER(FIND("@",G31)),ISNUMBER(FIND(".",G31))),"Sim","Não")</f>
        <v/>
      </c>
    </row>
    <row r="32">
      <c r="A32" t="inlineStr">
        <is>
          <t>MG</t>
        </is>
      </c>
      <c r="B32" t="inlineStr">
        <is>
          <t>Minas Gerais</t>
        </is>
      </c>
      <c r="C32" t="inlineStr">
        <is>
          <t>Clima Técnica (11494)</t>
        </is>
      </c>
      <c r="D32" t="inlineStr">
        <is>
          <t>Sudeste</t>
        </is>
      </c>
      <c r="E32" t="inlineStr">
        <is>
          <t>SUDESTE MG</t>
        </is>
      </c>
      <c r="F32" t="n">
        <v>11494</v>
      </c>
      <c r="G32" t="inlineStr">
        <is>
          <t>clima.tecnica@exemplo.com.br</t>
        </is>
      </c>
      <c r="H32" s="11" t="n">
        <v>45584</v>
      </c>
      <c r="I32" t="inlineStr">
        <is>
          <t>Sim</t>
        </is>
      </c>
      <c r="J32" t="inlineStr">
        <is>
          <t>Não</t>
        </is>
      </c>
      <c r="K32">
        <f>IF(AND(G32&lt;&gt;"",ISNUMBER(FIND("@",G32)),ISNUMBER(FIND(".",G32))),"Sim","Não")</f>
        <v/>
      </c>
    </row>
    <row r="33">
      <c r="A33" t="inlineStr">
        <is>
          <t>BA</t>
        </is>
      </c>
      <c r="B33" t="inlineStr">
        <is>
          <t>Bahia</t>
        </is>
      </c>
      <c r="C33" t="inlineStr">
        <is>
          <t>Clima Manutenção (11538)</t>
        </is>
      </c>
      <c r="D33" t="inlineStr">
        <is>
          <t>Nordeste</t>
        </is>
      </c>
      <c r="E33" t="inlineStr">
        <is>
          <t>NORDESTE</t>
        </is>
      </c>
      <c r="F33" t="n">
        <v>11538</v>
      </c>
      <c r="G33" t="inlineStr">
        <is>
          <t>clima.manutencao@exemplo.com.br</t>
        </is>
      </c>
      <c r="H33" s="11" t="n">
        <v>45613</v>
      </c>
      <c r="I33" t="inlineStr">
        <is>
          <t>Sim</t>
        </is>
      </c>
      <c r="J33" t="inlineStr">
        <is>
          <t>Não</t>
        </is>
      </c>
      <c r="K33">
        <f>IF(AND(G33&lt;&gt;"",ISNUMBER(FIND("@",G33)),ISNUMBER(FIND(".",G33))),"Sim","Não")</f>
        <v/>
      </c>
    </row>
    <row r="34">
      <c r="A34" t="inlineStr">
        <is>
          <t>MG</t>
        </is>
      </c>
      <c r="B34" t="inlineStr">
        <is>
          <t>Minas Gerais</t>
        </is>
      </c>
      <c r="C34" t="inlineStr">
        <is>
          <t>Refrigeração Ltda (11619)</t>
        </is>
      </c>
      <c r="D34" t="inlineStr">
        <is>
          <t>Sudeste</t>
        </is>
      </c>
      <c r="E34" t="inlineStr">
        <is>
          <t>SUDESTE MG</t>
        </is>
      </c>
      <c r="F34" t="n">
        <v>11619</v>
      </c>
      <c r="G34" t="inlineStr"/>
      <c r="H34" s="11" t="n">
        <v>45482</v>
      </c>
      <c r="I34" t="inlineStr">
        <is>
          <t>Sim</t>
        </is>
      </c>
      <c r="J34" t="inlineStr">
        <is>
          <t>Não</t>
        </is>
      </c>
      <c r="K34">
        <f>IF(AND(G34&lt;&gt;"",ISNUMBER(FIND("@",G34)),ISNUMBER(FIND(".",G34))),"Sim","Não")</f>
        <v/>
      </c>
    </row>
    <row r="35">
      <c r="A35" t="inlineStr">
        <is>
          <t>GO</t>
        </is>
      </c>
      <c r="B35" t="inlineStr">
        <is>
          <t>Goiás</t>
        </is>
      </c>
      <c r="C35" t="inlineStr">
        <is>
          <t>Cool Service Manutenção (11677)</t>
        </is>
      </c>
      <c r="D35" t="inlineStr">
        <is>
          <t>Centro-Oeste</t>
        </is>
      </c>
      <c r="E35" t="inlineStr">
        <is>
          <t>CENTRO OESTE</t>
        </is>
      </c>
      <c r="F35" t="n">
        <v>11677</v>
      </c>
      <c r="G35" t="inlineStr">
        <is>
          <t>cool.service.manutencao@exemplo.com.br</t>
        </is>
      </c>
      <c r="H35" s="11" t="n">
        <v>45375</v>
      </c>
      <c r="I35" t="inlineStr">
        <is>
          <t>Sim</t>
        </is>
      </c>
      <c r="J35" t="inlineStr">
        <is>
          <t>Sim</t>
        </is>
      </c>
      <c r="K35">
        <f>IF(AND(G35&lt;&gt;"",ISNUMBER(FIND("@",G35)),ISNUMBER(FIND(".",G35))),"Sim","Não")</f>
        <v/>
      </c>
    </row>
    <row r="36">
      <c r="A36" t="inlineStr">
        <is>
          <t>SP</t>
        </is>
      </c>
      <c r="B36" t="inlineStr">
        <is>
          <t>São Paulo</t>
        </is>
      </c>
      <c r="C36" t="inlineStr">
        <is>
          <t>Brisa &amp; Cia (11710)</t>
        </is>
      </c>
      <c r="D36" t="inlineStr">
        <is>
          <t>Sudeste</t>
        </is>
      </c>
      <c r="E36" t="inlineStr">
        <is>
          <t>SUDESTE SP</t>
        </is>
      </c>
      <c r="F36" t="n">
        <v>11710</v>
      </c>
      <c r="G36" t="inlineStr">
        <is>
          <t>brisa@exemplo.com.br</t>
        </is>
      </c>
      <c r="H36" s="11" t="n">
        <v>45599</v>
      </c>
      <c r="I36" t="inlineStr">
        <is>
          <t>Sim</t>
        </is>
      </c>
      <c r="J36" t="inlineStr">
        <is>
          <t>Não</t>
        </is>
      </c>
      <c r="K36">
        <f>IF(AND(G36&lt;&gt;"",ISNUMBER(FIND("@",G36)),ISNUMBER(FIND(".",G36))),"Sim","Não")</f>
        <v/>
      </c>
    </row>
    <row r="37">
      <c r="A37" t="inlineStr">
        <is>
          <t>MS</t>
        </is>
      </c>
      <c r="B37" t="inlineStr">
        <is>
          <t>Mato Grosso do Sul</t>
        </is>
      </c>
      <c r="C37" t="inlineStr">
        <is>
          <t>Norte Frio Refrigeração (11726)</t>
        </is>
      </c>
      <c r="D37" t="inlineStr">
        <is>
          <t>Centro-Oeste</t>
        </is>
      </c>
      <c r="E37" t="inlineStr">
        <is>
          <t>CENTRO OESTE</t>
        </is>
      </c>
      <c r="F37" t="n">
        <v>11726</v>
      </c>
      <c r="G37" t="inlineStr">
        <is>
          <t>norte.frio.refrigeracao@exemplo.com.br</t>
        </is>
      </c>
      <c r="H37" s="11" t="n">
        <v>45394</v>
      </c>
      <c r="I37" t="inlineStr">
        <is>
          <t>Sim</t>
        </is>
      </c>
      <c r="J37" t="inlineStr">
        <is>
          <t>Não</t>
        </is>
      </c>
      <c r="K37">
        <f>IF(AND(G37&lt;&gt;"",ISNUMBER(FIND("@",G37)),ISNUMBER(FIND(".",G37))),"Sim","Não")</f>
        <v/>
      </c>
    </row>
    <row r="38">
      <c r="A38" t="inlineStr">
        <is>
          <t>PB</t>
        </is>
      </c>
      <c r="B38" t="inlineStr">
        <is>
          <t>Paraíba</t>
        </is>
      </c>
      <c r="C38" t="inlineStr">
        <is>
          <t>Clima Refrigeração (11741)</t>
        </is>
      </c>
      <c r="D38" t="inlineStr">
        <is>
          <t>Nordeste</t>
        </is>
      </c>
      <c r="E38" t="inlineStr">
        <is>
          <t>NORDESTE</t>
        </is>
      </c>
      <c r="F38" t="n">
        <v>11741</v>
      </c>
      <c r="G38" t="inlineStr">
        <is>
          <t>clima.refrigeracao@exemplo.com.br</t>
        </is>
      </c>
      <c r="H38" s="11" t="n">
        <v>45848</v>
      </c>
      <c r="I38" t="inlineStr">
        <is>
          <t>Sim</t>
        </is>
      </c>
      <c r="J38" t="inlineStr">
        <is>
          <t>Não</t>
        </is>
      </c>
      <c r="K38">
        <f>IF(AND(G38&lt;&gt;"",ISNUMBER(FIND("@",G38)),ISNUMBER(FIND(".",G38))),"Sim","Não")</f>
        <v/>
      </c>
    </row>
    <row r="39">
      <c r="A39" t="inlineStr">
        <is>
          <t>RR</t>
        </is>
      </c>
      <c r="B39" t="inlineStr">
        <is>
          <t>Roraima</t>
        </is>
      </c>
      <c r="C39" t="inlineStr">
        <is>
          <t>Termotec Ltda (11818)</t>
        </is>
      </c>
      <c r="D39" t="inlineStr">
        <is>
          <t>Norte</t>
        </is>
      </c>
      <c r="E39" t="inlineStr">
        <is>
          <t>NORTE</t>
        </is>
      </c>
      <c r="F39" t="n">
        <v>11818</v>
      </c>
      <c r="G39" t="inlineStr">
        <is>
          <t>termotec.ltda@exemplo.com.br</t>
        </is>
      </c>
      <c r="H39" s="11" t="n">
        <v>45562</v>
      </c>
      <c r="I39" t="inlineStr">
        <is>
          <t>Sim</t>
        </is>
      </c>
      <c r="J39" t="inlineStr">
        <is>
          <t>Não</t>
        </is>
      </c>
      <c r="K39">
        <f>IF(AND(G39&lt;&gt;"",ISNUMBER(FIND("@",G39)),ISNUMBER(FIND(".",G39))),"Sim","Não")</f>
        <v/>
      </c>
    </row>
    <row r="40">
      <c r="A40" t="inlineStr">
        <is>
          <t>AP</t>
        </is>
      </c>
      <c r="B40" t="inlineStr">
        <is>
          <t>Amapá</t>
        </is>
      </c>
      <c r="C40" t="inlineStr">
        <is>
          <t>Ice Tech Serviços (11859)</t>
        </is>
      </c>
      <c r="D40" t="inlineStr">
        <is>
          <t>Norte</t>
        </is>
      </c>
      <c r="E40" t="inlineStr">
        <is>
          <t>NORTE</t>
        </is>
      </c>
      <c r="F40" t="n">
        <v>11859</v>
      </c>
      <c r="G40" t="inlineStr">
        <is>
          <t>ice.tech.servicos@exemplo.com.br</t>
        </is>
      </c>
      <c r="H40" s="11" t="n">
        <v>45562</v>
      </c>
      <c r="I40" t="inlineStr">
        <is>
          <t>Sim</t>
        </is>
      </c>
      <c r="J40" t="inlineStr">
        <is>
          <t>Não</t>
        </is>
      </c>
      <c r="K40">
        <f>IF(AND(G40&lt;&gt;"",ISNUMBER(FIND("@",G40)),ISNUMBER(FIND(".",G40))),"Sim","Não")</f>
        <v/>
      </c>
    </row>
    <row r="41">
      <c r="A41" t="inlineStr">
        <is>
          <t>PR</t>
        </is>
      </c>
      <c r="B41" t="inlineStr">
        <is>
          <t>Paraná</t>
        </is>
      </c>
      <c r="C41" t="inlineStr">
        <is>
          <t>Refrigel Express (11898)</t>
        </is>
      </c>
      <c r="D41" t="inlineStr">
        <is>
          <t>Sul</t>
        </is>
      </c>
      <c r="E41" t="inlineStr">
        <is>
          <t>SUL</t>
        </is>
      </c>
      <c r="F41" t="n">
        <v>11898</v>
      </c>
      <c r="G41" t="inlineStr">
        <is>
          <t>refrigel.express@exemplo.com.br</t>
        </is>
      </c>
      <c r="H41" s="11" t="n">
        <v>45575</v>
      </c>
      <c r="I41" t="inlineStr">
        <is>
          <t>Sim</t>
        </is>
      </c>
      <c r="J41" t="inlineStr">
        <is>
          <t>Não</t>
        </is>
      </c>
      <c r="K41">
        <f>IF(AND(G41&lt;&gt;"",ISNUMBER(FIND("@",G41)),ISNUMBER(FIND(".",G41))),"Sim","Não")</f>
        <v/>
      </c>
    </row>
    <row r="42">
      <c r="A42" t="inlineStr">
        <is>
          <t>PA</t>
        </is>
      </c>
      <c r="B42" t="inlineStr">
        <is>
          <t>Pará</t>
        </is>
      </c>
      <c r="C42" t="inlineStr">
        <is>
          <t>Polar Serviços (11986)</t>
        </is>
      </c>
      <c r="D42" t="inlineStr">
        <is>
          <t>Norte</t>
        </is>
      </c>
      <c r="E42" t="inlineStr">
        <is>
          <t>NORTE</t>
        </is>
      </c>
      <c r="F42" t="n">
        <v>11986</v>
      </c>
      <c r="G42" t="inlineStr">
        <is>
          <t>polar.servicos@exemplo.com.br</t>
        </is>
      </c>
      <c r="H42" s="11" t="n">
        <v>45729</v>
      </c>
      <c r="I42" t="inlineStr">
        <is>
          <t>Sim</t>
        </is>
      </c>
      <c r="J42" t="inlineStr">
        <is>
          <t>Não</t>
        </is>
      </c>
      <c r="K42">
        <f>IF(AND(G42&lt;&gt;"",ISNUMBER(FIND("@",G42)),ISNUMBER(FIND(".",G42))),"Sim","Não")</f>
        <v/>
      </c>
    </row>
    <row r="43">
      <c r="A43" t="inlineStr">
        <is>
          <t>GO</t>
        </is>
      </c>
      <c r="B43" t="inlineStr">
        <is>
          <t>Goiás</t>
        </is>
      </c>
      <c r="C43" t="inlineStr">
        <is>
          <t>Refrigel Ltda (12007)</t>
        </is>
      </c>
      <c r="D43" t="inlineStr">
        <is>
          <t>Centro-Oeste</t>
        </is>
      </c>
      <c r="E43" t="inlineStr">
        <is>
          <t>CENTRO OESTE</t>
        </is>
      </c>
      <c r="F43" t="n">
        <v>12007</v>
      </c>
      <c r="G43" t="inlineStr">
        <is>
          <t>refrigel.ltda@exemplo.com.br</t>
        </is>
      </c>
      <c r="H43" s="11" t="n">
        <v>45888</v>
      </c>
      <c r="I43" t="inlineStr">
        <is>
          <t>Sim</t>
        </is>
      </c>
      <c r="J43" t="inlineStr">
        <is>
          <t>Não</t>
        </is>
      </c>
      <c r="K43">
        <f>IF(AND(G43&lt;&gt;"",ISNUMBER(FIND("@",G43)),ISNUMBER(FIND(".",G43))),"Sim","Não")</f>
        <v/>
      </c>
    </row>
    <row r="44">
      <c r="A44" t="inlineStr">
        <is>
          <t>RO</t>
        </is>
      </c>
      <c r="B44" t="inlineStr">
        <is>
          <t>Rondônia</t>
        </is>
      </c>
      <c r="C44" t="inlineStr">
        <is>
          <t>Ártico Serviços (12019)</t>
        </is>
      </c>
      <c r="D44" t="inlineStr">
        <is>
          <t>Norte</t>
        </is>
      </c>
      <c r="E44" t="inlineStr">
        <is>
          <t>NORTE</t>
        </is>
      </c>
      <c r="F44" t="n">
        <v>12019</v>
      </c>
      <c r="G44" t="inlineStr">
        <is>
          <t>artico.servicos@exemplo.com.br</t>
        </is>
      </c>
      <c r="H44" s="11" t="n">
        <v>45332</v>
      </c>
      <c r="I44" t="inlineStr">
        <is>
          <t>Sim</t>
        </is>
      </c>
      <c r="J44" t="inlineStr">
        <is>
          <t>Não</t>
        </is>
      </c>
      <c r="K44">
        <f>IF(AND(G44&lt;&gt;"",ISNUMBER(FIND("@",G44)),ISNUMBER(FIND(".",G44))),"Sim","Não")</f>
        <v/>
      </c>
    </row>
    <row r="45">
      <c r="A45" t="inlineStr">
        <is>
          <t>SP</t>
        </is>
      </c>
      <c r="B45" t="inlineStr">
        <is>
          <t>São Paulo</t>
        </is>
      </c>
      <c r="C45" t="inlineStr">
        <is>
          <t>Brisa Refrigeração (12052)</t>
        </is>
      </c>
      <c r="D45" t="inlineStr">
        <is>
          <t>Sudeste</t>
        </is>
      </c>
      <c r="E45" t="inlineStr">
        <is>
          <t>SUDESTE SP</t>
        </is>
      </c>
      <c r="F45" t="n">
        <v>12052</v>
      </c>
      <c r="G45" t="inlineStr">
        <is>
          <t>brisa.refrigeracao@exemplo.com.br</t>
        </is>
      </c>
      <c r="H45" s="11" t="n">
        <v>45865</v>
      </c>
      <c r="I45" t="inlineStr">
        <is>
          <t>Sim</t>
        </is>
      </c>
      <c r="J45" t="inlineStr">
        <is>
          <t>Não</t>
        </is>
      </c>
      <c r="K45">
        <f>IF(AND(G45&lt;&gt;"",ISNUMBER(FIND("@",G45)),ISNUMBER(FIND(".",G45))),"Sim","Não")</f>
        <v/>
      </c>
    </row>
    <row r="46">
      <c r="A46" t="inlineStr">
        <is>
          <t>PR</t>
        </is>
      </c>
      <c r="B46" t="inlineStr">
        <is>
          <t>Paraná</t>
        </is>
      </c>
      <c r="C46" t="inlineStr">
        <is>
          <t>Termotec Serviços (12089)</t>
        </is>
      </c>
      <c r="D46" t="inlineStr">
        <is>
          <t>Sul</t>
        </is>
      </c>
      <c r="E46" t="inlineStr">
        <is>
          <t>SUL</t>
        </is>
      </c>
      <c r="F46" t="n">
        <v>12089</v>
      </c>
      <c r="G46" t="inlineStr">
        <is>
          <t>termotec.servicos@exemplo.com.br</t>
        </is>
      </c>
      <c r="H46" s="11" t="n">
        <v>45714</v>
      </c>
      <c r="I46" t="inlineStr">
        <is>
          <t>Sim</t>
        </is>
      </c>
      <c r="J46" t="inlineStr">
        <is>
          <t>Não</t>
        </is>
      </c>
      <c r="K46">
        <f>IF(AND(G46&lt;&gt;"",ISNUMBER(FIND("@",G46)),ISNUMBER(FIND(".",G46))),"Sim","Não")</f>
        <v/>
      </c>
    </row>
    <row r="47">
      <c r="A47" t="inlineStr">
        <is>
          <t>SC</t>
        </is>
      </c>
      <c r="B47" t="inlineStr">
        <is>
          <t>Santa Catarina</t>
        </is>
      </c>
      <c r="C47" t="inlineStr">
        <is>
          <t>Refrigeração Serviços (12138)</t>
        </is>
      </c>
      <c r="D47" t="inlineStr">
        <is>
          <t>Sul</t>
        </is>
      </c>
      <c r="E47" t="inlineStr">
        <is>
          <t>SUL</t>
        </is>
      </c>
      <c r="F47" t="n">
        <v>12138</v>
      </c>
      <c r="G47" t="inlineStr">
        <is>
          <t>refrigeracao.servicos@exemplo.com.br</t>
        </is>
      </c>
      <c r="H47" s="11" t="n">
        <v>45546</v>
      </c>
      <c r="I47" t="inlineStr">
        <is>
          <t>Sim</t>
        </is>
      </c>
      <c r="J47" t="inlineStr">
        <is>
          <t>Não</t>
        </is>
      </c>
      <c r="K47">
        <f>IF(AND(G47&lt;&gt;"",ISNUMBER(FIND("@",G47)),ISNUMBER(FIND(".",G47))),"Sim","Não")</f>
        <v/>
      </c>
    </row>
    <row r="48">
      <c r="A48" t="inlineStr">
        <is>
          <t>MG</t>
        </is>
      </c>
      <c r="B48" t="inlineStr">
        <is>
          <t>Minas Gerais</t>
        </is>
      </c>
      <c r="C48" t="inlineStr">
        <is>
          <t>Gelo Serviços (12158)</t>
        </is>
      </c>
      <c r="D48" t="inlineStr">
        <is>
          <t>Sudeste</t>
        </is>
      </c>
      <c r="E48" t="inlineStr">
        <is>
          <t>SUDESTE MG</t>
        </is>
      </c>
      <c r="F48" t="n">
        <v>12158</v>
      </c>
      <c r="G48" t="inlineStr">
        <is>
          <t>gelo.servicos@exemplo.com.br</t>
        </is>
      </c>
      <c r="H48" s="11" t="n">
        <v>45763</v>
      </c>
      <c r="I48" t="inlineStr">
        <is>
          <t>Sim</t>
        </is>
      </c>
      <c r="J48" t="inlineStr">
        <is>
          <t>Não</t>
        </is>
      </c>
      <c r="K48">
        <f>IF(AND(G48&lt;&gt;"",ISNUMBER(FIND("@",G48)),ISNUMBER(FIND(".",G48))),"Sim","Não")</f>
        <v/>
      </c>
    </row>
    <row r="49">
      <c r="A49" t="inlineStr">
        <is>
          <t>BA</t>
        </is>
      </c>
      <c r="B49" t="inlineStr">
        <is>
          <t>Bahia</t>
        </is>
      </c>
      <c r="C49" t="inlineStr">
        <is>
          <t>Polar &amp; Cia (12194)</t>
        </is>
      </c>
      <c r="D49" t="inlineStr">
        <is>
          <t>Nordeste</t>
        </is>
      </c>
      <c r="E49" t="inlineStr">
        <is>
          <t>NORDESTE</t>
        </is>
      </c>
      <c r="F49" t="n">
        <v>12194</v>
      </c>
      <c r="G49" t="inlineStr">
        <is>
          <t>polar@exemplo.com.br</t>
        </is>
      </c>
      <c r="H49" s="11" t="n">
        <v>45577</v>
      </c>
      <c r="I49" t="inlineStr">
        <is>
          <t>Sim</t>
        </is>
      </c>
      <c r="J49" t="inlineStr">
        <is>
          <t>Não</t>
        </is>
      </c>
      <c r="K49">
        <f>IF(AND(G49&lt;&gt;"",ISNUMBER(FIND("@",G49)),ISNUMBER(FIND(".",G49))),"Sim","Não")</f>
        <v/>
      </c>
    </row>
    <row r="50">
      <c r="A50" t="inlineStr">
        <is>
          <t>AM</t>
        </is>
      </c>
      <c r="B50" t="inlineStr">
        <is>
          <t>Amazonas</t>
        </is>
      </c>
      <c r="C50" t="inlineStr">
        <is>
          <t>Polar Técnica (12269)</t>
        </is>
      </c>
      <c r="D50" t="inlineStr">
        <is>
          <t>Norte</t>
        </is>
      </c>
      <c r="E50" t="inlineStr">
        <is>
          <t>NORTE</t>
        </is>
      </c>
      <c r="F50" t="n">
        <v>12269</v>
      </c>
      <c r="G50" t="inlineStr">
        <is>
          <t>polar.tecnica@exemplo.com.br</t>
        </is>
      </c>
      <c r="H50" s="11" t="n">
        <v>45474</v>
      </c>
      <c r="I50" t="inlineStr">
        <is>
          <t>Sim</t>
        </is>
      </c>
      <c r="J50" t="inlineStr">
        <is>
          <t>Não</t>
        </is>
      </c>
      <c r="K50">
        <f>IF(AND(G50&lt;&gt;"",ISNUMBER(FIND("@",G50)),ISNUMBER(FIND(".",G50))),"Sim","Não")</f>
        <v/>
      </c>
    </row>
    <row r="51">
      <c r="A51" t="inlineStr">
        <is>
          <t>MS</t>
        </is>
      </c>
      <c r="B51" t="inlineStr">
        <is>
          <t>Mato Grosso do Sul</t>
        </is>
      </c>
      <c r="C51" t="inlineStr">
        <is>
          <t>Termotec &amp; Cia (12280)</t>
        </is>
      </c>
      <c r="D51" t="inlineStr">
        <is>
          <t>Centro-Oeste</t>
        </is>
      </c>
      <c r="E51" t="inlineStr">
        <is>
          <t>CENTRO OESTE</t>
        </is>
      </c>
      <c r="F51" t="n">
        <v>12280</v>
      </c>
      <c r="G51" t="inlineStr">
        <is>
          <t>termotec@exemplo.com.br</t>
        </is>
      </c>
      <c r="H51" s="11" t="n">
        <v>45738</v>
      </c>
      <c r="I51" t="inlineStr">
        <is>
          <t>Sim</t>
        </is>
      </c>
      <c r="J51" t="inlineStr">
        <is>
          <t>Não</t>
        </is>
      </c>
      <c r="K51">
        <f>IF(AND(G51&lt;&gt;"",ISNUMBER(FIND("@",G51)),ISNUMBER(FIND(".",G51))),"Sim","Não")</f>
        <v/>
      </c>
    </row>
    <row r="52">
      <c r="A52" t="inlineStr">
        <is>
          <t>RJ</t>
        </is>
      </c>
      <c r="B52" t="inlineStr">
        <is>
          <t>Rio de Janeiro</t>
        </is>
      </c>
      <c r="C52" t="inlineStr">
        <is>
          <t>Termotec ME (12336)</t>
        </is>
      </c>
      <c r="D52" t="inlineStr">
        <is>
          <t>Sudeste</t>
        </is>
      </c>
      <c r="E52" t="inlineStr">
        <is>
          <t>SUDESTE RJ e ES</t>
        </is>
      </c>
      <c r="F52" t="n">
        <v>12336</v>
      </c>
      <c r="G52" t="inlineStr">
        <is>
          <t>termotec.me@exemplo.com.br</t>
        </is>
      </c>
      <c r="H52" s="11" t="n">
        <v>45293</v>
      </c>
      <c r="I52" t="inlineStr">
        <is>
          <t>Sim</t>
        </is>
      </c>
      <c r="J52" t="inlineStr">
        <is>
          <t>Não</t>
        </is>
      </c>
      <c r="K52">
        <f>IF(AND(G52&lt;&gt;"",ISNUMBER(FIND("@",G52)),ISNUMBER(FIND(".",G52))),"Sim","Não")</f>
        <v/>
      </c>
    </row>
    <row r="53">
      <c r="A53" t="inlineStr">
        <is>
          <t>RR</t>
        </is>
      </c>
      <c r="B53" t="inlineStr">
        <is>
          <t>Roraima</t>
        </is>
      </c>
      <c r="C53" t="inlineStr">
        <is>
          <t>Assistência Técnica Refrigeração (12422)</t>
        </is>
      </c>
      <c r="D53" t="inlineStr">
        <is>
          <t>Norte</t>
        </is>
      </c>
      <c r="E53" t="inlineStr">
        <is>
          <t>NORTE</t>
        </is>
      </c>
      <c r="F53" t="n">
        <v>12422</v>
      </c>
      <c r="G53" t="inlineStr">
        <is>
          <t>assistencia.tecnica.refrigeracao@exemplo.com.br</t>
        </is>
      </c>
      <c r="H53" s="11" t="n">
        <v>45599</v>
      </c>
      <c r="I53" t="inlineStr">
        <is>
          <t>Sim</t>
        </is>
      </c>
      <c r="J53" t="inlineStr">
        <is>
          <t>Não</t>
        </is>
      </c>
      <c r="K53">
        <f>IF(AND(G53&lt;&gt;"",ISNUMBER(FIND("@",G53)),ISNUMBER(FIND(".",G53))),"Sim","Não")</f>
        <v/>
      </c>
    </row>
    <row r="54">
      <c r="A54" t="inlineStr">
        <is>
          <t>MG</t>
        </is>
      </c>
      <c r="B54" t="inlineStr">
        <is>
          <t>Minas Gerais</t>
        </is>
      </c>
      <c r="C54" t="inlineStr">
        <is>
          <t>Cool Service Técnica (12470)</t>
        </is>
      </c>
      <c r="D54" t="inlineStr">
        <is>
          <t>Sudeste</t>
        </is>
      </c>
      <c r="E54" t="inlineStr">
        <is>
          <t>SUDESTE MG</t>
        </is>
      </c>
      <c r="F54" t="n">
        <v>12470</v>
      </c>
      <c r="G54" t="inlineStr">
        <is>
          <t>cool.service.tecnica@exemplo.com.br</t>
        </is>
      </c>
      <c r="H54" s="11" t="n">
        <v>45680</v>
      </c>
      <c r="I54" t="inlineStr">
        <is>
          <t>Sim</t>
        </is>
      </c>
      <c r="J54" t="inlineStr">
        <is>
          <t>Não</t>
        </is>
      </c>
      <c r="K54">
        <f>IF(AND(G54&lt;&gt;"",ISNUMBER(FIND("@",G54)),ISNUMBER(FIND(".",G54))),"Sim","Não")</f>
        <v/>
      </c>
    </row>
    <row r="55">
      <c r="A55" t="inlineStr">
        <is>
          <t>ES</t>
        </is>
      </c>
      <c r="B55" t="inlineStr">
        <is>
          <t>Espírito Santo</t>
        </is>
      </c>
      <c r="C55" t="inlineStr">
        <is>
          <t>Cool Service Serviços (12555)</t>
        </is>
      </c>
      <c r="D55" t="inlineStr">
        <is>
          <t>Sudeste</t>
        </is>
      </c>
      <c r="E55" t="inlineStr">
        <is>
          <t>SUDESTE RJ e ES</t>
        </is>
      </c>
      <c r="F55" t="n">
        <v>12555</v>
      </c>
      <c r="G55" t="inlineStr">
        <is>
          <t>cool.service.servicos@exemplo.com.br</t>
        </is>
      </c>
      <c r="H55" s="11" t="n">
        <v>45603</v>
      </c>
      <c r="I55" t="inlineStr">
        <is>
          <t>Sim</t>
        </is>
      </c>
      <c r="J55" t="inlineStr">
        <is>
          <t>Não</t>
        </is>
      </c>
      <c r="K55">
        <f>IF(AND(G55&lt;&gt;"",ISNUMBER(FIND("@",G55)),ISNUMBER(FIND(".",G55))),"Sim","Não")</f>
        <v/>
      </c>
    </row>
    <row r="56">
      <c r="A56" t="inlineStr">
        <is>
          <t>RS</t>
        </is>
      </c>
      <c r="B56" t="inlineStr">
        <is>
          <t>Rio Grande do Sul</t>
        </is>
      </c>
      <c r="C56" t="inlineStr">
        <is>
          <t>Gelo Manutenção (12617)</t>
        </is>
      </c>
      <c r="D56" t="inlineStr">
        <is>
          <t>Sul</t>
        </is>
      </c>
      <c r="E56" t="inlineStr">
        <is>
          <t>SUL</t>
        </is>
      </c>
      <c r="F56" t="n">
        <v>12617</v>
      </c>
      <c r="G56" t="inlineStr">
        <is>
          <t>gelo.manutencao@exemplo.com.br</t>
        </is>
      </c>
      <c r="H56" s="11" t="n">
        <v>45744</v>
      </c>
      <c r="I56" t="inlineStr">
        <is>
          <t>Sim</t>
        </is>
      </c>
      <c r="J56" t="inlineStr">
        <is>
          <t>Não</t>
        </is>
      </c>
      <c r="K56">
        <f>IF(AND(G56&lt;&gt;"",ISNUMBER(FIND("@",G56)),ISNUMBER(FIND(".",G56))),"Sim","Não")</f>
        <v/>
      </c>
    </row>
    <row r="57">
      <c r="A57" t="inlineStr">
        <is>
          <t>MG</t>
        </is>
      </c>
      <c r="B57" t="inlineStr">
        <is>
          <t>Minas Gerais</t>
        </is>
      </c>
      <c r="C57" t="inlineStr">
        <is>
          <t>Norte Frio Manutenção (12689)</t>
        </is>
      </c>
      <c r="D57" t="inlineStr">
        <is>
          <t>Sudeste</t>
        </is>
      </c>
      <c r="E57" t="inlineStr">
        <is>
          <t>SUDESTE MG</t>
        </is>
      </c>
      <c r="F57" t="n">
        <v>12689</v>
      </c>
      <c r="G57" t="inlineStr">
        <is>
          <t>norte.frio.manutencao@exemplo.com.br</t>
        </is>
      </c>
      <c r="H57" s="11" t="n">
        <v>45635</v>
      </c>
      <c r="I57" t="inlineStr">
        <is>
          <t>Sim</t>
        </is>
      </c>
      <c r="J57" t="inlineStr">
        <is>
          <t>Não</t>
        </is>
      </c>
      <c r="K57">
        <f>IF(AND(G57&lt;&gt;"",ISNUMBER(FIND("@",G57)),ISNUMBER(FIND(".",G57))),"Sim","Não")</f>
        <v/>
      </c>
    </row>
    <row r="58">
      <c r="A58" t="inlineStr">
        <is>
          <t>PR</t>
        </is>
      </c>
      <c r="B58" t="inlineStr">
        <is>
          <t>Paraná</t>
        </is>
      </c>
      <c r="C58" t="inlineStr">
        <is>
          <t>Cool Service &amp; Cia (12724)</t>
        </is>
      </c>
      <c r="D58" t="inlineStr">
        <is>
          <t>Sul</t>
        </is>
      </c>
      <c r="E58" t="inlineStr">
        <is>
          <t>SUL</t>
        </is>
      </c>
      <c r="F58" t="n">
        <v>12724</v>
      </c>
      <c r="G58" t="inlineStr">
        <is>
          <t>cool.service@exemplo.com.br</t>
        </is>
      </c>
      <c r="H58" s="11" t="n">
        <v>45778</v>
      </c>
      <c r="I58" t="inlineStr">
        <is>
          <t>Sim</t>
        </is>
      </c>
      <c r="J58" t="inlineStr">
        <is>
          <t>Sim</t>
        </is>
      </c>
      <c r="K58">
        <f>IF(AND(G58&lt;&gt;"",ISNUMBER(FIND("@",G58)),ISNUMBER(FIND(".",G58))),"Sim","Não")</f>
        <v/>
      </c>
    </row>
    <row r="59">
      <c r="A59" t="inlineStr">
        <is>
          <t>RJ</t>
        </is>
      </c>
      <c r="B59" t="inlineStr">
        <is>
          <t>Rio de Janeiro</t>
        </is>
      </c>
      <c r="C59" t="inlineStr">
        <is>
          <t>Norte Frio Técnica (12811)</t>
        </is>
      </c>
      <c r="D59" t="inlineStr">
        <is>
          <t>Sudeste</t>
        </is>
      </c>
      <c r="E59" t="inlineStr">
        <is>
          <t>SUDESTE RJ e ES</t>
        </is>
      </c>
      <c r="F59" t="n">
        <v>12811</v>
      </c>
      <c r="G59" t="inlineStr">
        <is>
          <t>norte.frio.tecnica@exemplo.com.br</t>
        </is>
      </c>
      <c r="H59" s="11" t="n">
        <v>45701</v>
      </c>
      <c r="I59" t="inlineStr">
        <is>
          <t>Sim</t>
        </is>
      </c>
      <c r="J59" t="inlineStr">
        <is>
          <t>Não</t>
        </is>
      </c>
      <c r="K59">
        <f>IF(AND(G59&lt;&gt;"",ISNUMBER(FIND("@",G59)),ISNUMBER(FIND(".",G59))),"Sim","Não")</f>
        <v/>
      </c>
    </row>
    <row r="60">
      <c r="A60" t="inlineStr">
        <is>
          <t>SP</t>
        </is>
      </c>
      <c r="B60" t="inlineStr">
        <is>
          <t>São Paulo</t>
        </is>
      </c>
      <c r="C60" t="inlineStr">
        <is>
          <t>Frio Serviços (12901)</t>
        </is>
      </c>
      <c r="D60" t="inlineStr">
        <is>
          <t>Sudeste</t>
        </is>
      </c>
      <c r="E60" t="inlineStr">
        <is>
          <t>SUDESTE SP</t>
        </is>
      </c>
      <c r="F60" t="n">
        <v>12901</v>
      </c>
      <c r="G60" t="inlineStr">
        <is>
          <t>frio.servicos@exemplo.com.br</t>
        </is>
      </c>
      <c r="H60" s="11" t="n">
        <v>45401</v>
      </c>
      <c r="I60" t="inlineStr">
        <is>
          <t>Sim</t>
        </is>
      </c>
      <c r="J60" t="inlineStr">
        <is>
          <t>Não</t>
        </is>
      </c>
      <c r="K60">
        <f>IF(AND(G60&lt;&gt;"",ISNUMBER(FIND("@",G60)),ISNUMBER(FIND(".",G60))),"Sim","Não")</f>
        <v/>
      </c>
    </row>
    <row r="61">
      <c r="A61" t="inlineStr">
        <is>
          <t>PI</t>
        </is>
      </c>
      <c r="B61" t="inlineStr">
        <is>
          <t>Piauí</t>
        </is>
      </c>
      <c r="C61" t="inlineStr">
        <is>
          <t>Frigo Técnica (12936)</t>
        </is>
      </c>
      <c r="D61" t="inlineStr">
        <is>
          <t>Nordeste</t>
        </is>
      </c>
      <c r="E61" t="inlineStr">
        <is>
          <t>NORDESTE</t>
        </is>
      </c>
      <c r="F61" t="n">
        <v>12936</v>
      </c>
      <c r="G61" t="inlineStr">
        <is>
          <t>frigo.tecnica@exemplo.com.br</t>
        </is>
      </c>
      <c r="H61" s="11" t="n">
        <v>45416</v>
      </c>
      <c r="I61" t="inlineStr">
        <is>
          <t>Sim</t>
        </is>
      </c>
      <c r="J61" t="inlineStr">
        <is>
          <t>Não</t>
        </is>
      </c>
      <c r="K61">
        <f>IF(AND(G61&lt;&gt;"",ISNUMBER(FIND("@",G61)),ISNUMBER(FIND(".",G61))),"Sim","Não")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" customWidth="1" min="3" max="3"/>
    <col width="11" customWidth="1" min="4" max="4"/>
    <col width="40" customWidth="1" min="5" max="5"/>
    <col width="18" customWidth="1" min="6" max="6"/>
    <col width="14" customWidth="1" min="7" max="7"/>
    <col width="18" customWidth="1" min="8" max="8"/>
    <col width="18" customWidth="1" min="9" max="9"/>
    <col width="14" customWidth="1" min="10" max="10"/>
    <col width="14" customWidth="1" min="11" max="11"/>
    <col width="14" customWidth="1" min="12" max="12"/>
    <col width="16" customWidth="1" min="13" max="13"/>
    <col width="16" customWidth="1" min="14" max="14"/>
    <col width="16" customWidth="1" min="15" max="15"/>
  </cols>
  <sheetData>
    <row r="1">
      <c r="A1" s="3" t="inlineStr">
        <is>
          <t>Chave</t>
        </is>
      </c>
      <c r="B1" s="3" t="inlineStr">
        <is>
          <t>Transportadora</t>
        </is>
      </c>
      <c r="C1" s="3" t="inlineStr">
        <is>
          <t>NF</t>
        </is>
      </c>
      <c r="D1" s="3" t="inlineStr">
        <is>
          <t>Codigo_STA</t>
        </is>
      </c>
      <c r="E1" s="3" t="inlineStr">
        <is>
          <t>STA</t>
        </is>
      </c>
      <c r="F1" s="3" t="inlineStr">
        <is>
          <t>Itens em transporte</t>
        </is>
      </c>
      <c r="G1" s="3" t="inlineStr">
        <is>
          <t>Valor (R$)</t>
        </is>
      </c>
      <c r="H1" s="3" t="inlineStr">
        <is>
          <t>Status_Rastreio</t>
        </is>
      </c>
      <c r="I1" s="3" t="inlineStr">
        <is>
          <t>Ultima_Ocorrencia</t>
        </is>
      </c>
      <c r="J1" s="3" t="inlineStr">
        <is>
          <t>Data_Ocorrencia</t>
        </is>
      </c>
      <c r="K1" s="3" t="inlineStr">
        <is>
          <t>Previsao_Entrega</t>
        </is>
      </c>
      <c r="L1" s="3" t="inlineStr">
        <is>
          <t>Data_Entrega</t>
        </is>
      </c>
      <c r="M1" s="3" t="inlineStr">
        <is>
          <t>Conhecimento_CTe</t>
        </is>
      </c>
      <c r="N1" s="3" t="inlineStr">
        <is>
          <t>Consultado_em</t>
        </is>
      </c>
      <c r="O1" s="3" t="inlineStr">
        <is>
          <t>Link_Consulta</t>
        </is>
      </c>
    </row>
    <row r="2">
      <c r="A2">
        <f>B2&amp;"|"&amp;C2</f>
        <v/>
      </c>
      <c r="B2" t="inlineStr">
        <is>
          <t>ViaCargo</t>
        </is>
      </c>
      <c r="C2" t="n">
        <v>129</v>
      </c>
      <c r="D2" t="n">
        <v>12811</v>
      </c>
      <c r="E2" t="inlineStr">
        <is>
          <t>Norte Frio Técnica (12811)</t>
        </is>
      </c>
      <c r="F2">
        <f>SUMIFS(tblBase[QTD],tblBase[Transportadora],B2,tblBase[NF],C2,tblBase[Grupo_Status],"Em andamento")</f>
        <v/>
      </c>
      <c r="G2" s="10">
        <f>SUMIFS(tblBase[Valor_Total],tblBase[Transportadora],B2,tblBase[NF],C2,tblBase[Grupo_Status],"Em andamento")</f>
        <v/>
      </c>
      <c r="H2" t="inlineStr">
        <is>
          <t>Aguardando coleta</t>
        </is>
      </c>
      <c r="O2">
        <f>IF(B2="Braspress",HYPERLINK("https://www.braspress.com.br/site/w/tracking/search?cnpj="&amp;Parametros!$P$4&amp;"&amp;documentType=NOTAFISCAL&amp;numero="&amp;C2,"Abrir rastreio"),"")</f>
        <v/>
      </c>
    </row>
    <row r="3">
      <c r="A3">
        <f>B3&amp;"|"&amp;C3</f>
        <v/>
      </c>
      <c r="B3" t="inlineStr">
        <is>
          <t>TransNorte</t>
        </is>
      </c>
      <c r="C3" t="n">
        <v>117</v>
      </c>
      <c r="D3" t="n">
        <v>10504</v>
      </c>
      <c r="E3" t="inlineStr">
        <is>
          <t>Zero Grau Ltda (10504)</t>
        </is>
      </c>
      <c r="F3">
        <f>SUMIFS(tblBase[QTD],tblBase[Transportadora],B3,tblBase[NF],C3,tblBase[Grupo_Status],"Em andamento")</f>
        <v/>
      </c>
      <c r="G3" s="10">
        <f>SUMIFS(tblBase[Valor_Total],tblBase[Transportadora],B3,tblBase[NF],C3,tblBase[Grupo_Status],"Em andamento")</f>
        <v/>
      </c>
      <c r="H3" t="inlineStr"/>
      <c r="O3">
        <f>IF(B3="Braspress",HYPERLINK("https://www.braspress.com.br/site/w/tracking/search?cnpj="&amp;Parametros!$P$4&amp;"&amp;documentType=NOTAFISCAL&amp;numero="&amp;C3,"Abrir rastreio"),"")</f>
        <v/>
      </c>
    </row>
    <row r="4">
      <c r="A4">
        <f>B4&amp;"|"&amp;C4</f>
        <v/>
      </c>
      <c r="B4" t="inlineStr">
        <is>
          <t>EntregaJá</t>
        </is>
      </c>
      <c r="C4" t="n">
        <v>136</v>
      </c>
      <c r="D4" t="n">
        <v>10010</v>
      </c>
      <c r="E4" t="inlineStr">
        <is>
          <t>Cool Service ME (10010)</t>
        </is>
      </c>
      <c r="F4">
        <f>SUMIFS(tblBase[QTD],tblBase[Transportadora],B4,tblBase[NF],C4,tblBase[Grupo_Status],"Em andamento")</f>
        <v/>
      </c>
      <c r="G4" s="10">
        <f>SUMIFS(tblBase[Valor_Total],tblBase[Transportadora],B4,tblBase[NF],C4,tblBase[Grupo_Status],"Em andamento")</f>
        <v/>
      </c>
      <c r="H4" t="inlineStr">
        <is>
          <t>Em trânsito</t>
        </is>
      </c>
      <c r="O4">
        <f>IF(B4="Braspress",HYPERLINK("https://www.braspress.com.br/site/w/tracking/search?cnpj="&amp;Parametros!$P$4&amp;"&amp;documentType=NOTAFISCAL&amp;numero="&amp;C4,"Abrir rastreio"),"")</f>
        <v/>
      </c>
    </row>
    <row r="5">
      <c r="A5">
        <f>B5&amp;"|"&amp;C5</f>
        <v/>
      </c>
      <c r="B5" t="inlineStr">
        <is>
          <t>CargoMax</t>
        </is>
      </c>
      <c r="C5" t="n">
        <v>120</v>
      </c>
      <c r="D5" t="n">
        <v>12052</v>
      </c>
      <c r="E5" t="inlineStr">
        <is>
          <t>Brisa Refrigeração (12052)</t>
        </is>
      </c>
      <c r="F5">
        <f>SUMIFS(tblBase[QTD],tblBase[Transportadora],B5,tblBase[NF],C5,tblBase[Grupo_Status],"Em andamento")</f>
        <v/>
      </c>
      <c r="G5" s="10">
        <f>SUMIFS(tblBase[Valor_Total],tblBase[Transportadora],B5,tblBase[NF],C5,tblBase[Grupo_Status],"Em andamento")</f>
        <v/>
      </c>
      <c r="H5" t="inlineStr">
        <is>
          <t>Em trânsito</t>
        </is>
      </c>
      <c r="O5">
        <f>IF(B5="Braspress",HYPERLINK("https://www.braspress.com.br/site/w/tracking/search?cnpj="&amp;Parametros!$P$4&amp;"&amp;documentType=NOTAFISCAL&amp;numero="&amp;C5,"Abrir rastreio"),"")</f>
        <v/>
      </c>
    </row>
    <row r="6">
      <c r="A6">
        <f>B6&amp;"|"&amp;C6</f>
        <v/>
      </c>
      <c r="B6" t="inlineStr">
        <is>
          <t>EntregaJá</t>
        </is>
      </c>
      <c r="C6" t="n">
        <v>124</v>
      </c>
      <c r="D6" t="n">
        <v>10676</v>
      </c>
      <c r="E6" t="inlineStr">
        <is>
          <t>Clima Serviços (10676)</t>
        </is>
      </c>
      <c r="F6">
        <f>SUMIFS(tblBase[QTD],tblBase[Transportadora],B6,tblBase[NF],C6,tblBase[Grupo_Status],"Em andamento")</f>
        <v/>
      </c>
      <c r="G6" s="10">
        <f>SUMIFS(tblBase[Valor_Total],tblBase[Transportadora],B6,tblBase[NF],C6,tblBase[Grupo_Status],"Em andamento")</f>
        <v/>
      </c>
      <c r="H6" t="inlineStr">
        <is>
          <t>Em trânsito</t>
        </is>
      </c>
      <c r="O6">
        <f>IF(B6="Braspress",HYPERLINK("https://www.braspress.com.br/site/w/tracking/search?cnpj="&amp;Parametros!$P$4&amp;"&amp;documentType=NOTAFISCAL&amp;numero="&amp;C6,"Abrir rastreio"),"")</f>
        <v/>
      </c>
    </row>
    <row r="7">
      <c r="A7">
        <f>B7&amp;"|"&amp;C7</f>
        <v/>
      </c>
      <c r="B7" t="inlineStr">
        <is>
          <t>LogExpress</t>
        </is>
      </c>
      <c r="C7" t="n">
        <v>115</v>
      </c>
      <c r="D7" t="n">
        <v>11099</v>
      </c>
      <c r="E7" t="inlineStr">
        <is>
          <t>Refrigel Serviços (11099)</t>
        </is>
      </c>
      <c r="F7">
        <f>SUMIFS(tblBase[QTD],tblBase[Transportadora],B7,tblBase[NF],C7,tblBase[Grupo_Status],"Em andamento")</f>
        <v/>
      </c>
      <c r="G7" s="10">
        <f>SUMIFS(tblBase[Valor_Total],tblBase[Transportadora],B7,tblBase[NF],C7,tblBase[Grupo_Status],"Em andamento")</f>
        <v/>
      </c>
      <c r="H7" t="inlineStr">
        <is>
          <t>Saiu para entrega</t>
        </is>
      </c>
      <c r="O7">
        <f>IF(B7="Braspress",HYPERLINK("https://www.braspress.com.br/site/w/tracking/search?cnpj="&amp;Parametros!$P$4&amp;"&amp;documentType=NOTAFISCAL&amp;numero="&amp;C7,"Abrir rastreio"),"")</f>
        <v/>
      </c>
    </row>
    <row r="8">
      <c r="A8">
        <f>B8&amp;"|"&amp;C8</f>
        <v/>
      </c>
      <c r="B8" t="inlineStr">
        <is>
          <t>LogExpress</t>
        </is>
      </c>
      <c r="C8" t="n">
        <v>158</v>
      </c>
      <c r="D8" t="n">
        <v>12901</v>
      </c>
      <c r="E8" t="inlineStr">
        <is>
          <t>Frio Serviços (12901)</t>
        </is>
      </c>
      <c r="F8">
        <f>SUMIFS(tblBase[QTD],tblBase[Transportadora],B8,tblBase[NF],C8,tblBase[Grupo_Status],"Em andamento")</f>
        <v/>
      </c>
      <c r="G8" s="10">
        <f>SUMIFS(tblBase[Valor_Total],tblBase[Transportadora],B8,tblBase[NF],C8,tblBase[Grupo_Status],"Em andamento")</f>
        <v/>
      </c>
      <c r="H8" t="inlineStr">
        <is>
          <t>Aguardando coleta</t>
        </is>
      </c>
      <c r="O8">
        <f>IF(B8="Braspress",HYPERLINK("https://www.braspress.com.br/site/w/tracking/search?cnpj="&amp;Parametros!$P$4&amp;"&amp;documentType=NOTAFISCAL&amp;numero="&amp;C8,"Abrir rastreio"),"")</f>
        <v/>
      </c>
    </row>
    <row r="9">
      <c r="A9">
        <f>B9&amp;"|"&amp;C9</f>
        <v/>
      </c>
      <c r="B9" t="inlineStr">
        <is>
          <t>ViaCargo</t>
        </is>
      </c>
      <c r="C9" t="n">
        <v>156</v>
      </c>
      <c r="D9" t="n">
        <v>12689</v>
      </c>
      <c r="E9" t="inlineStr">
        <is>
          <t>Norte Frio Manutenção (12689)</t>
        </is>
      </c>
      <c r="F9">
        <f>SUMIFS(tblBase[QTD],tblBase[Transportadora],B9,tblBase[NF],C9,tblBase[Grupo_Status],"Em andamento")</f>
        <v/>
      </c>
      <c r="G9" s="10">
        <f>SUMIFS(tblBase[Valor_Total],tblBase[Transportadora],B9,tblBase[NF],C9,tblBase[Grupo_Status],"Em andamento")</f>
        <v/>
      </c>
      <c r="H9" t="inlineStr">
        <is>
          <t>Aguardando coleta</t>
        </is>
      </c>
      <c r="O9">
        <f>IF(B9="Braspress",HYPERLINK("https://www.braspress.com.br/site/w/tracking/search?cnpj="&amp;Parametros!$P$4&amp;"&amp;documentType=NOTAFISCAL&amp;numero="&amp;C9,"Abrir rastreio"),"")</f>
        <v/>
      </c>
    </row>
    <row r="10">
      <c r="A10">
        <f>B10&amp;"|"&amp;C10</f>
        <v/>
      </c>
      <c r="B10" t="inlineStr">
        <is>
          <t>ViaCargo</t>
        </is>
      </c>
      <c r="C10" t="n">
        <v>144</v>
      </c>
      <c r="D10" t="n">
        <v>12138</v>
      </c>
      <c r="E10" t="inlineStr">
        <is>
          <t>Refrigeração Serviços (12138)</t>
        </is>
      </c>
      <c r="F10">
        <f>SUMIFS(tblBase[QTD],tblBase[Transportadora],B10,tblBase[NF],C10,tblBase[Grupo_Status],"Em andamento")</f>
        <v/>
      </c>
      <c r="G10" s="10">
        <f>SUMIFS(tblBase[Valor_Total],tblBase[Transportadora],B10,tblBase[NF],C10,tblBase[Grupo_Status],"Em andamento")</f>
        <v/>
      </c>
      <c r="H10" t="inlineStr">
        <is>
          <t>Saiu para entrega</t>
        </is>
      </c>
      <c r="O10">
        <f>IF(B10="Braspress",HYPERLINK("https://www.braspress.com.br/site/w/tracking/search?cnpj="&amp;Parametros!$P$4&amp;"&amp;documentType=NOTAFISCAL&amp;numero="&amp;C10,"Abrir rastreio"),"")</f>
        <v/>
      </c>
    </row>
    <row r="11">
      <c r="A11">
        <f>B11&amp;"|"&amp;C11</f>
        <v/>
      </c>
      <c r="B11" t="inlineStr">
        <is>
          <t>CargoMax</t>
        </is>
      </c>
      <c r="C11" t="n">
        <v>134</v>
      </c>
      <c r="D11" t="n">
        <v>12138</v>
      </c>
      <c r="E11" t="inlineStr">
        <is>
          <t>Refrigeração Serviços (12138)</t>
        </is>
      </c>
      <c r="F11">
        <f>SUMIFS(tblBase[QTD],tblBase[Transportadora],B11,tblBase[NF],C11,tblBase[Grupo_Status],"Em andamento")</f>
        <v/>
      </c>
      <c r="G11" s="10">
        <f>SUMIFS(tblBase[Valor_Total],tblBase[Transportadora],B11,tblBase[NF],C11,tblBase[Grupo_Status],"Em andamento")</f>
        <v/>
      </c>
      <c r="H11" t="inlineStr">
        <is>
          <t>Saiu para entrega</t>
        </is>
      </c>
      <c r="O11">
        <f>IF(B11="Braspress",HYPERLINK("https://www.braspress.com.br/site/w/tracking/search?cnpj="&amp;Parametros!$P$4&amp;"&amp;documentType=NOTAFISCAL&amp;numero="&amp;C11,"Abrir rastreio"),"")</f>
        <v/>
      </c>
    </row>
    <row r="12">
      <c r="A12">
        <f>B12&amp;"|"&amp;C12</f>
        <v/>
      </c>
      <c r="B12" t="inlineStr">
        <is>
          <t>RotaSul</t>
        </is>
      </c>
      <c r="C12" t="n">
        <v>139</v>
      </c>
      <c r="D12" t="n">
        <v>12019</v>
      </c>
      <c r="E12" t="inlineStr">
        <is>
          <t>Ártico Serviços (12019)</t>
        </is>
      </c>
      <c r="F12">
        <f>SUMIFS(tblBase[QTD],tblBase[Transportadora],B12,tblBase[NF],C12,tblBase[Grupo_Status],"Em andamento")</f>
        <v/>
      </c>
      <c r="G12" s="10">
        <f>SUMIFS(tblBase[Valor_Total],tblBase[Transportadora],B12,tblBase[NF],C12,tblBase[Grupo_Status],"Em andamento")</f>
        <v/>
      </c>
      <c r="H12" t="inlineStr"/>
      <c r="O12">
        <f>IF(B12="Braspress",HYPERLINK("https://www.braspress.com.br/site/w/tracking/search?cnpj="&amp;Parametros!$P$4&amp;"&amp;documentType=NOTAFISCAL&amp;numero="&amp;C12,"Abrir rastreio"),"")</f>
        <v/>
      </c>
    </row>
    <row r="13">
      <c r="A13">
        <f>B13&amp;"|"&amp;C13</f>
        <v/>
      </c>
      <c r="B13" t="inlineStr">
        <is>
          <t>CargoMax</t>
        </is>
      </c>
      <c r="C13" t="n">
        <v>142</v>
      </c>
      <c r="D13" t="n">
        <v>12089</v>
      </c>
      <c r="E13" t="inlineStr">
        <is>
          <t>Termotec Serviços (12089)</t>
        </is>
      </c>
      <c r="F13">
        <f>SUMIFS(tblBase[QTD],tblBase[Transportadora],B13,tblBase[NF],C13,tblBase[Grupo_Status],"Em andamento")</f>
        <v/>
      </c>
      <c r="G13" s="10">
        <f>SUMIFS(tblBase[Valor_Total],tblBase[Transportadora],B13,tblBase[NF],C13,tblBase[Grupo_Status],"Em andamento")</f>
        <v/>
      </c>
      <c r="H13" t="inlineStr">
        <is>
          <t>Em trânsito</t>
        </is>
      </c>
      <c r="O13">
        <f>IF(B13="Braspress",HYPERLINK("https://www.braspress.com.br/site/w/tracking/search?cnpj="&amp;Parametros!$P$4&amp;"&amp;documentType=NOTAFISCAL&amp;numero="&amp;C13,"Abrir rastreio"),"")</f>
        <v/>
      </c>
    </row>
    <row r="14">
      <c r="A14">
        <f>B14&amp;"|"&amp;C14</f>
        <v/>
      </c>
      <c r="B14" t="inlineStr">
        <is>
          <t>LogExpress</t>
        </is>
      </c>
      <c r="C14" t="n">
        <v>131</v>
      </c>
      <c r="D14" t="n">
        <v>11099</v>
      </c>
      <c r="E14" t="inlineStr">
        <is>
          <t>Refrigel Serviços (11099)</t>
        </is>
      </c>
      <c r="F14">
        <f>SUMIFS(tblBase[QTD],tblBase[Transportadora],B14,tblBase[NF],C14,tblBase[Grupo_Status],"Em andamento")</f>
        <v/>
      </c>
      <c r="G14" s="10">
        <f>SUMIFS(tblBase[Valor_Total],tblBase[Transportadora],B14,tblBase[NF],C14,tblBase[Grupo_Status],"Em andamento")</f>
        <v/>
      </c>
      <c r="H14" t="inlineStr">
        <is>
          <t>Saiu para entrega</t>
        </is>
      </c>
      <c r="O14">
        <f>IF(B14="Braspress",HYPERLINK("https://www.braspress.com.br/site/w/tracking/search?cnpj="&amp;Parametros!$P$4&amp;"&amp;documentType=NOTAFISCAL&amp;numero="&amp;C14,"Abrir rastreio"),"")</f>
        <v/>
      </c>
    </row>
    <row r="15">
      <c r="A15">
        <f>B15&amp;"|"&amp;C15</f>
        <v/>
      </c>
      <c r="B15" t="inlineStr">
        <is>
          <t>LogExpress</t>
        </is>
      </c>
      <c r="C15" t="n">
        <v>147</v>
      </c>
      <c r="D15" t="n">
        <v>11986</v>
      </c>
      <c r="E15" t="inlineStr">
        <is>
          <t>Polar Serviços (11986)</t>
        </is>
      </c>
      <c r="F15">
        <f>SUMIFS(tblBase[QTD],tblBase[Transportadora],B15,tblBase[NF],C15,tblBase[Grupo_Status],"Em andamento")</f>
        <v/>
      </c>
      <c r="G15" s="10">
        <f>SUMIFS(tblBase[Valor_Total],tblBase[Transportadora],B15,tblBase[NF],C15,tblBase[Grupo_Status],"Em andamento")</f>
        <v/>
      </c>
      <c r="H15" t="inlineStr">
        <is>
          <t>Em trânsito</t>
        </is>
      </c>
      <c r="O15">
        <f>IF(B15="Braspress",HYPERLINK("https://www.braspress.com.br/site/w/tracking/search?cnpj="&amp;Parametros!$P$4&amp;"&amp;documentType=NOTAFISCAL&amp;numero="&amp;C15,"Abrir rastreio"),"")</f>
        <v/>
      </c>
    </row>
    <row r="16">
      <c r="A16">
        <f>B16&amp;"|"&amp;C16</f>
        <v/>
      </c>
      <c r="B16" t="inlineStr">
        <is>
          <t>RotaSul</t>
        </is>
      </c>
      <c r="C16" t="n">
        <v>155</v>
      </c>
      <c r="D16" t="n">
        <v>12158</v>
      </c>
      <c r="E16" t="inlineStr">
        <is>
          <t>Gelo Serviços (12158)</t>
        </is>
      </c>
      <c r="F16">
        <f>SUMIFS(tblBase[QTD],tblBase[Transportadora],B16,tblBase[NF],C16,tblBase[Grupo_Status],"Em andamento")</f>
        <v/>
      </c>
      <c r="G16" s="10">
        <f>SUMIFS(tblBase[Valor_Total],tblBase[Transportadora],B16,tblBase[NF],C16,tblBase[Grupo_Status],"Em andamento")</f>
        <v/>
      </c>
      <c r="H16" t="inlineStr">
        <is>
          <t>Aguardando coleta</t>
        </is>
      </c>
      <c r="O16">
        <f>IF(B16="Braspress",HYPERLINK("https://www.braspress.com.br/site/w/tracking/search?cnpj="&amp;Parametros!$P$4&amp;"&amp;documentType=NOTAFISCAL&amp;numero="&amp;C16,"Abrir rastreio"),"")</f>
        <v/>
      </c>
    </row>
    <row r="17">
      <c r="A17">
        <f>B17&amp;"|"&amp;C17</f>
        <v/>
      </c>
      <c r="B17" t="inlineStr">
        <is>
          <t>TransNorte</t>
        </is>
      </c>
      <c r="C17" t="n">
        <v>160</v>
      </c>
      <c r="D17" t="n">
        <v>11099</v>
      </c>
      <c r="E17" t="inlineStr">
        <is>
          <t>Refrigel Serviços (11099)</t>
        </is>
      </c>
      <c r="F17">
        <f>SUMIFS(tblBase[QTD],tblBase[Transportadora],B17,tblBase[NF],C17,tblBase[Grupo_Status],"Em andamento")</f>
        <v/>
      </c>
      <c r="G17" s="10">
        <f>SUMIFS(tblBase[Valor_Total],tblBase[Transportadora],B17,tblBase[NF],C17,tblBase[Grupo_Status],"Em andamento")</f>
        <v/>
      </c>
      <c r="H17" t="inlineStr"/>
      <c r="O17">
        <f>IF(B17="Braspress",HYPERLINK("https://www.braspress.com.br/site/w/tracking/search?cnpj="&amp;Parametros!$P$4&amp;"&amp;documentType=NOTAFISCAL&amp;numero="&amp;C17,"Abrir rastreio"),"")</f>
        <v/>
      </c>
    </row>
    <row r="18">
      <c r="A18">
        <f>B18&amp;"|"&amp;C18</f>
        <v/>
      </c>
      <c r="B18" t="inlineStr">
        <is>
          <t>CargoMax</t>
        </is>
      </c>
      <c r="C18" t="n">
        <v>103</v>
      </c>
      <c r="D18" t="n">
        <v>11710</v>
      </c>
      <c r="E18" t="inlineStr">
        <is>
          <t>Brisa &amp; Cia (11710)</t>
        </is>
      </c>
      <c r="F18">
        <f>SUMIFS(tblBase[QTD],tblBase[Transportadora],B18,tblBase[NF],C18,tblBase[Grupo_Status],"Em andamento")</f>
        <v/>
      </c>
      <c r="G18" s="10">
        <f>SUMIFS(tblBase[Valor_Total],tblBase[Transportadora],B18,tblBase[NF],C18,tblBase[Grupo_Status],"Em andamento")</f>
        <v/>
      </c>
      <c r="H18" t="inlineStr">
        <is>
          <t>Aguardando coleta</t>
        </is>
      </c>
      <c r="O18">
        <f>IF(B18="Braspress",HYPERLINK("https://www.braspress.com.br/site/w/tracking/search?cnpj="&amp;Parametros!$P$4&amp;"&amp;documentType=NOTAFISCAL&amp;numero="&amp;C18,"Abrir rastreio"),"")</f>
        <v/>
      </c>
    </row>
    <row r="19">
      <c r="A19">
        <f>B19&amp;"|"&amp;C19</f>
        <v/>
      </c>
      <c r="B19" t="inlineStr">
        <is>
          <t>TransNorte</t>
        </is>
      </c>
      <c r="C19" t="n">
        <v>170</v>
      </c>
      <c r="D19" t="n">
        <v>10111</v>
      </c>
      <c r="E19" t="inlineStr">
        <is>
          <t>Refrigel Manutenção (10111)</t>
        </is>
      </c>
      <c r="F19">
        <f>SUMIFS(tblBase[QTD],tblBase[Transportadora],B19,tblBase[NF],C19,tblBase[Grupo_Status],"Em andamento")</f>
        <v/>
      </c>
      <c r="G19" s="10">
        <f>SUMIFS(tblBase[Valor_Total],tblBase[Transportadora],B19,tblBase[NF],C19,tblBase[Grupo_Status],"Em andamento")</f>
        <v/>
      </c>
      <c r="H19" t="inlineStr">
        <is>
          <t>Em trânsito</t>
        </is>
      </c>
      <c r="O19">
        <f>IF(B19="Braspress",HYPERLINK("https://www.braspress.com.br/site/w/tracking/search?cnpj="&amp;Parametros!$P$4&amp;"&amp;documentType=NOTAFISCAL&amp;numero="&amp;C19,"Abrir rastreio"),"")</f>
        <v/>
      </c>
    </row>
    <row r="20">
      <c r="A20">
        <f>B20&amp;"|"&amp;C20</f>
        <v/>
      </c>
      <c r="B20" t="inlineStr">
        <is>
          <t>RotaSul</t>
        </is>
      </c>
      <c r="C20" t="n">
        <v>171</v>
      </c>
      <c r="D20" t="n">
        <v>11986</v>
      </c>
      <c r="E20" t="inlineStr">
        <is>
          <t>Polar Serviços (11986)</t>
        </is>
      </c>
      <c r="F20">
        <f>SUMIFS(tblBase[QTD],tblBase[Transportadora],B20,tblBase[NF],C20,tblBase[Grupo_Status],"Em andamento")</f>
        <v/>
      </c>
      <c r="G20" s="10">
        <f>SUMIFS(tblBase[Valor_Total],tblBase[Transportadora],B20,tblBase[NF],C20,tblBase[Grupo_Status],"Em andamento")</f>
        <v/>
      </c>
      <c r="H20" t="inlineStr"/>
      <c r="O20">
        <f>IF(B20="Braspress",HYPERLINK("https://www.braspress.com.br/site/w/tracking/search?cnpj="&amp;Parametros!$P$4&amp;"&amp;documentType=NOTAFISCAL&amp;numero="&amp;C20,"Abrir rastreio"),"")</f>
        <v/>
      </c>
    </row>
    <row r="21">
      <c r="A21">
        <f>B21&amp;"|"&amp;C21</f>
        <v/>
      </c>
      <c r="B21" t="inlineStr">
        <is>
          <t>EntregaJá</t>
        </is>
      </c>
      <c r="C21" t="n">
        <v>110</v>
      </c>
      <c r="D21" t="n">
        <v>11162</v>
      </c>
      <c r="E21" t="inlineStr">
        <is>
          <t>Ártico Refrigeração (11162)</t>
        </is>
      </c>
      <c r="F21">
        <f>SUMIFS(tblBase[QTD],tblBase[Transportadora],B21,tblBase[NF],C21,tblBase[Grupo_Status],"Em andamento")</f>
        <v/>
      </c>
      <c r="G21" s="10">
        <f>SUMIFS(tblBase[Valor_Total],tblBase[Transportadora],B21,tblBase[NF],C21,tblBase[Grupo_Status],"Em andamento")</f>
        <v/>
      </c>
      <c r="H21" t="inlineStr">
        <is>
          <t>Saiu para entrega</t>
        </is>
      </c>
      <c r="O21">
        <f>IF(B21="Braspress",HYPERLINK("https://www.braspress.com.br/site/w/tracking/search?cnpj="&amp;Parametros!$P$4&amp;"&amp;documentType=NOTAFISCAL&amp;numero="&amp;C21,"Abrir rastreio"),"")</f>
        <v/>
      </c>
    </row>
    <row r="22">
      <c r="A22">
        <f>B22&amp;"|"&amp;C22</f>
        <v/>
      </c>
      <c r="B22" t="inlineStr">
        <is>
          <t>RotaSul</t>
        </is>
      </c>
      <c r="C22" t="n">
        <v>118</v>
      </c>
      <c r="D22" t="n">
        <v>11677</v>
      </c>
      <c r="E22" t="inlineStr">
        <is>
          <t>Cool Service Manutenção (11677)</t>
        </is>
      </c>
      <c r="F22">
        <f>SUMIFS(tblBase[QTD],tblBase[Transportadora],B22,tblBase[NF],C22,tblBase[Grupo_Status],"Em andamento")</f>
        <v/>
      </c>
      <c r="G22" s="10">
        <f>SUMIFS(tblBase[Valor_Total],tblBase[Transportadora],B22,tblBase[NF],C22,tblBase[Grupo_Status],"Em andamento")</f>
        <v/>
      </c>
      <c r="H22" t="inlineStr">
        <is>
          <t>Saiu para entrega</t>
        </is>
      </c>
      <c r="O22">
        <f>IF(B22="Braspress",HYPERLINK("https://www.braspress.com.br/site/w/tracking/search?cnpj="&amp;Parametros!$P$4&amp;"&amp;documentType=NOTAFISCAL&amp;numero="&amp;C22,"Abrir rastreio"),"")</f>
        <v/>
      </c>
    </row>
    <row r="23">
      <c r="A23">
        <f>B23&amp;"|"&amp;C23</f>
        <v/>
      </c>
      <c r="B23" t="inlineStr">
        <is>
          <t>TransNorte</t>
        </is>
      </c>
      <c r="C23" t="n">
        <v>107</v>
      </c>
      <c r="D23" t="n">
        <v>11244</v>
      </c>
      <c r="E23" t="inlineStr">
        <is>
          <t>Refrigeração Manutenção (11244)</t>
        </is>
      </c>
      <c r="F23">
        <f>SUMIFS(tblBase[QTD],tblBase[Transportadora],B23,tblBase[NF],C23,tblBase[Grupo_Status],"Em andamento")</f>
        <v/>
      </c>
      <c r="G23" s="10">
        <f>SUMIFS(tblBase[Valor_Total],tblBase[Transportadora],B23,tblBase[NF],C23,tblBase[Grupo_Status],"Em andamento")</f>
        <v/>
      </c>
      <c r="H23" t="inlineStr">
        <is>
          <t>Em trânsito</t>
        </is>
      </c>
      <c r="O23">
        <f>IF(B23="Braspress",HYPERLINK("https://www.braspress.com.br/site/w/tracking/search?cnpj="&amp;Parametros!$P$4&amp;"&amp;documentType=NOTAFISCAL&amp;numero="&amp;C23,"Abrir rastreio"),"")</f>
        <v/>
      </c>
    </row>
    <row r="24">
      <c r="A24">
        <f>B24&amp;"|"&amp;C24</f>
        <v/>
      </c>
      <c r="B24" t="inlineStr">
        <is>
          <t>ViaCargo</t>
        </is>
      </c>
      <c r="C24" t="n">
        <v>140</v>
      </c>
      <c r="D24" t="n">
        <v>12280</v>
      </c>
      <c r="E24" t="inlineStr">
        <is>
          <t>Termotec &amp; Cia (12280)</t>
        </is>
      </c>
      <c r="F24">
        <f>SUMIFS(tblBase[QTD],tblBase[Transportadora],B24,tblBase[NF],C24,tblBase[Grupo_Status],"Em andamento")</f>
        <v/>
      </c>
      <c r="G24" s="10">
        <f>SUMIFS(tblBase[Valor_Total],tblBase[Transportadora],B24,tblBase[NF],C24,tblBase[Grupo_Status],"Em andamento")</f>
        <v/>
      </c>
      <c r="H24" t="inlineStr">
        <is>
          <t>Aguardando coleta</t>
        </is>
      </c>
      <c r="O24">
        <f>IF(B24="Braspress",HYPERLINK("https://www.braspress.com.br/site/w/tracking/search?cnpj="&amp;Parametros!$P$4&amp;"&amp;documentType=NOTAFISCAL&amp;numero="&amp;C24,"Abrir rastreio"),"")</f>
        <v/>
      </c>
    </row>
    <row r="25">
      <c r="A25">
        <f>B25&amp;"|"&amp;C25</f>
        <v/>
      </c>
      <c r="B25" t="inlineStr">
        <is>
          <t>EntregaJá</t>
        </is>
      </c>
      <c r="C25" t="n">
        <v>108</v>
      </c>
      <c r="D25" t="n">
        <v>11365</v>
      </c>
      <c r="E25" t="inlineStr">
        <is>
          <t>Ártico Express (11365)</t>
        </is>
      </c>
      <c r="F25">
        <f>SUMIFS(tblBase[QTD],tblBase[Transportadora],B25,tblBase[NF],C25,tblBase[Grupo_Status],"Em andamento")</f>
        <v/>
      </c>
      <c r="G25" s="10">
        <f>SUMIFS(tblBase[Valor_Total],tblBase[Transportadora],B25,tblBase[NF],C25,tblBase[Grupo_Status],"Em andamento")</f>
        <v/>
      </c>
      <c r="H25" t="inlineStr"/>
      <c r="O25">
        <f>IF(B25="Braspress",HYPERLINK("https://www.braspress.com.br/site/w/tracking/search?cnpj="&amp;Parametros!$P$4&amp;"&amp;documentType=NOTAFISCAL&amp;numero="&amp;C25,"Abrir rastreio"),"")</f>
        <v/>
      </c>
    </row>
    <row r="26">
      <c r="A26">
        <f>B26&amp;"|"&amp;C26</f>
        <v/>
      </c>
      <c r="B26" t="inlineStr">
        <is>
          <t>CargoMax</t>
        </is>
      </c>
      <c r="C26" t="n">
        <v>110</v>
      </c>
      <c r="D26" t="n">
        <v>12336</v>
      </c>
      <c r="E26" t="inlineStr">
        <is>
          <t>Termotec ME (12336)</t>
        </is>
      </c>
      <c r="F26">
        <f>SUMIFS(tblBase[QTD],tblBase[Transportadora],B26,tblBase[NF],C26,tblBase[Grupo_Status],"Em andamento")</f>
        <v/>
      </c>
      <c r="G26" s="10">
        <f>SUMIFS(tblBase[Valor_Total],tblBase[Transportadora],B26,tblBase[NF],C26,tblBase[Grupo_Status],"Em andamento")</f>
        <v/>
      </c>
      <c r="H26" t="inlineStr">
        <is>
          <t>Aguardando coleta</t>
        </is>
      </c>
      <c r="O26">
        <f>IF(B26="Braspress",HYPERLINK("https://www.braspress.com.br/site/w/tracking/search?cnpj="&amp;Parametros!$P$4&amp;"&amp;documentType=NOTAFISCAL&amp;numero="&amp;C26,"Abrir rastreio"),"")</f>
        <v/>
      </c>
    </row>
    <row r="27">
      <c r="A27">
        <f>B27&amp;"|"&amp;C27</f>
        <v/>
      </c>
      <c r="B27" t="inlineStr">
        <is>
          <t>TransNorte</t>
        </is>
      </c>
      <c r="C27" t="n">
        <v>138</v>
      </c>
      <c r="D27" t="n">
        <v>10615</v>
      </c>
      <c r="E27" t="inlineStr">
        <is>
          <t>Brisa Técnica (10615)</t>
        </is>
      </c>
      <c r="F27">
        <f>SUMIFS(tblBase[QTD],tblBase[Transportadora],B27,tblBase[NF],C27,tblBase[Grupo_Status],"Em andamento")</f>
        <v/>
      </c>
      <c r="G27" s="10">
        <f>SUMIFS(tblBase[Valor_Total],tblBase[Transportadora],B27,tblBase[NF],C27,tblBase[Grupo_Status],"Em andamento")</f>
        <v/>
      </c>
      <c r="H27" t="inlineStr">
        <is>
          <t>Aguardando coleta</t>
        </is>
      </c>
      <c r="O27">
        <f>IF(B27="Braspress",HYPERLINK("https://www.braspress.com.br/site/w/tracking/search?cnpj="&amp;Parametros!$P$4&amp;"&amp;documentType=NOTAFISCAL&amp;numero="&amp;C27,"Abrir rastreio"),"")</f>
        <v/>
      </c>
    </row>
    <row r="28">
      <c r="A28">
        <f>B28&amp;"|"&amp;C28</f>
        <v/>
      </c>
      <c r="B28" t="inlineStr">
        <is>
          <t>CargoMax</t>
        </is>
      </c>
      <c r="C28" t="n">
        <v>105</v>
      </c>
      <c r="D28" t="n">
        <v>11619</v>
      </c>
      <c r="E28" t="inlineStr">
        <is>
          <t>Refrigeração Ltda (11619)</t>
        </is>
      </c>
      <c r="F28">
        <f>SUMIFS(tblBase[QTD],tblBase[Transportadora],B28,tblBase[NF],C28,tblBase[Grupo_Status],"Em andamento")</f>
        <v/>
      </c>
      <c r="G28" s="10">
        <f>SUMIFS(tblBase[Valor_Total],tblBase[Transportadora],B28,tblBase[NF],C28,tblBase[Grupo_Status],"Em andamento")</f>
        <v/>
      </c>
      <c r="H28" t="inlineStr">
        <is>
          <t>Saiu para entrega</t>
        </is>
      </c>
      <c r="O28">
        <f>IF(B28="Braspress",HYPERLINK("https://www.braspress.com.br/site/w/tracking/search?cnpj="&amp;Parametros!$P$4&amp;"&amp;documentType=NOTAFISCAL&amp;numero="&amp;C28,"Abrir rastreio"),"")</f>
        <v/>
      </c>
    </row>
    <row r="29">
      <c r="A29">
        <f>B29&amp;"|"&amp;C29</f>
        <v/>
      </c>
      <c r="B29" t="inlineStr">
        <is>
          <t>ViaCargo</t>
        </is>
      </c>
      <c r="C29" t="n">
        <v>123</v>
      </c>
      <c r="D29" t="n">
        <v>12052</v>
      </c>
      <c r="E29" t="inlineStr">
        <is>
          <t>Brisa Refrigeração (12052)</t>
        </is>
      </c>
      <c r="F29">
        <f>SUMIFS(tblBase[QTD],tblBase[Transportadora],B29,tblBase[NF],C29,tblBase[Grupo_Status],"Em andamento")</f>
        <v/>
      </c>
      <c r="G29" s="10">
        <f>SUMIFS(tblBase[Valor_Total],tblBase[Transportadora],B29,tblBase[NF],C29,tblBase[Grupo_Status],"Em andamento")</f>
        <v/>
      </c>
      <c r="H29" t="inlineStr"/>
      <c r="O29">
        <f>IF(B29="Braspress",HYPERLINK("https://www.braspress.com.br/site/w/tracking/search?cnpj="&amp;Parametros!$P$4&amp;"&amp;documentType=NOTAFISCAL&amp;numero="&amp;C29,"Abrir rastreio"),"")</f>
        <v/>
      </c>
    </row>
    <row r="30">
      <c r="A30">
        <f>B30&amp;"|"&amp;C30</f>
        <v/>
      </c>
      <c r="B30" t="inlineStr">
        <is>
          <t>EntregaJá</t>
        </is>
      </c>
      <c r="C30" t="n">
        <v>104</v>
      </c>
      <c r="D30" t="n">
        <v>10939</v>
      </c>
      <c r="E30" t="inlineStr">
        <is>
          <t>Zero Grau Manutenção (10939)</t>
        </is>
      </c>
      <c r="F30">
        <f>SUMIFS(tblBase[QTD],tblBase[Transportadora],B30,tblBase[NF],C30,tblBase[Grupo_Status],"Em andamento")</f>
        <v/>
      </c>
      <c r="G30" s="10">
        <f>SUMIFS(tblBase[Valor_Total],tblBase[Transportadora],B30,tblBase[NF],C30,tblBase[Grupo_Status],"Em andamento")</f>
        <v/>
      </c>
      <c r="H30" t="inlineStr">
        <is>
          <t>Aguardando coleta</t>
        </is>
      </c>
      <c r="O30">
        <f>IF(B30="Braspress",HYPERLINK("https://www.braspress.com.br/site/w/tracking/search?cnpj="&amp;Parametros!$P$4&amp;"&amp;documentType=NOTAFISCAL&amp;numero="&amp;C30,"Abrir rastreio"),"")</f>
        <v/>
      </c>
    </row>
    <row r="31">
      <c r="A31">
        <f>B31&amp;"|"&amp;C31</f>
        <v/>
      </c>
      <c r="B31" t="inlineStr">
        <is>
          <t>ViaCargo</t>
        </is>
      </c>
      <c r="C31" t="n">
        <v>130</v>
      </c>
      <c r="D31" t="n">
        <v>10317</v>
      </c>
      <c r="E31" t="inlineStr">
        <is>
          <t>Termotec Manutenção (10317)</t>
        </is>
      </c>
      <c r="F31">
        <f>SUMIFS(tblBase[QTD],tblBase[Transportadora],B31,tblBase[NF],C31,tblBase[Grupo_Status],"Em andamento")</f>
        <v/>
      </c>
      <c r="G31" s="10">
        <f>SUMIFS(tblBase[Valor_Total],tblBase[Transportadora],B31,tblBase[NF],C31,tblBase[Grupo_Status],"Em andamento")</f>
        <v/>
      </c>
      <c r="H31" t="inlineStr">
        <is>
          <t>Em trânsito</t>
        </is>
      </c>
      <c r="O31">
        <f>IF(B31="Braspress",HYPERLINK("https://www.braspress.com.br/site/w/tracking/search?cnpj="&amp;Parametros!$P$4&amp;"&amp;documentType=NOTAFISCAL&amp;numero="&amp;C31,"Abrir rastreio"),"")</f>
        <v/>
      </c>
    </row>
    <row r="32">
      <c r="A32">
        <f>B32&amp;"|"&amp;C32</f>
        <v/>
      </c>
      <c r="B32" t="inlineStr">
        <is>
          <t>ViaCargo</t>
        </is>
      </c>
      <c r="C32" t="n">
        <v>145</v>
      </c>
      <c r="D32" t="n">
        <v>12555</v>
      </c>
      <c r="E32" t="inlineStr">
        <is>
          <t>Cool Service Serviços (12555)</t>
        </is>
      </c>
      <c r="F32">
        <f>SUMIFS(tblBase[QTD],tblBase[Transportadora],B32,tblBase[NF],C32,tblBase[Grupo_Status],"Em andamento")</f>
        <v/>
      </c>
      <c r="G32" s="10">
        <f>SUMIFS(tblBase[Valor_Total],tblBase[Transportadora],B32,tblBase[NF],C32,tblBase[Grupo_Status],"Em andamento")</f>
        <v/>
      </c>
      <c r="H32" t="inlineStr"/>
      <c r="O32">
        <f>IF(B32="Braspress",HYPERLINK("https://www.braspress.com.br/site/w/tracking/search?cnpj="&amp;Parametros!$P$4&amp;"&amp;documentType=NOTAFISCAL&amp;numero="&amp;C32,"Abrir rastreio"),"")</f>
        <v/>
      </c>
    </row>
    <row r="33">
      <c r="A33">
        <f>B33&amp;"|"&amp;C33</f>
        <v/>
      </c>
      <c r="B33" t="inlineStr">
        <is>
          <t>CargoMax</t>
        </is>
      </c>
      <c r="C33" t="n">
        <v>160</v>
      </c>
      <c r="D33" t="n">
        <v>11162</v>
      </c>
      <c r="E33" t="inlineStr">
        <is>
          <t>Ártico Refrigeração (11162)</t>
        </is>
      </c>
      <c r="F33">
        <f>SUMIFS(tblBase[QTD],tblBase[Transportadora],B33,tblBase[NF],C33,tblBase[Grupo_Status],"Em andamento")</f>
        <v/>
      </c>
      <c r="G33" s="10">
        <f>SUMIFS(tblBase[Valor_Total],tblBase[Transportadora],B33,tblBase[NF],C33,tblBase[Grupo_Status],"Em andamento")</f>
        <v/>
      </c>
      <c r="H33" t="inlineStr"/>
      <c r="O33">
        <f>IF(B33="Braspress",HYPERLINK("https://www.braspress.com.br/site/w/tracking/search?cnpj="&amp;Parametros!$P$4&amp;"&amp;documentType=NOTAFISCAL&amp;numero="&amp;C33,"Abrir rastreio"),"")</f>
        <v/>
      </c>
    </row>
    <row r="34">
      <c r="A34">
        <f>B34&amp;"|"&amp;C34</f>
        <v/>
      </c>
      <c r="B34" t="inlineStr">
        <is>
          <t>LogExpress</t>
        </is>
      </c>
      <c r="C34" t="n">
        <v>163</v>
      </c>
      <c r="D34" t="n">
        <v>11459</v>
      </c>
      <c r="E34" t="inlineStr">
        <is>
          <t>Frio ME (11459)</t>
        </is>
      </c>
      <c r="F34">
        <f>SUMIFS(tblBase[QTD],tblBase[Transportadora],B34,tblBase[NF],C34,tblBase[Grupo_Status],"Em andamento")</f>
        <v/>
      </c>
      <c r="G34" s="10">
        <f>SUMIFS(tblBase[Valor_Total],tblBase[Transportadora],B34,tblBase[NF],C34,tblBase[Grupo_Status],"Em andamento")</f>
        <v/>
      </c>
      <c r="H34" t="inlineStr">
        <is>
          <t>Saiu para entrega</t>
        </is>
      </c>
      <c r="O34">
        <f>IF(B34="Braspress",HYPERLINK("https://www.braspress.com.br/site/w/tracking/search?cnpj="&amp;Parametros!$P$4&amp;"&amp;documentType=NOTAFISCAL&amp;numero="&amp;C34,"Abrir rastreio"),"")</f>
        <v/>
      </c>
    </row>
    <row r="35">
      <c r="A35">
        <f>B35&amp;"|"&amp;C35</f>
        <v/>
      </c>
      <c r="B35" t="inlineStr">
        <is>
          <t>ViaCargo</t>
        </is>
      </c>
      <c r="C35" t="n">
        <v>112</v>
      </c>
      <c r="D35" t="n">
        <v>11494</v>
      </c>
      <c r="E35" t="inlineStr">
        <is>
          <t>Clima Técnica (11494)</t>
        </is>
      </c>
      <c r="F35">
        <f>SUMIFS(tblBase[QTD],tblBase[Transportadora],B35,tblBase[NF],C35,tblBase[Grupo_Status],"Em andamento")</f>
        <v/>
      </c>
      <c r="G35" s="10">
        <f>SUMIFS(tblBase[Valor_Total],tblBase[Transportadora],B35,tblBase[NF],C35,tblBase[Grupo_Status],"Em andamento")</f>
        <v/>
      </c>
      <c r="H35" t="inlineStr">
        <is>
          <t>Saiu para entrega</t>
        </is>
      </c>
      <c r="O35">
        <f>IF(B35="Braspress",HYPERLINK("https://www.braspress.com.br/site/w/tracking/search?cnpj="&amp;Parametros!$P$4&amp;"&amp;documentType=NOTAFISCAL&amp;numero="&amp;C35,"Abrir rastreio"),"")</f>
        <v/>
      </c>
    </row>
    <row r="36">
      <c r="A36">
        <f>B36&amp;"|"&amp;C36</f>
        <v/>
      </c>
      <c r="B36" t="inlineStr">
        <is>
          <t>TransNorte</t>
        </is>
      </c>
      <c r="C36" t="n">
        <v>118</v>
      </c>
      <c r="D36" t="n">
        <v>11352</v>
      </c>
      <c r="E36" t="inlineStr">
        <is>
          <t>Frio Express (11352)</t>
        </is>
      </c>
      <c r="F36">
        <f>SUMIFS(tblBase[QTD],tblBase[Transportadora],B36,tblBase[NF],C36,tblBase[Grupo_Status],"Em andamento")</f>
        <v/>
      </c>
      <c r="G36" s="10">
        <f>SUMIFS(tblBase[Valor_Total],tblBase[Transportadora],B36,tblBase[NF],C36,tblBase[Grupo_Status],"Em andamento")</f>
        <v/>
      </c>
      <c r="H36" t="inlineStr">
        <is>
          <t>Aguardando coleta</t>
        </is>
      </c>
      <c r="O36">
        <f>IF(B36="Braspress",HYPERLINK("https://www.braspress.com.br/site/w/tracking/search?cnpj="&amp;Parametros!$P$4&amp;"&amp;documentType=NOTAFISCAL&amp;numero="&amp;C36,"Abrir rastreio"),"")</f>
        <v/>
      </c>
    </row>
    <row r="37">
      <c r="A37">
        <f>B37&amp;"|"&amp;C37</f>
        <v/>
      </c>
      <c r="B37" t="inlineStr">
        <is>
          <t>LogExpress</t>
        </is>
      </c>
      <c r="C37" t="n">
        <v>141</v>
      </c>
      <c r="D37" t="n">
        <v>11059</v>
      </c>
      <c r="E37" t="inlineStr">
        <is>
          <t>Frio Ltda (11059)</t>
        </is>
      </c>
      <c r="F37">
        <f>SUMIFS(tblBase[QTD],tblBase[Transportadora],B37,tblBase[NF],C37,tblBase[Grupo_Status],"Em andamento")</f>
        <v/>
      </c>
      <c r="G37" s="10">
        <f>SUMIFS(tblBase[Valor_Total],tblBase[Transportadora],B37,tblBase[NF],C37,tblBase[Grupo_Status],"Em andamento")</f>
        <v/>
      </c>
      <c r="H37" t="inlineStr">
        <is>
          <t>Em trânsito</t>
        </is>
      </c>
      <c r="O37">
        <f>IF(B37="Braspress",HYPERLINK("https://www.braspress.com.br/site/w/tracking/search?cnpj="&amp;Parametros!$P$4&amp;"&amp;documentType=NOTAFISCAL&amp;numero="&amp;C37,"Abrir rastreio"),"")</f>
        <v/>
      </c>
    </row>
    <row r="38">
      <c r="A38">
        <f>B38&amp;"|"&amp;C38</f>
        <v/>
      </c>
      <c r="B38" t="inlineStr">
        <is>
          <t>CargoMax</t>
        </is>
      </c>
      <c r="C38" t="n">
        <v>111</v>
      </c>
      <c r="D38" t="n">
        <v>12811</v>
      </c>
      <c r="E38" t="inlineStr">
        <is>
          <t>Norte Frio Técnica (12811)</t>
        </is>
      </c>
      <c r="F38">
        <f>SUMIFS(tblBase[QTD],tblBase[Transportadora],B38,tblBase[NF],C38,tblBase[Grupo_Status],"Em andamento")</f>
        <v/>
      </c>
      <c r="G38" s="10">
        <f>SUMIFS(tblBase[Valor_Total],tblBase[Transportadora],B38,tblBase[NF],C38,tblBase[Grupo_Status],"Em andamento")</f>
        <v/>
      </c>
      <c r="H38" t="inlineStr">
        <is>
          <t>Aguardando coleta</t>
        </is>
      </c>
      <c r="O38">
        <f>IF(B38="Braspress",HYPERLINK("https://www.braspress.com.br/site/w/tracking/search?cnpj="&amp;Parametros!$P$4&amp;"&amp;documentType=NOTAFISCAL&amp;numero="&amp;C38,"Abrir rastreio"),"")</f>
        <v/>
      </c>
    </row>
    <row r="39">
      <c r="A39">
        <f>B39&amp;"|"&amp;C39</f>
        <v/>
      </c>
      <c r="B39" t="inlineStr">
        <is>
          <t>LogExpress</t>
        </is>
      </c>
      <c r="C39" t="n">
        <v>111</v>
      </c>
      <c r="D39" t="n">
        <v>12280</v>
      </c>
      <c r="E39" t="inlineStr">
        <is>
          <t>Termotec &amp; Cia (12280)</t>
        </is>
      </c>
      <c r="F39">
        <f>SUMIFS(tblBase[QTD],tblBase[Transportadora],B39,tblBase[NF],C39,tblBase[Grupo_Status],"Em andamento")</f>
        <v/>
      </c>
      <c r="G39" s="10">
        <f>SUMIFS(tblBase[Valor_Total],tblBase[Transportadora],B39,tblBase[NF],C39,tblBase[Grupo_Status],"Em andamento")</f>
        <v/>
      </c>
      <c r="H39" t="inlineStr">
        <is>
          <t>Aguardando coleta</t>
        </is>
      </c>
      <c r="O39">
        <f>IF(B39="Braspress",HYPERLINK("https://www.braspress.com.br/site/w/tracking/search?cnpj="&amp;Parametros!$P$4&amp;"&amp;documentType=NOTAFISCAL&amp;numero="&amp;C39,"Abrir rastreio"),"")</f>
        <v/>
      </c>
    </row>
    <row r="40">
      <c r="A40">
        <f>B40&amp;"|"&amp;C40</f>
        <v/>
      </c>
      <c r="B40" t="inlineStr">
        <is>
          <t>TransNorte</t>
        </is>
      </c>
      <c r="C40" t="n">
        <v>148</v>
      </c>
      <c r="D40" t="n">
        <v>12280</v>
      </c>
      <c r="E40" t="inlineStr">
        <is>
          <t>Termotec &amp; Cia (12280)</t>
        </is>
      </c>
      <c r="F40">
        <f>SUMIFS(tblBase[QTD],tblBase[Transportadora],B40,tblBase[NF],C40,tblBase[Grupo_Status],"Em andamento")</f>
        <v/>
      </c>
      <c r="G40" s="10">
        <f>SUMIFS(tblBase[Valor_Total],tblBase[Transportadora],B40,tblBase[NF],C40,tblBase[Grupo_Status],"Em andamento")</f>
        <v/>
      </c>
      <c r="H40" t="inlineStr"/>
      <c r="O40">
        <f>IF(B40="Braspress",HYPERLINK("https://www.braspress.com.br/site/w/tracking/search?cnpj="&amp;Parametros!$P$4&amp;"&amp;documentType=NOTAFISCAL&amp;numero="&amp;C40,"Abrir rastreio"),"")</f>
        <v/>
      </c>
    </row>
    <row r="41">
      <c r="A41">
        <f>B41&amp;"|"&amp;C41</f>
        <v/>
      </c>
      <c r="B41" t="inlineStr">
        <is>
          <t>ViaCargo</t>
        </is>
      </c>
      <c r="C41" t="n">
        <v>158</v>
      </c>
      <c r="D41" t="n">
        <v>10413</v>
      </c>
      <c r="E41" t="inlineStr">
        <is>
          <t>Polar Manutenção (10413)</t>
        </is>
      </c>
      <c r="F41">
        <f>SUMIFS(tblBase[QTD],tblBase[Transportadora],B41,tblBase[NF],C41,tblBase[Grupo_Status],"Em andamento")</f>
        <v/>
      </c>
      <c r="G41" s="10">
        <f>SUMIFS(tblBase[Valor_Total],tblBase[Transportadora],B41,tblBase[NF],C41,tblBase[Grupo_Status],"Em andamento")</f>
        <v/>
      </c>
      <c r="H41" t="inlineStr">
        <is>
          <t>Saiu para entrega</t>
        </is>
      </c>
      <c r="O41">
        <f>IF(B41="Braspress",HYPERLINK("https://www.braspress.com.br/site/w/tracking/search?cnpj="&amp;Parametros!$P$4&amp;"&amp;documentType=NOTAFISCAL&amp;numero="&amp;C41,"Abrir rastreio"),"")</f>
        <v/>
      </c>
    </row>
    <row r="42">
      <c r="A42">
        <f>B42&amp;"|"&amp;C42</f>
        <v/>
      </c>
      <c r="B42" t="inlineStr">
        <is>
          <t>CargoMax</t>
        </is>
      </c>
      <c r="C42" t="n">
        <v>167</v>
      </c>
      <c r="D42" t="n">
        <v>11898</v>
      </c>
      <c r="E42" t="inlineStr">
        <is>
          <t>Refrigel Express (11898)</t>
        </is>
      </c>
      <c r="F42">
        <f>SUMIFS(tblBase[QTD],tblBase[Transportadora],B42,tblBase[NF],C42,tblBase[Grupo_Status],"Em andamento")</f>
        <v/>
      </c>
      <c r="G42" s="10">
        <f>SUMIFS(tblBase[Valor_Total],tblBase[Transportadora],B42,tblBase[NF],C42,tblBase[Grupo_Status],"Em andamento")</f>
        <v/>
      </c>
      <c r="H42" t="inlineStr">
        <is>
          <t>Aguardando coleta</t>
        </is>
      </c>
      <c r="O42">
        <f>IF(B42="Braspress",HYPERLINK("https://www.braspress.com.br/site/w/tracking/search?cnpj="&amp;Parametros!$P$4&amp;"&amp;documentType=NOTAFISCAL&amp;numero="&amp;C42,"Abrir rastreio"),"")</f>
        <v/>
      </c>
    </row>
    <row r="43">
      <c r="A43">
        <f>B43&amp;"|"&amp;C43</f>
        <v/>
      </c>
      <c r="B43" t="inlineStr">
        <is>
          <t>RotaSul</t>
        </is>
      </c>
      <c r="C43" t="n">
        <v>106</v>
      </c>
      <c r="D43" t="n">
        <v>11099</v>
      </c>
      <c r="E43" t="inlineStr">
        <is>
          <t>Refrigel Serviços (11099)</t>
        </is>
      </c>
      <c r="F43">
        <f>SUMIFS(tblBase[QTD],tblBase[Transportadora],B43,tblBase[NF],C43,tblBase[Grupo_Status],"Em andamento")</f>
        <v/>
      </c>
      <c r="G43" s="10">
        <f>SUMIFS(tblBase[Valor_Total],tblBase[Transportadora],B43,tblBase[NF],C43,tblBase[Grupo_Status],"Em andamento")</f>
        <v/>
      </c>
      <c r="H43" t="inlineStr"/>
      <c r="O43">
        <f>IF(B43="Braspress",HYPERLINK("https://www.braspress.com.br/site/w/tracking/search?cnpj="&amp;Parametros!$P$4&amp;"&amp;documentType=NOTAFISCAL&amp;numero="&amp;C43,"Abrir rastreio"),"")</f>
        <v/>
      </c>
    </row>
    <row r="44">
      <c r="A44">
        <f>B44&amp;"|"&amp;C44</f>
        <v/>
      </c>
      <c r="B44" t="inlineStr">
        <is>
          <t>CargoMax</t>
        </is>
      </c>
      <c r="C44" t="n">
        <v>127</v>
      </c>
      <c r="D44" t="n">
        <v>10562</v>
      </c>
      <c r="E44" t="inlineStr">
        <is>
          <t>Clima &amp; Cia (10562)</t>
        </is>
      </c>
      <c r="F44">
        <f>SUMIFS(tblBase[QTD],tblBase[Transportadora],B44,tblBase[NF],C44,tblBase[Grupo_Status],"Em andamento")</f>
        <v/>
      </c>
      <c r="G44" s="10">
        <f>SUMIFS(tblBase[Valor_Total],tblBase[Transportadora],B44,tblBase[NF],C44,tblBase[Grupo_Status],"Em andamento")</f>
        <v/>
      </c>
      <c r="H44" t="inlineStr">
        <is>
          <t>Saiu para entrega</t>
        </is>
      </c>
      <c r="O44">
        <f>IF(B44="Braspress",HYPERLINK("https://www.braspress.com.br/site/w/tracking/search?cnpj="&amp;Parametros!$P$4&amp;"&amp;documentType=NOTAFISCAL&amp;numero="&amp;C44,"Abrir rastreio"),"")</f>
        <v/>
      </c>
    </row>
    <row r="45">
      <c r="A45">
        <f>B45&amp;"|"&amp;C45</f>
        <v/>
      </c>
      <c r="B45" t="inlineStr">
        <is>
          <t>CargoMax</t>
        </is>
      </c>
      <c r="C45" t="n">
        <v>123</v>
      </c>
      <c r="D45" t="n">
        <v>10615</v>
      </c>
      <c r="E45" t="inlineStr">
        <is>
          <t>Brisa Técnica (10615)</t>
        </is>
      </c>
      <c r="F45">
        <f>SUMIFS(tblBase[QTD],tblBase[Transportadora],B45,tblBase[NF],C45,tblBase[Grupo_Status],"Em andamento")</f>
        <v/>
      </c>
      <c r="G45" s="10">
        <f>SUMIFS(tblBase[Valor_Total],tblBase[Transportadora],B45,tblBase[NF],C45,tblBase[Grupo_Status],"Em andamento")</f>
        <v/>
      </c>
      <c r="H45" t="inlineStr"/>
      <c r="O45">
        <f>IF(B45="Braspress",HYPERLINK("https://www.braspress.com.br/site/w/tracking/search?cnpj="&amp;Parametros!$P$4&amp;"&amp;documentType=NOTAFISCAL&amp;numero="&amp;C45,"Abrir rastreio"),"")</f>
        <v/>
      </c>
    </row>
    <row r="46">
      <c r="A46">
        <f>B46&amp;"|"&amp;C46</f>
        <v/>
      </c>
      <c r="B46" t="inlineStr">
        <is>
          <t>ViaCargo</t>
        </is>
      </c>
      <c r="C46" t="n">
        <v>137</v>
      </c>
      <c r="D46" t="n">
        <v>12724</v>
      </c>
      <c r="E46" t="inlineStr">
        <is>
          <t>Cool Service &amp; Cia (12724)</t>
        </is>
      </c>
      <c r="F46">
        <f>SUMIFS(tblBase[QTD],tblBase[Transportadora],B46,tblBase[NF],C46,tblBase[Grupo_Status],"Em andamento")</f>
        <v/>
      </c>
      <c r="G46" s="10">
        <f>SUMIFS(tblBase[Valor_Total],tblBase[Transportadora],B46,tblBase[NF],C46,tblBase[Grupo_Status],"Em andamento")</f>
        <v/>
      </c>
      <c r="H46" t="inlineStr">
        <is>
          <t>Em trânsito</t>
        </is>
      </c>
      <c r="O46">
        <f>IF(B46="Braspress",HYPERLINK("https://www.braspress.com.br/site/w/tracking/search?cnpj="&amp;Parametros!$P$4&amp;"&amp;documentType=NOTAFISCAL&amp;numero="&amp;C46,"Abrir rastreio"),"")</f>
        <v/>
      </c>
    </row>
    <row r="47">
      <c r="A47">
        <f>B47&amp;"|"&amp;C47</f>
        <v/>
      </c>
      <c r="B47" t="inlineStr">
        <is>
          <t>ViaCargo</t>
        </is>
      </c>
      <c r="C47" t="n">
        <v>128</v>
      </c>
      <c r="D47" t="n">
        <v>11726</v>
      </c>
      <c r="E47" t="inlineStr">
        <is>
          <t>Norte Frio Refrigeração (11726)</t>
        </is>
      </c>
      <c r="F47">
        <f>SUMIFS(tblBase[QTD],tblBase[Transportadora],B47,tblBase[NF],C47,tblBase[Grupo_Status],"Em andamento")</f>
        <v/>
      </c>
      <c r="G47" s="10">
        <f>SUMIFS(tblBase[Valor_Total],tblBase[Transportadora],B47,tblBase[NF],C47,tblBase[Grupo_Status],"Em andamento")</f>
        <v/>
      </c>
      <c r="H47" t="inlineStr">
        <is>
          <t>Em trânsito</t>
        </is>
      </c>
      <c r="O47">
        <f>IF(B47="Braspress",HYPERLINK("https://www.braspress.com.br/site/w/tracking/search?cnpj="&amp;Parametros!$P$4&amp;"&amp;documentType=NOTAFISCAL&amp;numero="&amp;C47,"Abrir rastreio"),"")</f>
        <v/>
      </c>
    </row>
    <row r="48">
      <c r="A48">
        <f>B48&amp;"|"&amp;C48</f>
        <v/>
      </c>
      <c r="B48" t="inlineStr">
        <is>
          <t>RotaSul</t>
        </is>
      </c>
      <c r="C48" t="n">
        <v>126</v>
      </c>
      <c r="D48" t="n">
        <v>10302</v>
      </c>
      <c r="E48" t="inlineStr">
        <is>
          <t>Ice Tech Express (10302)</t>
        </is>
      </c>
      <c r="F48">
        <f>SUMIFS(tblBase[QTD],tblBase[Transportadora],B48,tblBase[NF],C48,tblBase[Grupo_Status],"Em andamento")</f>
        <v/>
      </c>
      <c r="G48" s="10">
        <f>SUMIFS(tblBase[Valor_Total],tblBase[Transportadora],B48,tblBase[NF],C48,tblBase[Grupo_Status],"Em andamento")</f>
        <v/>
      </c>
      <c r="H48" t="inlineStr">
        <is>
          <t>Em trânsito</t>
        </is>
      </c>
      <c r="O48">
        <f>IF(B48="Braspress",HYPERLINK("https://www.braspress.com.br/site/w/tracking/search?cnpj="&amp;Parametros!$P$4&amp;"&amp;documentType=NOTAFISCAL&amp;numero="&amp;C48,"Abrir rastreio"),"")</f>
        <v/>
      </c>
    </row>
    <row r="49">
      <c r="A49">
        <f>B49&amp;"|"&amp;C49</f>
        <v/>
      </c>
      <c r="B49" t="inlineStr">
        <is>
          <t>LogExpress</t>
        </is>
      </c>
      <c r="C49" t="n">
        <v>132</v>
      </c>
      <c r="D49" t="n">
        <v>10227</v>
      </c>
      <c r="E49" t="inlineStr">
        <is>
          <t>Assistência Técnica ME (10227)</t>
        </is>
      </c>
      <c r="F49">
        <f>SUMIFS(tblBase[QTD],tblBase[Transportadora],B49,tblBase[NF],C49,tblBase[Grupo_Status],"Em andamento")</f>
        <v/>
      </c>
      <c r="G49" s="10">
        <f>SUMIFS(tblBase[Valor_Total],tblBase[Transportadora],B49,tblBase[NF],C49,tblBase[Grupo_Status],"Em andamento")</f>
        <v/>
      </c>
      <c r="H49" t="inlineStr">
        <is>
          <t>Saiu para entrega</t>
        </is>
      </c>
      <c r="O49">
        <f>IF(B49="Braspress",HYPERLINK("https://www.braspress.com.br/site/w/tracking/search?cnpj="&amp;Parametros!$P$4&amp;"&amp;documentType=NOTAFISCAL&amp;numero="&amp;C49,"Abrir rastreio"),"")</f>
        <v/>
      </c>
    </row>
    <row r="50">
      <c r="A50">
        <f>B50&amp;"|"&amp;C50</f>
        <v/>
      </c>
      <c r="B50" t="inlineStr">
        <is>
          <t>TransNorte</t>
        </is>
      </c>
      <c r="C50" t="n">
        <v>164</v>
      </c>
      <c r="D50" t="n">
        <v>12089</v>
      </c>
      <c r="E50" t="inlineStr">
        <is>
          <t>Termotec Serviços (12089)</t>
        </is>
      </c>
      <c r="F50">
        <f>SUMIFS(tblBase[QTD],tblBase[Transportadora],B50,tblBase[NF],C50,tblBase[Grupo_Status],"Em andamento")</f>
        <v/>
      </c>
      <c r="G50" s="10">
        <f>SUMIFS(tblBase[Valor_Total],tblBase[Transportadora],B50,tblBase[NF],C50,tblBase[Grupo_Status],"Em andamento")</f>
        <v/>
      </c>
      <c r="H50" t="inlineStr">
        <is>
          <t>Saiu para entrega</t>
        </is>
      </c>
      <c r="O50">
        <f>IF(B50="Braspress",HYPERLINK("https://www.braspress.com.br/site/w/tracking/search?cnpj="&amp;Parametros!$P$4&amp;"&amp;documentType=NOTAFISCAL&amp;numero="&amp;C50,"Abrir rastreio"),"")</f>
        <v/>
      </c>
    </row>
    <row r="51">
      <c r="A51">
        <f>B51&amp;"|"&amp;C51</f>
        <v/>
      </c>
      <c r="B51" t="inlineStr">
        <is>
          <t>RotaSul</t>
        </is>
      </c>
      <c r="C51" t="n">
        <v>117</v>
      </c>
      <c r="D51" t="n">
        <v>10504</v>
      </c>
      <c r="E51" t="inlineStr">
        <is>
          <t>Zero Grau Ltda (10504)</t>
        </is>
      </c>
      <c r="F51">
        <f>SUMIFS(tblBase[QTD],tblBase[Transportadora],B51,tblBase[NF],C51,tblBase[Grupo_Status],"Em andamento")</f>
        <v/>
      </c>
      <c r="G51" s="10">
        <f>SUMIFS(tblBase[Valor_Total],tblBase[Transportadora],B51,tblBase[NF],C51,tblBase[Grupo_Status],"Em andamento")</f>
        <v/>
      </c>
      <c r="H51" t="inlineStr"/>
      <c r="O51">
        <f>IF(B51="Braspress",HYPERLINK("https://www.braspress.com.br/site/w/tracking/search?cnpj="&amp;Parametros!$P$4&amp;"&amp;documentType=NOTAFISCAL&amp;numero="&amp;C51,"Abrir rastreio"),"")</f>
        <v/>
      </c>
    </row>
    <row r="52">
      <c r="A52">
        <f>B52&amp;"|"&amp;C52</f>
        <v/>
      </c>
      <c r="B52" t="inlineStr">
        <is>
          <t>CargoMax</t>
        </is>
      </c>
      <c r="C52" t="n">
        <v>138</v>
      </c>
      <c r="D52" t="n">
        <v>11494</v>
      </c>
      <c r="E52" t="inlineStr">
        <is>
          <t>Clima Técnica (11494)</t>
        </is>
      </c>
      <c r="F52">
        <f>SUMIFS(tblBase[QTD],tblBase[Transportadora],B52,tblBase[NF],C52,tblBase[Grupo_Status],"Em andamento")</f>
        <v/>
      </c>
      <c r="G52" s="10">
        <f>SUMIFS(tblBase[Valor_Total],tblBase[Transportadora],B52,tblBase[NF],C52,tblBase[Grupo_Status],"Em andamento")</f>
        <v/>
      </c>
      <c r="H52" t="inlineStr">
        <is>
          <t>Em trânsito</t>
        </is>
      </c>
      <c r="O52">
        <f>IF(B52="Braspress",HYPERLINK("https://www.braspress.com.br/site/w/tracking/search?cnpj="&amp;Parametros!$P$4&amp;"&amp;documentType=NOTAFISCAL&amp;numero="&amp;C52,"Abrir rastreio"),"")</f>
        <v/>
      </c>
    </row>
    <row r="53">
      <c r="A53">
        <f>B53&amp;"|"&amp;C53</f>
        <v/>
      </c>
      <c r="B53" t="inlineStr">
        <is>
          <t>LogExpress</t>
        </is>
      </c>
      <c r="C53" t="n">
        <v>174</v>
      </c>
      <c r="D53" t="n">
        <v>11726</v>
      </c>
      <c r="E53" t="inlineStr">
        <is>
          <t>Norte Frio Refrigeração (11726)</t>
        </is>
      </c>
      <c r="F53">
        <f>SUMIFS(tblBase[QTD],tblBase[Transportadora],B53,tblBase[NF],C53,tblBase[Grupo_Status],"Em andamento")</f>
        <v/>
      </c>
      <c r="G53" s="10">
        <f>SUMIFS(tblBase[Valor_Total],tblBase[Transportadora],B53,tblBase[NF],C53,tblBase[Grupo_Status],"Em andamento")</f>
        <v/>
      </c>
      <c r="H53" t="inlineStr">
        <is>
          <t>Saiu para entrega</t>
        </is>
      </c>
      <c r="O53">
        <f>IF(B53="Braspress",HYPERLINK("https://www.braspress.com.br/site/w/tracking/search?cnpj="&amp;Parametros!$P$4&amp;"&amp;documentType=NOTAFISCAL&amp;numero="&amp;C53,"Abrir rastreio"),"")</f>
        <v/>
      </c>
    </row>
    <row r="54">
      <c r="A54">
        <f>B54&amp;"|"&amp;C54</f>
        <v/>
      </c>
      <c r="B54" t="inlineStr">
        <is>
          <t>LogExpress</t>
        </is>
      </c>
      <c r="C54" t="n">
        <v>103</v>
      </c>
      <c r="D54" t="n">
        <v>12007</v>
      </c>
      <c r="E54" t="inlineStr">
        <is>
          <t>Refrigel Ltda (12007)</t>
        </is>
      </c>
      <c r="F54">
        <f>SUMIFS(tblBase[QTD],tblBase[Transportadora],B54,tblBase[NF],C54,tblBase[Grupo_Status],"Em andamento")</f>
        <v/>
      </c>
      <c r="G54" s="10">
        <f>SUMIFS(tblBase[Valor_Total],tblBase[Transportadora],B54,tblBase[NF],C54,tblBase[Grupo_Status],"Em andamento")</f>
        <v/>
      </c>
      <c r="H54" t="inlineStr"/>
      <c r="O54">
        <f>IF(B54="Braspress",HYPERLINK("https://www.braspress.com.br/site/w/tracking/search?cnpj="&amp;Parametros!$P$4&amp;"&amp;documentType=NOTAFISCAL&amp;numero="&amp;C54,"Abrir rastreio"),"")</f>
        <v/>
      </c>
    </row>
    <row r="55">
      <c r="A55">
        <f>B55&amp;"|"&amp;C55</f>
        <v/>
      </c>
      <c r="B55" t="inlineStr">
        <is>
          <t>RotaSul</t>
        </is>
      </c>
      <c r="C55" t="n">
        <v>111</v>
      </c>
      <c r="D55" t="n">
        <v>11099</v>
      </c>
      <c r="E55" t="inlineStr">
        <is>
          <t>Refrigel Serviços (11099)</t>
        </is>
      </c>
      <c r="F55">
        <f>SUMIFS(tblBase[QTD],tblBase[Transportadora],B55,tblBase[NF],C55,tblBase[Grupo_Status],"Em andamento")</f>
        <v/>
      </c>
      <c r="G55" s="10">
        <f>SUMIFS(tblBase[Valor_Total],tblBase[Transportadora],B55,tblBase[NF],C55,tblBase[Grupo_Status],"Em andamento")</f>
        <v/>
      </c>
      <c r="H55" t="inlineStr"/>
      <c r="O55">
        <f>IF(B55="Braspress",HYPERLINK("https://www.braspress.com.br/site/w/tracking/search?cnpj="&amp;Parametros!$P$4&amp;"&amp;documentType=NOTAFISCAL&amp;numero="&amp;C55,"Abrir rastreio"),"")</f>
        <v/>
      </c>
    </row>
    <row r="56">
      <c r="A56">
        <f>B56&amp;"|"&amp;C56</f>
        <v/>
      </c>
      <c r="B56" t="inlineStr">
        <is>
          <t>RotaSul</t>
        </is>
      </c>
      <c r="C56" t="n">
        <v>149</v>
      </c>
      <c r="D56" t="n">
        <v>12007</v>
      </c>
      <c r="E56" t="inlineStr">
        <is>
          <t>Refrigel Ltda (12007)</t>
        </is>
      </c>
      <c r="F56">
        <f>SUMIFS(tblBase[QTD],tblBase[Transportadora],B56,tblBase[NF],C56,tblBase[Grupo_Status],"Em andamento")</f>
        <v/>
      </c>
      <c r="G56" s="10">
        <f>SUMIFS(tblBase[Valor_Total],tblBase[Transportadora],B56,tblBase[NF],C56,tblBase[Grupo_Status],"Em andamento")</f>
        <v/>
      </c>
      <c r="H56" t="inlineStr">
        <is>
          <t>Em trânsito</t>
        </is>
      </c>
      <c r="O56">
        <f>IF(B56="Braspress",HYPERLINK("https://www.braspress.com.br/site/w/tracking/search?cnpj="&amp;Parametros!$P$4&amp;"&amp;documentType=NOTAFISCAL&amp;numero="&amp;C56,"Abrir rastreio"),"")</f>
        <v/>
      </c>
    </row>
    <row r="57">
      <c r="A57">
        <f>B57&amp;"|"&amp;C57</f>
        <v/>
      </c>
      <c r="B57" t="inlineStr">
        <is>
          <t>LogExpress</t>
        </is>
      </c>
      <c r="C57" t="n">
        <v>156</v>
      </c>
      <c r="D57" t="n">
        <v>11898</v>
      </c>
      <c r="E57" t="inlineStr">
        <is>
          <t>Refrigel Express (11898)</t>
        </is>
      </c>
      <c r="F57">
        <f>SUMIFS(tblBase[QTD],tblBase[Transportadora],B57,tblBase[NF],C57,tblBase[Grupo_Status],"Em andamento")</f>
        <v/>
      </c>
      <c r="G57" s="10">
        <f>SUMIFS(tblBase[Valor_Total],tblBase[Transportadora],B57,tblBase[NF],C57,tblBase[Grupo_Status],"Em andamento")</f>
        <v/>
      </c>
      <c r="H57" t="inlineStr">
        <is>
          <t>Em trânsito</t>
        </is>
      </c>
      <c r="O57">
        <f>IF(B57="Braspress",HYPERLINK("https://www.braspress.com.br/site/w/tracking/search?cnpj="&amp;Parametros!$P$4&amp;"&amp;documentType=NOTAFISCAL&amp;numero="&amp;C57,"Abrir rastreio"),"")</f>
        <v/>
      </c>
    </row>
    <row r="58">
      <c r="A58">
        <f>B58&amp;"|"&amp;C58</f>
        <v/>
      </c>
      <c r="B58" t="inlineStr">
        <is>
          <t>CargoMax</t>
        </is>
      </c>
      <c r="C58" t="n">
        <v>119</v>
      </c>
      <c r="D58" t="n">
        <v>10504</v>
      </c>
      <c r="E58" t="inlineStr">
        <is>
          <t>Zero Grau Ltda (10504)</t>
        </is>
      </c>
      <c r="F58">
        <f>SUMIFS(tblBase[QTD],tblBase[Transportadora],B58,tblBase[NF],C58,tblBase[Grupo_Status],"Em andamento")</f>
        <v/>
      </c>
      <c r="G58" s="10">
        <f>SUMIFS(tblBase[Valor_Total],tblBase[Transportadora],B58,tblBase[NF],C58,tblBase[Grupo_Status],"Em andamento")</f>
        <v/>
      </c>
      <c r="H58" t="inlineStr"/>
      <c r="O58">
        <f>IF(B58="Braspress",HYPERLINK("https://www.braspress.com.br/site/w/tracking/search?cnpj="&amp;Parametros!$P$4&amp;"&amp;documentType=NOTAFISCAL&amp;numero="&amp;C58,"Abrir rastreio"),"")</f>
        <v/>
      </c>
    </row>
    <row r="59">
      <c r="A59">
        <f>B59&amp;"|"&amp;C59</f>
        <v/>
      </c>
      <c r="B59" t="inlineStr">
        <is>
          <t>RotaSul</t>
        </is>
      </c>
      <c r="C59" t="n">
        <v>153</v>
      </c>
      <c r="D59" t="n">
        <v>12422</v>
      </c>
      <c r="E59" t="inlineStr">
        <is>
          <t>Assistência Técnica Refrigeração (12422)</t>
        </is>
      </c>
      <c r="F59">
        <f>SUMIFS(tblBase[QTD],tblBase[Transportadora],B59,tblBase[NF],C59,tblBase[Grupo_Status],"Em andamento")</f>
        <v/>
      </c>
      <c r="G59" s="10">
        <f>SUMIFS(tblBase[Valor_Total],tblBase[Transportadora],B59,tblBase[NF],C59,tblBase[Grupo_Status],"Em andamento")</f>
        <v/>
      </c>
      <c r="H59" t="inlineStr">
        <is>
          <t>Saiu para entrega</t>
        </is>
      </c>
      <c r="O59">
        <f>IF(B59="Braspress",HYPERLINK("https://www.braspress.com.br/site/w/tracking/search?cnpj="&amp;Parametros!$P$4&amp;"&amp;documentType=NOTAFISCAL&amp;numero="&amp;C59,"Abrir rastreio"),"")</f>
        <v/>
      </c>
    </row>
    <row r="60">
      <c r="A60">
        <f>B60&amp;"|"&amp;C60</f>
        <v/>
      </c>
      <c r="B60" t="inlineStr">
        <is>
          <t>CargoMax</t>
        </is>
      </c>
      <c r="C60" t="n">
        <v>162</v>
      </c>
      <c r="D60" t="n">
        <v>11352</v>
      </c>
      <c r="E60" t="inlineStr">
        <is>
          <t>Frio Express (11352)</t>
        </is>
      </c>
      <c r="F60">
        <f>SUMIFS(tblBase[QTD],tblBase[Transportadora],B60,tblBase[NF],C60,tblBase[Grupo_Status],"Em andamento")</f>
        <v/>
      </c>
      <c r="G60" s="10">
        <f>SUMIFS(tblBase[Valor_Total],tblBase[Transportadora],B60,tblBase[NF],C60,tblBase[Grupo_Status],"Em andamento")</f>
        <v/>
      </c>
      <c r="H60" t="inlineStr">
        <is>
          <t>Saiu para entrega</t>
        </is>
      </c>
      <c r="O60">
        <f>IF(B60="Braspress",HYPERLINK("https://www.braspress.com.br/site/w/tracking/search?cnpj="&amp;Parametros!$P$4&amp;"&amp;documentType=NOTAFISCAL&amp;numero="&amp;C60,"Abrir rastreio"),"")</f>
        <v/>
      </c>
    </row>
    <row r="61">
      <c r="A61">
        <f>B61&amp;"|"&amp;C61</f>
        <v/>
      </c>
      <c r="B61" t="inlineStr">
        <is>
          <t>ViaCargo</t>
        </is>
      </c>
      <c r="C61" t="n">
        <v>142</v>
      </c>
      <c r="D61" t="n">
        <v>11710</v>
      </c>
      <c r="E61" t="inlineStr">
        <is>
          <t>Brisa &amp; Cia (11710)</t>
        </is>
      </c>
      <c r="F61">
        <f>SUMIFS(tblBase[QTD],tblBase[Transportadora],B61,tblBase[NF],C61,tblBase[Grupo_Status],"Em andamento")</f>
        <v/>
      </c>
      <c r="G61" s="10">
        <f>SUMIFS(tblBase[Valor_Total],tblBase[Transportadora],B61,tblBase[NF],C61,tblBase[Grupo_Status],"Em andamento")</f>
        <v/>
      </c>
      <c r="H61" t="inlineStr">
        <is>
          <t>Saiu para entrega</t>
        </is>
      </c>
      <c r="O61">
        <f>IF(B61="Braspress",HYPERLINK("https://www.braspress.com.br/site/w/tracking/search?cnpj="&amp;Parametros!$P$4&amp;"&amp;documentType=NOTAFISCAL&amp;numero="&amp;C61,"Abrir rastreio"),"")</f>
        <v/>
      </c>
    </row>
    <row r="62">
      <c r="A62">
        <f>B62&amp;"|"&amp;C62</f>
        <v/>
      </c>
      <c r="B62" t="inlineStr">
        <is>
          <t>RotaSul</t>
        </is>
      </c>
      <c r="C62" t="n">
        <v>127</v>
      </c>
      <c r="D62" t="n">
        <v>12811</v>
      </c>
      <c r="E62" t="inlineStr">
        <is>
          <t>Norte Frio Técnica (12811)</t>
        </is>
      </c>
      <c r="F62">
        <f>SUMIFS(tblBase[QTD],tblBase[Transportadora],B62,tblBase[NF],C62,tblBase[Grupo_Status],"Em andamento")</f>
        <v/>
      </c>
      <c r="G62" s="10">
        <f>SUMIFS(tblBase[Valor_Total],tblBase[Transportadora],B62,tblBase[NF],C62,tblBase[Grupo_Status],"Em andamento")</f>
        <v/>
      </c>
      <c r="H62" t="inlineStr">
        <is>
          <t>Saiu para entrega</t>
        </is>
      </c>
      <c r="O62">
        <f>IF(B62="Braspress",HYPERLINK("https://www.braspress.com.br/site/w/tracking/search?cnpj="&amp;Parametros!$P$4&amp;"&amp;documentType=NOTAFISCAL&amp;numero="&amp;C62,"Abrir rastreio"),"")</f>
        <v/>
      </c>
    </row>
    <row r="63">
      <c r="A63">
        <f>B63&amp;"|"&amp;C63</f>
        <v/>
      </c>
      <c r="B63" t="inlineStr">
        <is>
          <t>ViaCargo</t>
        </is>
      </c>
      <c r="C63" t="n">
        <v>125</v>
      </c>
      <c r="D63" t="n">
        <v>12052</v>
      </c>
      <c r="E63" t="inlineStr">
        <is>
          <t>Brisa Refrigeração (12052)</t>
        </is>
      </c>
      <c r="F63">
        <f>SUMIFS(tblBase[QTD],tblBase[Transportadora],B63,tblBase[NF],C63,tblBase[Grupo_Status],"Em andamento")</f>
        <v/>
      </c>
      <c r="G63" s="10">
        <f>SUMIFS(tblBase[Valor_Total],tblBase[Transportadora],B63,tblBase[NF],C63,tblBase[Grupo_Status],"Em andamento")</f>
        <v/>
      </c>
      <c r="H63" t="inlineStr">
        <is>
          <t>Aguardando coleta</t>
        </is>
      </c>
      <c r="O63">
        <f>IF(B63="Braspress",HYPERLINK("https://www.braspress.com.br/site/w/tracking/search?cnpj="&amp;Parametros!$P$4&amp;"&amp;documentType=NOTAFISCAL&amp;numero="&amp;C63,"Abrir rastreio"),"")</f>
        <v/>
      </c>
    </row>
    <row r="64">
      <c r="A64">
        <f>B64&amp;"|"&amp;C64</f>
        <v/>
      </c>
      <c r="B64" t="inlineStr">
        <is>
          <t>ViaCargo</t>
        </is>
      </c>
      <c r="C64" t="n">
        <v>154</v>
      </c>
      <c r="D64" t="n">
        <v>10111</v>
      </c>
      <c r="E64" t="inlineStr">
        <is>
          <t>Refrigel Manutenção (10111)</t>
        </is>
      </c>
      <c r="F64">
        <f>SUMIFS(tblBase[QTD],tblBase[Transportadora],B64,tblBase[NF],C64,tblBase[Grupo_Status],"Em andamento")</f>
        <v/>
      </c>
      <c r="G64" s="10">
        <f>SUMIFS(tblBase[Valor_Total],tblBase[Transportadora],B64,tblBase[NF],C64,tblBase[Grupo_Status],"Em andamento")</f>
        <v/>
      </c>
      <c r="H64" t="inlineStr">
        <is>
          <t>Em trânsito</t>
        </is>
      </c>
      <c r="O64">
        <f>IF(B64="Braspress",HYPERLINK("https://www.braspress.com.br/site/w/tracking/search?cnpj="&amp;Parametros!$P$4&amp;"&amp;documentType=NOTAFISCAL&amp;numero="&amp;C64,"Abrir rastreio"),"")</f>
        <v/>
      </c>
    </row>
    <row r="65">
      <c r="A65">
        <f>B65&amp;"|"&amp;C65</f>
        <v/>
      </c>
      <c r="B65" t="inlineStr">
        <is>
          <t>TransNorte</t>
        </is>
      </c>
      <c r="C65" t="n">
        <v>109</v>
      </c>
      <c r="D65" t="n">
        <v>10753</v>
      </c>
      <c r="E65" t="inlineStr">
        <is>
          <t>Refrigel &amp; Cia (10753)</t>
        </is>
      </c>
      <c r="F65">
        <f>SUMIFS(tblBase[QTD],tblBase[Transportadora],B65,tblBase[NF],C65,tblBase[Grupo_Status],"Em andamento")</f>
        <v/>
      </c>
      <c r="G65" s="10">
        <f>SUMIFS(tblBase[Valor_Total],tblBase[Transportadora],B65,tblBase[NF],C65,tblBase[Grupo_Status],"Em andamento")</f>
        <v/>
      </c>
      <c r="H65" t="inlineStr">
        <is>
          <t>Em trânsito</t>
        </is>
      </c>
      <c r="O65">
        <f>IF(B65="Braspress",HYPERLINK("https://www.braspress.com.br/site/w/tracking/search?cnpj="&amp;Parametros!$P$4&amp;"&amp;documentType=NOTAFISCAL&amp;numero="&amp;C65,"Abrir rastreio"),"")</f>
        <v/>
      </c>
    </row>
    <row r="66">
      <c r="A66">
        <f>B66&amp;"|"&amp;C66</f>
        <v/>
      </c>
      <c r="B66" t="inlineStr">
        <is>
          <t>ViaCargo</t>
        </is>
      </c>
      <c r="C66" t="n">
        <v>135</v>
      </c>
      <c r="D66" t="n">
        <v>10615</v>
      </c>
      <c r="E66" t="inlineStr">
        <is>
          <t>Brisa Técnica (10615)</t>
        </is>
      </c>
      <c r="F66">
        <f>SUMIFS(tblBase[QTD],tblBase[Transportadora],B66,tblBase[NF],C66,tblBase[Grupo_Status],"Em andamento")</f>
        <v/>
      </c>
      <c r="G66" s="10">
        <f>SUMIFS(tblBase[Valor_Total],tblBase[Transportadora],B66,tblBase[NF],C66,tblBase[Grupo_Status],"Em andamento")</f>
        <v/>
      </c>
      <c r="H66" t="inlineStr">
        <is>
          <t>Aguardando coleta</t>
        </is>
      </c>
      <c r="O66">
        <f>IF(B66="Braspress",HYPERLINK("https://www.braspress.com.br/site/w/tracking/search?cnpj="&amp;Parametros!$P$4&amp;"&amp;documentType=NOTAFISCAL&amp;numero="&amp;C66,"Abrir rastreio"),"")</f>
        <v/>
      </c>
    </row>
    <row r="67">
      <c r="A67">
        <f>B67&amp;"|"&amp;C67</f>
        <v/>
      </c>
      <c r="B67" t="inlineStr">
        <is>
          <t>EntregaJá</t>
        </is>
      </c>
      <c r="C67" t="n">
        <v>160</v>
      </c>
      <c r="D67" t="n">
        <v>11494</v>
      </c>
      <c r="E67" t="inlineStr">
        <is>
          <t>Clima Técnica (11494)</t>
        </is>
      </c>
      <c r="F67">
        <f>SUMIFS(tblBase[QTD],tblBase[Transportadora],B67,tblBase[NF],C67,tblBase[Grupo_Status],"Em andamento")</f>
        <v/>
      </c>
      <c r="G67" s="10">
        <f>SUMIFS(tblBase[Valor_Total],tblBase[Transportadora],B67,tblBase[NF],C67,tblBase[Grupo_Status],"Em andamento")</f>
        <v/>
      </c>
      <c r="H67" t="inlineStr">
        <is>
          <t>Em trânsito</t>
        </is>
      </c>
      <c r="O67">
        <f>IF(B67="Braspress",HYPERLINK("https://www.braspress.com.br/site/w/tracking/search?cnpj="&amp;Parametros!$P$4&amp;"&amp;documentType=NOTAFISCAL&amp;numero="&amp;C67,"Abrir rastreio"),"")</f>
        <v/>
      </c>
    </row>
    <row r="68">
      <c r="A68">
        <f>B68&amp;"|"&amp;C68</f>
        <v/>
      </c>
      <c r="B68" t="inlineStr">
        <is>
          <t>TransNorte</t>
        </is>
      </c>
      <c r="C68" t="n">
        <v>116</v>
      </c>
      <c r="D68" t="n">
        <v>12280</v>
      </c>
      <c r="E68" t="inlineStr">
        <is>
          <t>Termotec &amp; Cia (12280)</t>
        </is>
      </c>
      <c r="F68">
        <f>SUMIFS(tblBase[QTD],tblBase[Transportadora],B68,tblBase[NF],C68,tblBase[Grupo_Status],"Em andamento")</f>
        <v/>
      </c>
      <c r="G68" s="10">
        <f>SUMIFS(tblBase[Valor_Total],tblBase[Transportadora],B68,tblBase[NF],C68,tblBase[Grupo_Status],"Em andamento")</f>
        <v/>
      </c>
      <c r="H68" t="inlineStr"/>
      <c r="O68">
        <f>IF(B68="Braspress",HYPERLINK("https://www.braspress.com.br/site/w/tracking/search?cnpj="&amp;Parametros!$P$4&amp;"&amp;documentType=NOTAFISCAL&amp;numero="&amp;C68,"Abrir rastreio"),"")</f>
        <v/>
      </c>
    </row>
    <row r="69">
      <c r="A69">
        <f>B69&amp;"|"&amp;C69</f>
        <v/>
      </c>
      <c r="B69" t="inlineStr">
        <is>
          <t>LogExpress</t>
        </is>
      </c>
      <c r="C69" t="n">
        <v>126</v>
      </c>
      <c r="D69" t="n">
        <v>11099</v>
      </c>
      <c r="E69" t="inlineStr">
        <is>
          <t>Refrigel Serviços (11099)</t>
        </is>
      </c>
      <c r="F69">
        <f>SUMIFS(tblBase[QTD],tblBase[Transportadora],B69,tblBase[NF],C69,tblBase[Grupo_Status],"Em andamento")</f>
        <v/>
      </c>
      <c r="G69" s="10">
        <f>SUMIFS(tblBase[Valor_Total],tblBase[Transportadora],B69,tblBase[NF],C69,tblBase[Grupo_Status],"Em andamento")</f>
        <v/>
      </c>
      <c r="H69" t="inlineStr">
        <is>
          <t>Em trânsito</t>
        </is>
      </c>
      <c r="O69">
        <f>IF(B69="Braspress",HYPERLINK("https://www.braspress.com.br/site/w/tracking/search?cnpj="&amp;Parametros!$P$4&amp;"&amp;documentType=NOTAFISCAL&amp;numero="&amp;C69,"Abrir rastreio"),"")</f>
        <v/>
      </c>
    </row>
    <row r="70">
      <c r="A70">
        <f>B70&amp;"|"&amp;C70</f>
        <v/>
      </c>
      <c r="B70" t="inlineStr">
        <is>
          <t>TransNorte</t>
        </is>
      </c>
      <c r="C70" t="n">
        <v>127</v>
      </c>
      <c r="D70" t="n">
        <v>11986</v>
      </c>
      <c r="E70" t="inlineStr">
        <is>
          <t>Polar Serviços (11986)</t>
        </is>
      </c>
      <c r="F70">
        <f>SUMIFS(tblBase[QTD],tblBase[Transportadora],B70,tblBase[NF],C70,tblBase[Grupo_Status],"Em andamento")</f>
        <v/>
      </c>
      <c r="G70" s="10">
        <f>SUMIFS(tblBase[Valor_Total],tblBase[Transportadora],B70,tblBase[NF],C70,tblBase[Grupo_Status],"Em andamento")</f>
        <v/>
      </c>
      <c r="H70" t="inlineStr">
        <is>
          <t>Aguardando coleta</t>
        </is>
      </c>
      <c r="O70">
        <f>IF(B70="Braspress",HYPERLINK("https://www.braspress.com.br/site/w/tracking/search?cnpj="&amp;Parametros!$P$4&amp;"&amp;documentType=NOTAFISCAL&amp;numero="&amp;C70,"Abrir rastreio"),"")</f>
        <v/>
      </c>
    </row>
    <row r="71">
      <c r="A71">
        <f>B71&amp;"|"&amp;C71</f>
        <v/>
      </c>
      <c r="B71" t="inlineStr">
        <is>
          <t>RotaSul</t>
        </is>
      </c>
      <c r="C71" t="n">
        <v>122</v>
      </c>
      <c r="D71" t="n">
        <v>11487</v>
      </c>
      <c r="E71" t="inlineStr">
        <is>
          <t>Assistência Técnica Manutenção (11487)</t>
        </is>
      </c>
      <c r="F71">
        <f>SUMIFS(tblBase[QTD],tblBase[Transportadora],B71,tblBase[NF],C71,tblBase[Grupo_Status],"Em andamento")</f>
        <v/>
      </c>
      <c r="G71" s="10">
        <f>SUMIFS(tblBase[Valor_Total],tblBase[Transportadora],B71,tblBase[NF],C71,tblBase[Grupo_Status],"Em andamento")</f>
        <v/>
      </c>
      <c r="H71" t="inlineStr"/>
      <c r="O71">
        <f>IF(B71="Braspress",HYPERLINK("https://www.braspress.com.br/site/w/tracking/search?cnpj="&amp;Parametros!$P$4&amp;"&amp;documentType=NOTAFISCAL&amp;numero="&amp;C71,"Abrir rastreio"),"")</f>
        <v/>
      </c>
    </row>
    <row r="72">
      <c r="A72">
        <f>B72&amp;"|"&amp;C72</f>
        <v/>
      </c>
      <c r="B72" t="inlineStr">
        <is>
          <t>ViaCargo</t>
        </is>
      </c>
      <c r="C72" t="n">
        <v>121</v>
      </c>
      <c r="D72" t="n">
        <v>11741</v>
      </c>
      <c r="E72" t="inlineStr">
        <is>
          <t>Clima Refrigeração (11741)</t>
        </is>
      </c>
      <c r="F72">
        <f>SUMIFS(tblBase[QTD],tblBase[Transportadora],B72,tblBase[NF],C72,tblBase[Grupo_Status],"Em andamento")</f>
        <v/>
      </c>
      <c r="G72" s="10">
        <f>SUMIFS(tblBase[Valor_Total],tblBase[Transportadora],B72,tblBase[NF],C72,tblBase[Grupo_Status],"Em andamento")</f>
        <v/>
      </c>
      <c r="H72" t="inlineStr">
        <is>
          <t>Saiu para entrega</t>
        </is>
      </c>
      <c r="O72">
        <f>IF(B72="Braspress",HYPERLINK("https://www.braspress.com.br/site/w/tracking/search?cnpj="&amp;Parametros!$P$4&amp;"&amp;documentType=NOTAFISCAL&amp;numero="&amp;C72,"Abrir rastreio"),"")</f>
        <v/>
      </c>
    </row>
    <row r="73">
      <c r="A73">
        <f>B73&amp;"|"&amp;C73</f>
        <v/>
      </c>
      <c r="B73" t="inlineStr">
        <is>
          <t>EntregaJá</t>
        </is>
      </c>
      <c r="C73" t="n">
        <v>138</v>
      </c>
      <c r="D73" t="n">
        <v>12689</v>
      </c>
      <c r="E73" t="inlineStr">
        <is>
          <t>Norte Frio Manutenção (12689)</t>
        </is>
      </c>
      <c r="F73">
        <f>SUMIFS(tblBase[QTD],tblBase[Transportadora],B73,tblBase[NF],C73,tblBase[Grupo_Status],"Em andamento")</f>
        <v/>
      </c>
      <c r="G73" s="10">
        <f>SUMIFS(tblBase[Valor_Total],tblBase[Transportadora],B73,tblBase[NF],C73,tblBase[Grupo_Status],"Em andamento")</f>
        <v/>
      </c>
      <c r="H73" t="inlineStr">
        <is>
          <t>Em trânsito</t>
        </is>
      </c>
      <c r="O73">
        <f>IF(B73="Braspress",HYPERLINK("https://www.braspress.com.br/site/w/tracking/search?cnpj="&amp;Parametros!$P$4&amp;"&amp;documentType=NOTAFISCAL&amp;numero="&amp;C73,"Abrir rastreio"),"")</f>
        <v/>
      </c>
    </row>
    <row r="74">
      <c r="A74">
        <f>B74&amp;"|"&amp;C74</f>
        <v/>
      </c>
      <c r="B74" t="inlineStr">
        <is>
          <t>TransNorte</t>
        </is>
      </c>
      <c r="C74" t="n">
        <v>128</v>
      </c>
      <c r="D74" t="n">
        <v>10021</v>
      </c>
      <c r="E74" t="inlineStr">
        <is>
          <t>Termotec Técnica (10021)</t>
        </is>
      </c>
      <c r="F74">
        <f>SUMIFS(tblBase[QTD],tblBase[Transportadora],B74,tblBase[NF],C74,tblBase[Grupo_Status],"Em andamento")</f>
        <v/>
      </c>
      <c r="G74" s="10">
        <f>SUMIFS(tblBase[Valor_Total],tblBase[Transportadora],B74,tblBase[NF],C74,tblBase[Grupo_Status],"Em andamento")</f>
        <v/>
      </c>
      <c r="H74" t="inlineStr">
        <is>
          <t>Aguardando coleta</t>
        </is>
      </c>
      <c r="O74">
        <f>IF(B74="Braspress",HYPERLINK("https://www.braspress.com.br/site/w/tracking/search?cnpj="&amp;Parametros!$P$4&amp;"&amp;documentType=NOTAFISCAL&amp;numero="&amp;C74,"Abrir rastreio"),"")</f>
        <v/>
      </c>
    </row>
    <row r="75">
      <c r="A75">
        <f>B75&amp;"|"&amp;C75</f>
        <v/>
      </c>
      <c r="B75" t="inlineStr">
        <is>
          <t>EntregaJá</t>
        </is>
      </c>
      <c r="C75" t="n">
        <v>150</v>
      </c>
      <c r="D75" t="n">
        <v>12724</v>
      </c>
      <c r="E75" t="inlineStr">
        <is>
          <t>Cool Service &amp; Cia (12724)</t>
        </is>
      </c>
      <c r="F75">
        <f>SUMIFS(tblBase[QTD],tblBase[Transportadora],B75,tblBase[NF],C75,tblBase[Grupo_Status],"Em andamento")</f>
        <v/>
      </c>
      <c r="G75" s="10">
        <f>SUMIFS(tblBase[Valor_Total],tblBase[Transportadora],B75,tblBase[NF],C75,tblBase[Grupo_Status],"Em andamento")</f>
        <v/>
      </c>
      <c r="H75" t="inlineStr">
        <is>
          <t>Saiu para entrega</t>
        </is>
      </c>
      <c r="O75">
        <f>IF(B75="Braspress",HYPERLINK("https://www.braspress.com.br/site/w/tracking/search?cnpj="&amp;Parametros!$P$4&amp;"&amp;documentType=NOTAFISCAL&amp;numero="&amp;C75,"Abrir rastreio"),"")</f>
        <v/>
      </c>
    </row>
    <row r="76">
      <c r="A76">
        <f>B76&amp;"|"&amp;C76</f>
        <v/>
      </c>
      <c r="B76" t="inlineStr">
        <is>
          <t>RotaSul</t>
        </is>
      </c>
      <c r="C76" t="n">
        <v>177</v>
      </c>
      <c r="D76" t="n">
        <v>11352</v>
      </c>
      <c r="E76" t="inlineStr">
        <is>
          <t>Frio Express (11352)</t>
        </is>
      </c>
      <c r="F76">
        <f>SUMIFS(tblBase[QTD],tblBase[Transportadora],B76,tblBase[NF],C76,tblBase[Grupo_Status],"Em andamento")</f>
        <v/>
      </c>
      <c r="G76" s="10">
        <f>SUMIFS(tblBase[Valor_Total],tblBase[Transportadora],B76,tblBase[NF],C76,tblBase[Grupo_Status],"Em andamento")</f>
        <v/>
      </c>
      <c r="H76" t="inlineStr">
        <is>
          <t>Em trânsito</t>
        </is>
      </c>
      <c r="O76">
        <f>IF(B76="Braspress",HYPERLINK("https://www.braspress.com.br/site/w/tracking/search?cnpj="&amp;Parametros!$P$4&amp;"&amp;documentType=NOTAFISCAL&amp;numero="&amp;C76,"Abrir rastreio"),"")</f>
        <v/>
      </c>
    </row>
    <row r="77">
      <c r="A77">
        <f>B77&amp;"|"&amp;C77</f>
        <v/>
      </c>
      <c r="B77" t="inlineStr">
        <is>
          <t>RotaSul</t>
        </is>
      </c>
      <c r="C77" t="n">
        <v>169</v>
      </c>
      <c r="D77" t="n">
        <v>10913</v>
      </c>
      <c r="E77" t="inlineStr">
        <is>
          <t>Ice Tech &amp; Cia (10913)</t>
        </is>
      </c>
      <c r="F77">
        <f>SUMIFS(tblBase[QTD],tblBase[Transportadora],B77,tblBase[NF],C77,tblBase[Grupo_Status],"Em andamento")</f>
        <v/>
      </c>
      <c r="G77" s="10">
        <f>SUMIFS(tblBase[Valor_Total],tblBase[Transportadora],B77,tblBase[NF],C77,tblBase[Grupo_Status],"Em andamento")</f>
        <v/>
      </c>
      <c r="H77" t="inlineStr">
        <is>
          <t>Em trânsito</t>
        </is>
      </c>
      <c r="O77">
        <f>IF(B77="Braspress",HYPERLINK("https://www.braspress.com.br/site/w/tracking/search?cnpj="&amp;Parametros!$P$4&amp;"&amp;documentType=NOTAFISCAL&amp;numero="&amp;C77,"Abrir rastreio"),"")</f>
        <v/>
      </c>
    </row>
    <row r="78">
      <c r="A78">
        <f>B78&amp;"|"&amp;C78</f>
        <v/>
      </c>
      <c r="B78" t="inlineStr">
        <is>
          <t>TransNorte</t>
        </is>
      </c>
      <c r="C78" t="n">
        <v>165</v>
      </c>
      <c r="D78" t="n">
        <v>11726</v>
      </c>
      <c r="E78" t="inlineStr">
        <is>
          <t>Norte Frio Refrigeração (11726)</t>
        </is>
      </c>
      <c r="F78">
        <f>SUMIFS(tblBase[QTD],tblBase[Transportadora],B78,tblBase[NF],C78,tblBase[Grupo_Status],"Em andamento")</f>
        <v/>
      </c>
      <c r="G78" s="10">
        <f>SUMIFS(tblBase[Valor_Total],tblBase[Transportadora],B78,tblBase[NF],C78,tblBase[Grupo_Status],"Em andamento")</f>
        <v/>
      </c>
      <c r="H78" t="inlineStr">
        <is>
          <t>Aguardando coleta</t>
        </is>
      </c>
      <c r="O78">
        <f>IF(B78="Braspress",HYPERLINK("https://www.braspress.com.br/site/w/tracking/search?cnpj="&amp;Parametros!$P$4&amp;"&amp;documentType=NOTAFISCAL&amp;numero="&amp;C78,"Abrir rastreio"),"")</f>
        <v/>
      </c>
    </row>
    <row r="79">
      <c r="A79">
        <f>B79&amp;"|"&amp;C79</f>
        <v/>
      </c>
      <c r="B79" t="inlineStr">
        <is>
          <t>ViaCargo</t>
        </is>
      </c>
      <c r="C79" t="n">
        <v>160</v>
      </c>
      <c r="D79" t="n">
        <v>12007</v>
      </c>
      <c r="E79" t="inlineStr">
        <is>
          <t>Refrigel Ltda (12007)</t>
        </is>
      </c>
      <c r="F79">
        <f>SUMIFS(tblBase[QTD],tblBase[Transportadora],B79,tblBase[NF],C79,tblBase[Grupo_Status],"Em andamento")</f>
        <v/>
      </c>
      <c r="G79" s="10">
        <f>SUMIFS(tblBase[Valor_Total],tblBase[Transportadora],B79,tblBase[NF],C79,tblBase[Grupo_Status],"Em andamento")</f>
        <v/>
      </c>
      <c r="H79" t="inlineStr">
        <is>
          <t>Saiu para entrega</t>
        </is>
      </c>
      <c r="O79">
        <f>IF(B79="Braspress",HYPERLINK("https://www.braspress.com.br/site/w/tracking/search?cnpj="&amp;Parametros!$P$4&amp;"&amp;documentType=NOTAFISCAL&amp;numero="&amp;C79,"Abrir rastreio"),"")</f>
        <v/>
      </c>
    </row>
    <row r="80">
      <c r="A80">
        <f>B80&amp;"|"&amp;C80</f>
        <v/>
      </c>
      <c r="B80" t="inlineStr">
        <is>
          <t>TransNorte</t>
        </is>
      </c>
      <c r="C80" t="n">
        <v>163</v>
      </c>
      <c r="D80" t="n">
        <v>10302</v>
      </c>
      <c r="E80" t="inlineStr">
        <is>
          <t>Ice Tech Express (10302)</t>
        </is>
      </c>
      <c r="F80">
        <f>SUMIFS(tblBase[QTD],tblBase[Transportadora],B80,tblBase[NF],C80,tblBase[Grupo_Status],"Em andamento")</f>
        <v/>
      </c>
      <c r="G80" s="10">
        <f>SUMIFS(tblBase[Valor_Total],tblBase[Transportadora],B80,tblBase[NF],C80,tblBase[Grupo_Status],"Em andamento")</f>
        <v/>
      </c>
      <c r="H80" t="inlineStr">
        <is>
          <t>Em trânsito</t>
        </is>
      </c>
      <c r="O80">
        <f>IF(B80="Braspress",HYPERLINK("https://www.braspress.com.br/site/w/tracking/search?cnpj="&amp;Parametros!$P$4&amp;"&amp;documentType=NOTAFISCAL&amp;numero="&amp;C80,"Abrir rastreio"),"")</f>
        <v/>
      </c>
    </row>
    <row r="81">
      <c r="A81">
        <f>B81&amp;"|"&amp;C81</f>
        <v/>
      </c>
      <c r="B81" t="inlineStr">
        <is>
          <t>RotaSul</t>
        </is>
      </c>
      <c r="C81" t="n">
        <v>141</v>
      </c>
      <c r="D81" t="n">
        <v>10676</v>
      </c>
      <c r="E81" t="inlineStr">
        <is>
          <t>Clima Serviços (10676)</t>
        </is>
      </c>
      <c r="F81">
        <f>SUMIFS(tblBase[QTD],tblBase[Transportadora],B81,tblBase[NF],C81,tblBase[Grupo_Status],"Em andamento")</f>
        <v/>
      </c>
      <c r="G81" s="10">
        <f>SUMIFS(tblBase[Valor_Total],tblBase[Transportadora],B81,tblBase[NF],C81,tblBase[Grupo_Status],"Em andamento")</f>
        <v/>
      </c>
      <c r="H81" t="inlineStr"/>
      <c r="O81">
        <f>IF(B81="Braspress",HYPERLINK("https://www.braspress.com.br/site/w/tracking/search?cnpj="&amp;Parametros!$P$4&amp;"&amp;documentType=NOTAFISCAL&amp;numero="&amp;C81,"Abrir rastreio"),"")</f>
        <v/>
      </c>
    </row>
    <row r="82">
      <c r="A82">
        <f>B82&amp;"|"&amp;C82</f>
        <v/>
      </c>
      <c r="B82" t="inlineStr">
        <is>
          <t>EntregaJá</t>
        </is>
      </c>
      <c r="C82" t="n">
        <v>121</v>
      </c>
      <c r="D82" t="n">
        <v>12052</v>
      </c>
      <c r="E82" t="inlineStr">
        <is>
          <t>Brisa Refrigeração (12052)</t>
        </is>
      </c>
      <c r="F82">
        <f>SUMIFS(tblBase[QTD],tblBase[Transportadora],B82,tblBase[NF],C82,tblBase[Grupo_Status],"Em andamento")</f>
        <v/>
      </c>
      <c r="G82" s="10">
        <f>SUMIFS(tblBase[Valor_Total],tblBase[Transportadora],B82,tblBase[NF],C82,tblBase[Grupo_Status],"Em andamento")</f>
        <v/>
      </c>
      <c r="H82" t="inlineStr">
        <is>
          <t>Aguardando coleta</t>
        </is>
      </c>
      <c r="O82">
        <f>IF(B82="Braspress",HYPERLINK("https://www.braspress.com.br/site/w/tracking/search?cnpj="&amp;Parametros!$P$4&amp;"&amp;documentType=NOTAFISCAL&amp;numero="&amp;C82,"Abrir rastreio"),"")</f>
        <v/>
      </c>
    </row>
    <row r="83">
      <c r="A83">
        <f>B83&amp;"|"&amp;C83</f>
        <v/>
      </c>
      <c r="B83" t="inlineStr">
        <is>
          <t>TransNorte</t>
        </is>
      </c>
      <c r="C83" t="n">
        <v>158</v>
      </c>
      <c r="D83" t="n">
        <v>12052</v>
      </c>
      <c r="E83" t="inlineStr">
        <is>
          <t>Brisa Refrigeração (12052)</t>
        </is>
      </c>
      <c r="F83">
        <f>SUMIFS(tblBase[QTD],tblBase[Transportadora],B83,tblBase[NF],C83,tblBase[Grupo_Status],"Em andamento")</f>
        <v/>
      </c>
      <c r="G83" s="10">
        <f>SUMIFS(tblBase[Valor_Total],tblBase[Transportadora],B83,tblBase[NF],C83,tblBase[Grupo_Status],"Em andamento")</f>
        <v/>
      </c>
      <c r="H83" t="inlineStr">
        <is>
          <t>Saiu para entrega</t>
        </is>
      </c>
      <c r="O83">
        <f>IF(B83="Braspress",HYPERLINK("https://www.braspress.com.br/site/w/tracking/search?cnpj="&amp;Parametros!$P$4&amp;"&amp;documentType=NOTAFISCAL&amp;numero="&amp;C83,"Abrir rastreio"),"")</f>
        <v/>
      </c>
    </row>
    <row r="84">
      <c r="A84">
        <f>B84&amp;"|"&amp;C84</f>
        <v/>
      </c>
      <c r="B84" t="inlineStr">
        <is>
          <t>TransNorte</t>
        </is>
      </c>
      <c r="C84" t="n">
        <v>153</v>
      </c>
      <c r="D84" t="n">
        <v>11162</v>
      </c>
      <c r="E84" t="inlineStr">
        <is>
          <t>Ártico Refrigeração (11162)</t>
        </is>
      </c>
      <c r="F84">
        <f>SUMIFS(tblBase[QTD],tblBase[Transportadora],B84,tblBase[NF],C84,tblBase[Grupo_Status],"Em andamento")</f>
        <v/>
      </c>
      <c r="G84" s="10">
        <f>SUMIFS(tblBase[Valor_Total],tblBase[Transportadora],B84,tblBase[NF],C84,tblBase[Grupo_Status],"Em andamento")</f>
        <v/>
      </c>
      <c r="H84" t="inlineStr">
        <is>
          <t>Em trânsito</t>
        </is>
      </c>
      <c r="O84">
        <f>IF(B84="Braspress",HYPERLINK("https://www.braspress.com.br/site/w/tracking/search?cnpj="&amp;Parametros!$P$4&amp;"&amp;documentType=NOTAFISCAL&amp;numero="&amp;C84,"Abrir rastreio"),"")</f>
        <v/>
      </c>
    </row>
    <row r="85">
      <c r="A85">
        <f>B85&amp;"|"&amp;C85</f>
        <v/>
      </c>
      <c r="B85" t="inlineStr">
        <is>
          <t>LogExpress</t>
        </is>
      </c>
      <c r="C85" t="n">
        <v>167</v>
      </c>
      <c r="D85" t="n">
        <v>11726</v>
      </c>
      <c r="E85" t="inlineStr">
        <is>
          <t>Norte Frio Refrigeração (11726)</t>
        </is>
      </c>
      <c r="F85">
        <f>SUMIFS(tblBase[QTD],tblBase[Transportadora],B85,tblBase[NF],C85,tblBase[Grupo_Status],"Em andamento")</f>
        <v/>
      </c>
      <c r="G85" s="10">
        <f>SUMIFS(tblBase[Valor_Total],tblBase[Transportadora],B85,tblBase[NF],C85,tblBase[Grupo_Status],"Em andamento")</f>
        <v/>
      </c>
      <c r="H85" t="inlineStr"/>
      <c r="O85">
        <f>IF(B85="Braspress",HYPERLINK("https://www.braspress.com.br/site/w/tracking/search?cnpj="&amp;Parametros!$P$4&amp;"&amp;documentType=NOTAFISCAL&amp;numero="&amp;C85,"Abrir rastreio"),"")</f>
        <v/>
      </c>
    </row>
    <row r="86">
      <c r="A86">
        <f>B86&amp;"|"&amp;C86</f>
        <v/>
      </c>
      <c r="B86" t="inlineStr">
        <is>
          <t>EntregaJá</t>
        </is>
      </c>
      <c r="C86" t="n">
        <v>118</v>
      </c>
      <c r="D86" t="n">
        <v>12470</v>
      </c>
      <c r="E86" t="inlineStr">
        <is>
          <t>Cool Service Técnica (12470)</t>
        </is>
      </c>
      <c r="F86">
        <f>SUMIFS(tblBase[QTD],tblBase[Transportadora],B86,tblBase[NF],C86,tblBase[Grupo_Status],"Em andamento")</f>
        <v/>
      </c>
      <c r="G86" s="10">
        <f>SUMIFS(tblBase[Valor_Total],tblBase[Transportadora],B86,tblBase[NF],C86,tblBase[Grupo_Status],"Em andamento")</f>
        <v/>
      </c>
      <c r="H86" t="inlineStr">
        <is>
          <t>Saiu para entrega</t>
        </is>
      </c>
      <c r="O86">
        <f>IF(B86="Braspress",HYPERLINK("https://www.braspress.com.br/site/w/tracking/search?cnpj="&amp;Parametros!$P$4&amp;"&amp;documentType=NOTAFISCAL&amp;numero="&amp;C86,"Abrir rastreio"),"")</f>
        <v/>
      </c>
    </row>
    <row r="87">
      <c r="A87">
        <f>B87&amp;"|"&amp;C87</f>
        <v/>
      </c>
      <c r="B87" t="inlineStr">
        <is>
          <t>EntregaJá</t>
        </is>
      </c>
      <c r="C87" t="n">
        <v>102</v>
      </c>
      <c r="D87" t="n">
        <v>11710</v>
      </c>
      <c r="E87" t="inlineStr">
        <is>
          <t>Brisa &amp; Cia (11710)</t>
        </is>
      </c>
      <c r="F87">
        <f>SUMIFS(tblBase[QTD],tblBase[Transportadora],B87,tblBase[NF],C87,tblBase[Grupo_Status],"Em andamento")</f>
        <v/>
      </c>
      <c r="G87" s="10">
        <f>SUMIFS(tblBase[Valor_Total],tblBase[Transportadora],B87,tblBase[NF],C87,tblBase[Grupo_Status],"Em andamento")</f>
        <v/>
      </c>
      <c r="H87" t="inlineStr"/>
      <c r="O87">
        <f>IF(B87="Braspress",HYPERLINK("https://www.braspress.com.br/site/w/tracking/search?cnpj="&amp;Parametros!$P$4&amp;"&amp;documentType=NOTAFISCAL&amp;numero="&amp;C87,"Abrir rastreio"),"")</f>
        <v/>
      </c>
    </row>
    <row r="88">
      <c r="A88">
        <f>B88&amp;"|"&amp;C88</f>
        <v/>
      </c>
      <c r="B88" t="inlineStr">
        <is>
          <t>LogExpress</t>
        </is>
      </c>
      <c r="C88" t="n">
        <v>105</v>
      </c>
      <c r="D88" t="n">
        <v>10753</v>
      </c>
      <c r="E88" t="inlineStr">
        <is>
          <t>Refrigel &amp; Cia (10753)</t>
        </is>
      </c>
      <c r="F88">
        <f>SUMIFS(tblBase[QTD],tblBase[Transportadora],B88,tblBase[NF],C88,tblBase[Grupo_Status],"Em andamento")</f>
        <v/>
      </c>
      <c r="G88" s="10">
        <f>SUMIFS(tblBase[Valor_Total],tblBase[Transportadora],B88,tblBase[NF],C88,tblBase[Grupo_Status],"Em andamento")</f>
        <v/>
      </c>
      <c r="H88" t="inlineStr">
        <is>
          <t>Aguardando coleta</t>
        </is>
      </c>
      <c r="O88">
        <f>IF(B88="Braspress",HYPERLINK("https://www.braspress.com.br/site/w/tracking/search?cnpj="&amp;Parametros!$P$4&amp;"&amp;documentType=NOTAFISCAL&amp;numero="&amp;C88,"Abrir rastreio"),"")</f>
        <v/>
      </c>
    </row>
    <row r="89">
      <c r="A89">
        <f>B89&amp;"|"&amp;C89</f>
        <v/>
      </c>
      <c r="B89" t="inlineStr">
        <is>
          <t>LogExpress</t>
        </is>
      </c>
      <c r="C89" t="n">
        <v>165</v>
      </c>
      <c r="D89" t="n">
        <v>11059</v>
      </c>
      <c r="E89" t="inlineStr">
        <is>
          <t>Frio Ltda (11059)</t>
        </is>
      </c>
      <c r="F89">
        <f>SUMIFS(tblBase[QTD],tblBase[Transportadora],B89,tblBase[NF],C89,tblBase[Grupo_Status],"Em andamento")</f>
        <v/>
      </c>
      <c r="G89" s="10">
        <f>SUMIFS(tblBase[Valor_Total],tblBase[Transportadora],B89,tblBase[NF],C89,tblBase[Grupo_Status],"Em andamento")</f>
        <v/>
      </c>
      <c r="H89" t="inlineStr">
        <is>
          <t>Em trânsito</t>
        </is>
      </c>
      <c r="O89">
        <f>IF(B89="Braspress",HYPERLINK("https://www.braspress.com.br/site/w/tracking/search?cnpj="&amp;Parametros!$P$4&amp;"&amp;documentType=NOTAFISCAL&amp;numero="&amp;C89,"Abrir rastreio"),"")</f>
        <v/>
      </c>
    </row>
    <row r="90">
      <c r="A90">
        <f>B90&amp;"|"&amp;C90</f>
        <v/>
      </c>
      <c r="B90" t="inlineStr">
        <is>
          <t>ViaCargo</t>
        </is>
      </c>
      <c r="C90" t="n">
        <v>102</v>
      </c>
      <c r="D90" t="n">
        <v>12194</v>
      </c>
      <c r="E90" t="inlineStr">
        <is>
          <t>Polar &amp; Cia (12194)</t>
        </is>
      </c>
      <c r="F90">
        <f>SUMIFS(tblBase[QTD],tblBase[Transportadora],B90,tblBase[NF],C90,tblBase[Grupo_Status],"Em andamento")</f>
        <v/>
      </c>
      <c r="G90" s="10">
        <f>SUMIFS(tblBase[Valor_Total],tblBase[Transportadora],B90,tblBase[NF],C90,tblBase[Grupo_Status],"Em andamento")</f>
        <v/>
      </c>
      <c r="H90" t="inlineStr">
        <is>
          <t>Em trânsito</t>
        </is>
      </c>
      <c r="O90">
        <f>IF(B90="Braspress",HYPERLINK("https://www.braspress.com.br/site/w/tracking/search?cnpj="&amp;Parametros!$P$4&amp;"&amp;documentType=NOTAFISCAL&amp;numero="&amp;C90,"Abrir rastreio"),"")</f>
        <v/>
      </c>
    </row>
    <row r="91">
      <c r="A91">
        <f>B91&amp;"|"&amp;C91</f>
        <v/>
      </c>
      <c r="B91" t="inlineStr">
        <is>
          <t>TransNorte</t>
        </is>
      </c>
      <c r="C91" t="n">
        <v>150</v>
      </c>
      <c r="D91" t="n">
        <v>10676</v>
      </c>
      <c r="E91" t="inlineStr">
        <is>
          <t>Clima Serviços (10676)</t>
        </is>
      </c>
      <c r="F91">
        <f>SUMIFS(tblBase[QTD],tblBase[Transportadora],B91,tblBase[NF],C91,tblBase[Grupo_Status],"Em andamento")</f>
        <v/>
      </c>
      <c r="G91" s="10">
        <f>SUMIFS(tblBase[Valor_Total],tblBase[Transportadora],B91,tblBase[NF],C91,tblBase[Grupo_Status],"Em andamento")</f>
        <v/>
      </c>
      <c r="H91" t="inlineStr">
        <is>
          <t>Saiu para entrega</t>
        </is>
      </c>
      <c r="O91">
        <f>IF(B91="Braspress",HYPERLINK("https://www.braspress.com.br/site/w/tracking/search?cnpj="&amp;Parametros!$P$4&amp;"&amp;documentType=NOTAFISCAL&amp;numero="&amp;C91,"Abrir rastreio"),"")</f>
        <v/>
      </c>
    </row>
    <row r="92">
      <c r="A92">
        <f>B92&amp;"|"&amp;C92</f>
        <v/>
      </c>
      <c r="B92" t="inlineStr">
        <is>
          <t>CargoMax</t>
        </is>
      </c>
      <c r="C92" t="n">
        <v>164</v>
      </c>
      <c r="D92" t="n">
        <v>12336</v>
      </c>
      <c r="E92" t="inlineStr">
        <is>
          <t>Termotec ME (12336)</t>
        </is>
      </c>
      <c r="F92">
        <f>SUMIFS(tblBase[QTD],tblBase[Transportadora],B92,tblBase[NF],C92,tblBase[Grupo_Status],"Em andamento")</f>
        <v/>
      </c>
      <c r="G92" s="10">
        <f>SUMIFS(tblBase[Valor_Total],tblBase[Transportadora],B92,tblBase[NF],C92,tblBase[Grupo_Status],"Em andamento")</f>
        <v/>
      </c>
      <c r="H92" t="inlineStr">
        <is>
          <t>Aguardando coleta</t>
        </is>
      </c>
      <c r="O92">
        <f>IF(B92="Braspress",HYPERLINK("https://www.braspress.com.br/site/w/tracking/search?cnpj="&amp;Parametros!$P$4&amp;"&amp;documentType=NOTAFISCAL&amp;numero="&amp;C92,"Abrir rastreio"),"")</f>
        <v/>
      </c>
    </row>
    <row r="93">
      <c r="A93">
        <f>B93&amp;"|"&amp;C93</f>
        <v/>
      </c>
      <c r="B93" t="inlineStr">
        <is>
          <t>EntregaJá</t>
        </is>
      </c>
      <c r="C93" t="n">
        <v>156</v>
      </c>
      <c r="D93" t="n">
        <v>11396</v>
      </c>
      <c r="E93" t="inlineStr">
        <is>
          <t>Frio Manutenção (11396)</t>
        </is>
      </c>
      <c r="F93">
        <f>SUMIFS(tblBase[QTD],tblBase[Transportadora],B93,tblBase[NF],C93,tblBase[Grupo_Status],"Em andamento")</f>
        <v/>
      </c>
      <c r="G93" s="10">
        <f>SUMIFS(tblBase[Valor_Total],tblBase[Transportadora],B93,tblBase[NF],C93,tblBase[Grupo_Status],"Em andamento")</f>
        <v/>
      </c>
      <c r="H93" t="inlineStr">
        <is>
          <t>Em trânsito</t>
        </is>
      </c>
      <c r="O93">
        <f>IF(B93="Braspress",HYPERLINK("https://www.braspress.com.br/site/w/tracking/search?cnpj="&amp;Parametros!$P$4&amp;"&amp;documentType=NOTAFISCAL&amp;numero="&amp;C93,"Abrir rastreio"),"")</f>
        <v/>
      </c>
    </row>
    <row r="94">
      <c r="A94">
        <f>B94&amp;"|"&amp;C94</f>
        <v/>
      </c>
      <c r="B94" t="inlineStr">
        <is>
          <t>RotaSul</t>
        </is>
      </c>
      <c r="C94" t="n">
        <v>146</v>
      </c>
      <c r="D94" t="n">
        <v>10504</v>
      </c>
      <c r="E94" t="inlineStr">
        <is>
          <t>Zero Grau Ltda (10504)</t>
        </is>
      </c>
      <c r="F94">
        <f>SUMIFS(tblBase[QTD],tblBase[Transportadora],B94,tblBase[NF],C94,tblBase[Grupo_Status],"Em andamento")</f>
        <v/>
      </c>
      <c r="G94" s="10">
        <f>SUMIFS(tblBase[Valor_Total],tblBase[Transportadora],B94,tblBase[NF],C94,tblBase[Grupo_Status],"Em andamento")</f>
        <v/>
      </c>
      <c r="H94" t="inlineStr"/>
      <c r="O94">
        <f>IF(B94="Braspress",HYPERLINK("https://www.braspress.com.br/site/w/tracking/search?cnpj="&amp;Parametros!$P$4&amp;"&amp;documentType=NOTAFISCAL&amp;numero="&amp;C94,"Abrir rastreio"),"")</f>
        <v/>
      </c>
    </row>
    <row r="95">
      <c r="A95">
        <f>B95&amp;"|"&amp;C95</f>
        <v/>
      </c>
      <c r="B95" t="inlineStr">
        <is>
          <t>TransNorte</t>
        </is>
      </c>
      <c r="C95" t="n">
        <v>124</v>
      </c>
      <c r="D95" t="n">
        <v>12901</v>
      </c>
      <c r="E95" t="inlineStr">
        <is>
          <t>Frio Serviços (12901)</t>
        </is>
      </c>
      <c r="F95">
        <f>SUMIFS(tblBase[QTD],tblBase[Transportadora],B95,tblBase[NF],C95,tblBase[Grupo_Status],"Em andamento")</f>
        <v/>
      </c>
      <c r="G95" s="10">
        <f>SUMIFS(tblBase[Valor_Total],tblBase[Transportadora],B95,tblBase[NF],C95,tblBase[Grupo_Status],"Em andamento")</f>
        <v/>
      </c>
      <c r="H95" t="inlineStr">
        <is>
          <t>Aguardando coleta</t>
        </is>
      </c>
      <c r="O95">
        <f>IF(B95="Braspress",HYPERLINK("https://www.braspress.com.br/site/w/tracking/search?cnpj="&amp;Parametros!$P$4&amp;"&amp;documentType=NOTAFISCAL&amp;numero="&amp;C95,"Abrir rastreio"),"")</f>
        <v/>
      </c>
    </row>
    <row r="96">
      <c r="A96">
        <f>B96&amp;"|"&amp;C96</f>
        <v/>
      </c>
      <c r="B96" t="inlineStr">
        <is>
          <t>RotaSul</t>
        </is>
      </c>
      <c r="C96" t="n">
        <v>156</v>
      </c>
      <c r="D96" t="n">
        <v>10172</v>
      </c>
      <c r="E96" t="inlineStr">
        <is>
          <t>Frigo Serviços (10172)</t>
        </is>
      </c>
      <c r="F96">
        <f>SUMIFS(tblBase[QTD],tblBase[Transportadora],B96,tblBase[NF],C96,tblBase[Grupo_Status],"Em andamento")</f>
        <v/>
      </c>
      <c r="G96" s="10">
        <f>SUMIFS(tblBase[Valor_Total],tblBase[Transportadora],B96,tblBase[NF],C96,tblBase[Grupo_Status],"Em andamento")</f>
        <v/>
      </c>
      <c r="H96" t="inlineStr">
        <is>
          <t>Aguardando coleta</t>
        </is>
      </c>
      <c r="O96">
        <f>IF(B96="Braspress",HYPERLINK("https://www.braspress.com.br/site/w/tracking/search?cnpj="&amp;Parametros!$P$4&amp;"&amp;documentType=NOTAFISCAL&amp;numero="&amp;C96,"Abrir rastreio"),"")</f>
        <v/>
      </c>
    </row>
    <row r="97">
      <c r="A97">
        <f>B97&amp;"|"&amp;C97</f>
        <v/>
      </c>
      <c r="B97" t="inlineStr">
        <is>
          <t>CargoMax</t>
        </is>
      </c>
      <c r="C97" t="n">
        <v>112</v>
      </c>
      <c r="D97" t="n">
        <v>11365</v>
      </c>
      <c r="E97" t="inlineStr">
        <is>
          <t>Ártico Express (11365)</t>
        </is>
      </c>
      <c r="F97">
        <f>SUMIFS(tblBase[QTD],tblBase[Transportadora],B97,tblBase[NF],C97,tblBase[Grupo_Status],"Em andamento")</f>
        <v/>
      </c>
      <c r="G97" s="10">
        <f>SUMIFS(tblBase[Valor_Total],tblBase[Transportadora],B97,tblBase[NF],C97,tblBase[Grupo_Status],"Em andamento")</f>
        <v/>
      </c>
      <c r="H97" t="inlineStr"/>
      <c r="O97">
        <f>IF(B97="Braspress",HYPERLINK("https://www.braspress.com.br/site/w/tracking/search?cnpj="&amp;Parametros!$P$4&amp;"&amp;documentType=NOTAFISCAL&amp;numero="&amp;C97,"Abrir rastreio"),"")</f>
        <v/>
      </c>
    </row>
    <row r="98">
      <c r="A98">
        <f>B98&amp;"|"&amp;C98</f>
        <v/>
      </c>
      <c r="B98" t="inlineStr">
        <is>
          <t>EntregaJá</t>
        </is>
      </c>
      <c r="C98" t="n">
        <v>161</v>
      </c>
      <c r="D98" t="n">
        <v>12138</v>
      </c>
      <c r="E98" t="inlineStr">
        <is>
          <t>Refrigeração Serviços (12138)</t>
        </is>
      </c>
      <c r="F98">
        <f>SUMIFS(tblBase[QTD],tblBase[Transportadora],B98,tblBase[NF],C98,tblBase[Grupo_Status],"Em andamento")</f>
        <v/>
      </c>
      <c r="G98" s="10">
        <f>SUMIFS(tblBase[Valor_Total],tblBase[Transportadora],B98,tblBase[NF],C98,tblBase[Grupo_Status],"Em andamento")</f>
        <v/>
      </c>
      <c r="H98" t="inlineStr">
        <is>
          <t>Saiu para entrega</t>
        </is>
      </c>
      <c r="O98">
        <f>IF(B98="Braspress",HYPERLINK("https://www.braspress.com.br/site/w/tracking/search?cnpj="&amp;Parametros!$P$4&amp;"&amp;documentType=NOTAFISCAL&amp;numero="&amp;C98,"Abrir rastreio"),"")</f>
        <v/>
      </c>
    </row>
    <row r="99">
      <c r="A99">
        <f>B99&amp;"|"&amp;C99</f>
        <v/>
      </c>
      <c r="B99" t="inlineStr">
        <is>
          <t>ViaCargo</t>
        </is>
      </c>
      <c r="C99" t="n">
        <v>153</v>
      </c>
      <c r="D99" t="n">
        <v>10317</v>
      </c>
      <c r="E99" t="inlineStr">
        <is>
          <t>Termotec Manutenção (10317)</t>
        </is>
      </c>
      <c r="F99">
        <f>SUMIFS(tblBase[QTD],tblBase[Transportadora],B99,tblBase[NF],C99,tblBase[Grupo_Status],"Em andamento")</f>
        <v/>
      </c>
      <c r="G99" s="10">
        <f>SUMIFS(tblBase[Valor_Total],tblBase[Transportadora],B99,tblBase[NF],C99,tblBase[Grupo_Status],"Em andamento")</f>
        <v/>
      </c>
      <c r="H99" t="inlineStr">
        <is>
          <t>Em trânsito</t>
        </is>
      </c>
      <c r="O99">
        <f>IF(B99="Braspress",HYPERLINK("https://www.braspress.com.br/site/w/tracking/search?cnpj="&amp;Parametros!$P$4&amp;"&amp;documentType=NOTAFISCAL&amp;numero="&amp;C99,"Abrir rastreio"),"")</f>
        <v/>
      </c>
    </row>
    <row r="100">
      <c r="A100">
        <f>B100&amp;"|"&amp;C100</f>
        <v/>
      </c>
      <c r="B100" t="inlineStr">
        <is>
          <t>ViaCargo</t>
        </is>
      </c>
      <c r="C100" t="n">
        <v>143</v>
      </c>
      <c r="D100" t="n">
        <v>12724</v>
      </c>
      <c r="E100" t="inlineStr">
        <is>
          <t>Cool Service &amp; Cia (12724)</t>
        </is>
      </c>
      <c r="F100">
        <f>SUMIFS(tblBase[QTD],tblBase[Transportadora],B100,tblBase[NF],C100,tblBase[Grupo_Status],"Em andamento")</f>
        <v/>
      </c>
      <c r="G100" s="10">
        <f>SUMIFS(tblBase[Valor_Total],tblBase[Transportadora],B100,tblBase[NF],C100,tblBase[Grupo_Status],"Em andamento")</f>
        <v/>
      </c>
      <c r="H100" t="inlineStr">
        <is>
          <t>Em trânsito</t>
        </is>
      </c>
      <c r="O100">
        <f>IF(B100="Braspress",HYPERLINK("https://www.braspress.com.br/site/w/tracking/search?cnpj="&amp;Parametros!$P$4&amp;"&amp;documentType=NOTAFISCAL&amp;numero="&amp;C100,"Abrir rastreio"),"")</f>
        <v/>
      </c>
    </row>
    <row r="101">
      <c r="A101">
        <f>B101&amp;"|"&amp;C101</f>
        <v/>
      </c>
      <c r="B101" t="inlineStr">
        <is>
          <t>EntregaJá</t>
        </is>
      </c>
      <c r="C101" t="n">
        <v>148</v>
      </c>
      <c r="D101" t="n">
        <v>12811</v>
      </c>
      <c r="E101" t="inlineStr">
        <is>
          <t>Norte Frio Técnica (12811)</t>
        </is>
      </c>
      <c r="F101">
        <f>SUMIFS(tblBase[QTD],tblBase[Transportadora],B101,tblBase[NF],C101,tblBase[Grupo_Status],"Em andamento")</f>
        <v/>
      </c>
      <c r="G101" s="10">
        <f>SUMIFS(tblBase[Valor_Total],tblBase[Transportadora],B101,tblBase[NF],C101,tblBase[Grupo_Status],"Em andamento")</f>
        <v/>
      </c>
      <c r="H101" t="inlineStr">
        <is>
          <t>Em trânsito</t>
        </is>
      </c>
      <c r="O101">
        <f>IF(B101="Braspress",HYPERLINK("https://www.braspress.com.br/site/w/tracking/search?cnpj="&amp;Parametros!$P$4&amp;"&amp;documentType=NOTAFISCAL&amp;numero="&amp;C101,"Abrir rastreio"),"")</f>
        <v/>
      </c>
    </row>
    <row r="102">
      <c r="A102">
        <f>B102&amp;"|"&amp;C102</f>
        <v/>
      </c>
      <c r="B102" t="inlineStr">
        <is>
          <t>RotaSul</t>
        </is>
      </c>
      <c r="C102" t="n">
        <v>178</v>
      </c>
      <c r="D102" t="n">
        <v>11898</v>
      </c>
      <c r="E102" t="inlineStr">
        <is>
          <t>Refrigel Express (11898)</t>
        </is>
      </c>
      <c r="F102">
        <f>SUMIFS(tblBase[QTD],tblBase[Transportadora],B102,tblBase[NF],C102,tblBase[Grupo_Status],"Em andamento")</f>
        <v/>
      </c>
      <c r="G102" s="10">
        <f>SUMIFS(tblBase[Valor_Total],tblBase[Transportadora],B102,tblBase[NF],C102,tblBase[Grupo_Status],"Em andamento")</f>
        <v/>
      </c>
      <c r="H102" t="inlineStr">
        <is>
          <t>Aguardando coleta</t>
        </is>
      </c>
      <c r="O102">
        <f>IF(B102="Braspress",HYPERLINK("https://www.braspress.com.br/site/w/tracking/search?cnpj="&amp;Parametros!$P$4&amp;"&amp;documentType=NOTAFISCAL&amp;numero="&amp;C102,"Abrir rastreio"),"")</f>
        <v/>
      </c>
    </row>
    <row r="103">
      <c r="A103">
        <f>B103&amp;"|"&amp;C103</f>
        <v/>
      </c>
      <c r="B103" t="inlineStr">
        <is>
          <t>EntregaJá</t>
        </is>
      </c>
      <c r="C103" t="n">
        <v>135</v>
      </c>
      <c r="D103" t="n">
        <v>12280</v>
      </c>
      <c r="E103" t="inlineStr">
        <is>
          <t>Termotec &amp; Cia (12280)</t>
        </is>
      </c>
      <c r="F103">
        <f>SUMIFS(tblBase[QTD],tblBase[Transportadora],B103,tblBase[NF],C103,tblBase[Grupo_Status],"Em andamento")</f>
        <v/>
      </c>
      <c r="G103" s="10">
        <f>SUMIFS(tblBase[Valor_Total],tblBase[Transportadora],B103,tblBase[NF],C103,tblBase[Grupo_Status],"Em andamento")</f>
        <v/>
      </c>
      <c r="H103" t="inlineStr">
        <is>
          <t>Saiu para entrega</t>
        </is>
      </c>
      <c r="O103">
        <f>IF(B103="Braspress",HYPERLINK("https://www.braspress.com.br/site/w/tracking/search?cnpj="&amp;Parametros!$P$4&amp;"&amp;documentType=NOTAFISCAL&amp;numero="&amp;C103,"Abrir rastreio"),"")</f>
        <v/>
      </c>
    </row>
    <row r="104">
      <c r="A104">
        <f>B104&amp;"|"&amp;C104</f>
        <v/>
      </c>
      <c r="B104" t="inlineStr">
        <is>
          <t>TransNorte</t>
        </is>
      </c>
      <c r="C104" t="n">
        <v>136</v>
      </c>
      <c r="D104" t="n">
        <v>12019</v>
      </c>
      <c r="E104" t="inlineStr">
        <is>
          <t>Ártico Serviços (12019)</t>
        </is>
      </c>
      <c r="F104">
        <f>SUMIFS(tblBase[QTD],tblBase[Transportadora],B104,tblBase[NF],C104,tblBase[Grupo_Status],"Em andamento")</f>
        <v/>
      </c>
      <c r="G104" s="10">
        <f>SUMIFS(tblBase[Valor_Total],tblBase[Transportadora],B104,tblBase[NF],C104,tblBase[Grupo_Status],"Em andamento")</f>
        <v/>
      </c>
      <c r="H104" t="inlineStr">
        <is>
          <t>Saiu para entrega</t>
        </is>
      </c>
      <c r="O104">
        <f>IF(B104="Braspress",HYPERLINK("https://www.braspress.com.br/site/w/tracking/search?cnpj="&amp;Parametros!$P$4&amp;"&amp;documentType=NOTAFISCAL&amp;numero="&amp;C104,"Abrir rastreio"),"")</f>
        <v/>
      </c>
    </row>
    <row r="105">
      <c r="A105">
        <f>B105&amp;"|"&amp;C105</f>
        <v/>
      </c>
      <c r="B105" t="inlineStr">
        <is>
          <t>RotaSul</t>
        </is>
      </c>
      <c r="C105" t="n">
        <v>167</v>
      </c>
      <c r="D105" t="n">
        <v>11099</v>
      </c>
      <c r="E105" t="inlineStr">
        <is>
          <t>Refrigel Serviços (11099)</t>
        </is>
      </c>
      <c r="F105">
        <f>SUMIFS(tblBase[QTD],tblBase[Transportadora],B105,tblBase[NF],C105,tblBase[Grupo_Status],"Em andamento")</f>
        <v/>
      </c>
      <c r="G105" s="10">
        <f>SUMIFS(tblBase[Valor_Total],tblBase[Transportadora],B105,tblBase[NF],C105,tblBase[Grupo_Status],"Em andamento")</f>
        <v/>
      </c>
      <c r="H105" t="inlineStr">
        <is>
          <t>Saiu para entrega</t>
        </is>
      </c>
      <c r="O105">
        <f>IF(B105="Braspress",HYPERLINK("https://www.braspress.com.br/site/w/tracking/search?cnpj="&amp;Parametros!$P$4&amp;"&amp;documentType=NOTAFISCAL&amp;numero="&amp;C105,"Abrir rastreio"),"")</f>
        <v/>
      </c>
    </row>
    <row r="106">
      <c r="A106">
        <f>B106&amp;"|"&amp;C106</f>
        <v/>
      </c>
      <c r="B106" t="inlineStr">
        <is>
          <t>CargoMax</t>
        </is>
      </c>
      <c r="C106" t="n">
        <v>115</v>
      </c>
      <c r="D106" t="n">
        <v>12007</v>
      </c>
      <c r="E106" t="inlineStr">
        <is>
          <t>Refrigel Ltda (12007)</t>
        </is>
      </c>
      <c r="F106">
        <f>SUMIFS(tblBase[QTD],tblBase[Transportadora],B106,tblBase[NF],C106,tblBase[Grupo_Status],"Em andamento")</f>
        <v/>
      </c>
      <c r="G106" s="10">
        <f>SUMIFS(tblBase[Valor_Total],tblBase[Transportadora],B106,tblBase[NF],C106,tblBase[Grupo_Status],"Em andamento")</f>
        <v/>
      </c>
      <c r="H106" t="inlineStr">
        <is>
          <t>Saiu para entrega</t>
        </is>
      </c>
      <c r="O106">
        <f>IF(B106="Braspress",HYPERLINK("https://www.braspress.com.br/site/w/tracking/search?cnpj="&amp;Parametros!$P$4&amp;"&amp;documentType=NOTAFISCAL&amp;numero="&amp;C106,"Abrir rastreio"),"")</f>
        <v/>
      </c>
    </row>
    <row r="107">
      <c r="A107">
        <f>B107&amp;"|"&amp;C107</f>
        <v/>
      </c>
      <c r="B107" t="inlineStr">
        <is>
          <t>RotaSul</t>
        </is>
      </c>
      <c r="C107" t="n">
        <v>125</v>
      </c>
      <c r="D107" t="n">
        <v>12724</v>
      </c>
      <c r="E107" t="inlineStr">
        <is>
          <t>Cool Service &amp; Cia (12724)</t>
        </is>
      </c>
      <c r="F107">
        <f>SUMIFS(tblBase[QTD],tblBase[Transportadora],B107,tblBase[NF],C107,tblBase[Grupo_Status],"Em andamento")</f>
        <v/>
      </c>
      <c r="G107" s="10">
        <f>SUMIFS(tblBase[Valor_Total],tblBase[Transportadora],B107,tblBase[NF],C107,tblBase[Grupo_Status],"Em andamento")</f>
        <v/>
      </c>
      <c r="H107" t="inlineStr">
        <is>
          <t>Em trânsito</t>
        </is>
      </c>
      <c r="O107">
        <f>IF(B107="Braspress",HYPERLINK("https://www.braspress.com.br/site/w/tracking/search?cnpj="&amp;Parametros!$P$4&amp;"&amp;documentType=NOTAFISCAL&amp;numero="&amp;C107,"Abrir rastreio"),"")</f>
        <v/>
      </c>
    </row>
    <row r="108">
      <c r="A108">
        <f>B108&amp;"|"&amp;C108</f>
        <v/>
      </c>
      <c r="B108" t="inlineStr">
        <is>
          <t>CargoMax</t>
        </is>
      </c>
      <c r="C108" t="n">
        <v>128</v>
      </c>
      <c r="D108" t="n">
        <v>10111</v>
      </c>
      <c r="E108" t="inlineStr">
        <is>
          <t>Refrigel Manutenção (10111)</t>
        </is>
      </c>
      <c r="F108">
        <f>SUMIFS(tblBase[QTD],tblBase[Transportadora],B108,tblBase[NF],C108,tblBase[Grupo_Status],"Em andamento")</f>
        <v/>
      </c>
      <c r="G108" s="10">
        <f>SUMIFS(tblBase[Valor_Total],tblBase[Transportadora],B108,tblBase[NF],C108,tblBase[Grupo_Status],"Em andamento")</f>
        <v/>
      </c>
      <c r="H108" t="inlineStr">
        <is>
          <t>Saiu para entrega</t>
        </is>
      </c>
      <c r="O108">
        <f>IF(B108="Braspress",HYPERLINK("https://www.braspress.com.br/site/w/tracking/search?cnpj="&amp;Parametros!$P$4&amp;"&amp;documentType=NOTAFISCAL&amp;numero="&amp;C108,"Abrir rastreio"),"")</f>
        <v/>
      </c>
    </row>
    <row r="109">
      <c r="A109">
        <f>B109&amp;"|"&amp;C109</f>
        <v/>
      </c>
      <c r="B109" t="inlineStr">
        <is>
          <t>EntregaJá</t>
        </is>
      </c>
      <c r="C109" t="n">
        <v>127</v>
      </c>
      <c r="D109" t="n">
        <v>11059</v>
      </c>
      <c r="E109" t="inlineStr">
        <is>
          <t>Frio Ltda (11059)</t>
        </is>
      </c>
      <c r="F109">
        <f>SUMIFS(tblBase[QTD],tblBase[Transportadora],B109,tblBase[NF],C109,tblBase[Grupo_Status],"Em andamento")</f>
        <v/>
      </c>
      <c r="G109" s="10">
        <f>SUMIFS(tblBase[Valor_Total],tblBase[Transportadora],B109,tblBase[NF],C109,tblBase[Grupo_Status],"Em andamento")</f>
        <v/>
      </c>
      <c r="H109" t="inlineStr">
        <is>
          <t>Saiu para entrega</t>
        </is>
      </c>
      <c r="O109">
        <f>IF(B109="Braspress",HYPERLINK("https://www.braspress.com.br/site/w/tracking/search?cnpj="&amp;Parametros!$P$4&amp;"&amp;documentType=NOTAFISCAL&amp;numero="&amp;C109,"Abrir rastreio"),"")</f>
        <v/>
      </c>
    </row>
    <row r="110">
      <c r="A110">
        <f>B110&amp;"|"&amp;C110</f>
        <v/>
      </c>
      <c r="B110" t="inlineStr">
        <is>
          <t>ViaCargo</t>
        </is>
      </c>
      <c r="C110" t="n">
        <v>104</v>
      </c>
      <c r="D110" t="n">
        <v>10913</v>
      </c>
      <c r="E110" t="inlineStr">
        <is>
          <t>Ice Tech &amp; Cia (10913)</t>
        </is>
      </c>
      <c r="F110">
        <f>SUMIFS(tblBase[QTD],tblBase[Transportadora],B110,tblBase[NF],C110,tblBase[Grupo_Status],"Em andamento")</f>
        <v/>
      </c>
      <c r="G110" s="10">
        <f>SUMIFS(tblBase[Valor_Total],tblBase[Transportadora],B110,tblBase[NF],C110,tblBase[Grupo_Status],"Em andamento")</f>
        <v/>
      </c>
      <c r="H110" t="inlineStr">
        <is>
          <t>Saiu para entrega</t>
        </is>
      </c>
      <c r="O110">
        <f>IF(B110="Braspress",HYPERLINK("https://www.braspress.com.br/site/w/tracking/search?cnpj="&amp;Parametros!$P$4&amp;"&amp;documentType=NOTAFISCAL&amp;numero="&amp;C110,"Abrir rastreio"),"")</f>
        <v/>
      </c>
    </row>
    <row r="111">
      <c r="A111">
        <f>B111&amp;"|"&amp;C111</f>
        <v/>
      </c>
      <c r="B111" t="inlineStr">
        <is>
          <t>CargoMax</t>
        </is>
      </c>
      <c r="C111" t="n">
        <v>153</v>
      </c>
      <c r="D111" t="n">
        <v>10111</v>
      </c>
      <c r="E111" t="inlineStr">
        <is>
          <t>Refrigel Manutenção (10111)</t>
        </is>
      </c>
      <c r="F111">
        <f>SUMIFS(tblBase[QTD],tblBase[Transportadora],B111,tblBase[NF],C111,tblBase[Grupo_Status],"Em andamento")</f>
        <v/>
      </c>
      <c r="G111" s="10">
        <f>SUMIFS(tblBase[Valor_Total],tblBase[Transportadora],B111,tblBase[NF],C111,tblBase[Grupo_Status],"Em andamento")</f>
        <v/>
      </c>
      <c r="H111" t="inlineStr">
        <is>
          <t>Saiu para entrega</t>
        </is>
      </c>
      <c r="O111">
        <f>IF(B111="Braspress",HYPERLINK("https://www.braspress.com.br/site/w/tracking/search?cnpj="&amp;Parametros!$P$4&amp;"&amp;documentType=NOTAFISCAL&amp;numero="&amp;C111,"Abrir rastreio"),"")</f>
        <v/>
      </c>
    </row>
    <row r="112">
      <c r="A112">
        <f>B112&amp;"|"&amp;C112</f>
        <v/>
      </c>
      <c r="B112" t="inlineStr">
        <is>
          <t>TransNorte</t>
        </is>
      </c>
      <c r="C112" t="n">
        <v>155</v>
      </c>
      <c r="D112" t="n">
        <v>11494</v>
      </c>
      <c r="E112" t="inlineStr">
        <is>
          <t>Clima Técnica (11494)</t>
        </is>
      </c>
      <c r="F112">
        <f>SUMIFS(tblBase[QTD],tblBase[Transportadora],B112,tblBase[NF],C112,tblBase[Grupo_Status],"Em andamento")</f>
        <v/>
      </c>
      <c r="G112" s="10">
        <f>SUMIFS(tblBase[Valor_Total],tblBase[Transportadora],B112,tblBase[NF],C112,tblBase[Grupo_Status],"Em andamento")</f>
        <v/>
      </c>
      <c r="H112" t="inlineStr">
        <is>
          <t>Saiu para entrega</t>
        </is>
      </c>
      <c r="O112">
        <f>IF(B112="Braspress",HYPERLINK("https://www.braspress.com.br/site/w/tracking/search?cnpj="&amp;Parametros!$P$4&amp;"&amp;documentType=NOTAFISCAL&amp;numero="&amp;C112,"Abrir rastreio"),"")</f>
        <v/>
      </c>
    </row>
    <row r="113">
      <c r="A113">
        <f>B113&amp;"|"&amp;C113</f>
        <v/>
      </c>
      <c r="B113" t="inlineStr">
        <is>
          <t>CargoMax</t>
        </is>
      </c>
      <c r="C113" t="n">
        <v>156</v>
      </c>
      <c r="D113" t="n">
        <v>11710</v>
      </c>
      <c r="E113" t="inlineStr">
        <is>
          <t>Brisa &amp; Cia (11710)</t>
        </is>
      </c>
      <c r="F113">
        <f>SUMIFS(tblBase[QTD],tblBase[Transportadora],B113,tblBase[NF],C113,tblBase[Grupo_Status],"Em andamento")</f>
        <v/>
      </c>
      <c r="G113" s="10">
        <f>SUMIFS(tblBase[Valor_Total],tblBase[Transportadora],B113,tblBase[NF],C113,tblBase[Grupo_Status],"Em andamento")</f>
        <v/>
      </c>
      <c r="H113" t="inlineStr">
        <is>
          <t>Aguardando coleta</t>
        </is>
      </c>
      <c r="O113">
        <f>IF(B113="Braspress",HYPERLINK("https://www.braspress.com.br/site/w/tracking/search?cnpj="&amp;Parametros!$P$4&amp;"&amp;documentType=NOTAFISCAL&amp;numero="&amp;C113,"Abrir rastreio"),"")</f>
        <v/>
      </c>
    </row>
    <row r="114">
      <c r="A114">
        <f>B114&amp;"|"&amp;C114</f>
        <v/>
      </c>
      <c r="B114" t="inlineStr">
        <is>
          <t>CargoMax</t>
        </is>
      </c>
      <c r="C114" t="n">
        <v>100</v>
      </c>
      <c r="D114" t="n">
        <v>10615</v>
      </c>
      <c r="E114" t="inlineStr">
        <is>
          <t>Brisa Técnica (10615)</t>
        </is>
      </c>
      <c r="F114">
        <f>SUMIFS(tblBase[QTD],tblBase[Transportadora],B114,tblBase[NF],C114,tblBase[Grupo_Status],"Em andamento")</f>
        <v/>
      </c>
      <c r="G114" s="10">
        <f>SUMIFS(tblBase[Valor_Total],tblBase[Transportadora],B114,tblBase[NF],C114,tblBase[Grupo_Status],"Em andamento")</f>
        <v/>
      </c>
      <c r="H114" t="inlineStr"/>
      <c r="O114">
        <f>IF(B114="Braspress",HYPERLINK("https://www.braspress.com.br/site/w/tracking/search?cnpj="&amp;Parametros!$P$4&amp;"&amp;documentType=NOTAFISCAL&amp;numero="&amp;C114,"Abrir rastreio"),"")</f>
        <v/>
      </c>
    </row>
    <row r="115">
      <c r="A115">
        <f>B115&amp;"|"&amp;C115</f>
        <v/>
      </c>
      <c r="B115" t="inlineStr">
        <is>
          <t>CargoMax</t>
        </is>
      </c>
      <c r="C115" t="n">
        <v>157</v>
      </c>
      <c r="D115" t="n">
        <v>11710</v>
      </c>
      <c r="E115" t="inlineStr">
        <is>
          <t>Brisa &amp; Cia (11710)</t>
        </is>
      </c>
      <c r="F115">
        <f>SUMIFS(tblBase[QTD],tblBase[Transportadora],B115,tblBase[NF],C115,tblBase[Grupo_Status],"Em andamento")</f>
        <v/>
      </c>
      <c r="G115" s="10">
        <f>SUMIFS(tblBase[Valor_Total],tblBase[Transportadora],B115,tblBase[NF],C115,tblBase[Grupo_Status],"Em andamento")</f>
        <v/>
      </c>
      <c r="H115" t="inlineStr">
        <is>
          <t>Em trânsito</t>
        </is>
      </c>
      <c r="O115">
        <f>IF(B115="Braspress",HYPERLINK("https://www.braspress.com.br/site/w/tracking/search?cnpj="&amp;Parametros!$P$4&amp;"&amp;documentType=NOTAFISCAL&amp;numero="&amp;C115,"Abrir rastreio"),"")</f>
        <v/>
      </c>
    </row>
    <row r="116">
      <c r="A116">
        <f>B116&amp;"|"&amp;C116</f>
        <v/>
      </c>
      <c r="B116" t="inlineStr">
        <is>
          <t>EntregaJá</t>
        </is>
      </c>
      <c r="C116" t="n">
        <v>154</v>
      </c>
      <c r="D116" t="n">
        <v>10111</v>
      </c>
      <c r="E116" t="inlineStr">
        <is>
          <t>Refrigel Manutenção (10111)</t>
        </is>
      </c>
      <c r="F116">
        <f>SUMIFS(tblBase[QTD],tblBase[Transportadora],B116,tblBase[NF],C116,tblBase[Grupo_Status],"Em andamento")</f>
        <v/>
      </c>
      <c r="G116" s="10">
        <f>SUMIFS(tblBase[Valor_Total],tblBase[Transportadora],B116,tblBase[NF],C116,tblBase[Grupo_Status],"Em andamento")</f>
        <v/>
      </c>
      <c r="H116" t="inlineStr"/>
      <c r="O116">
        <f>IF(B116="Braspress",HYPERLINK("https://www.braspress.com.br/site/w/tracking/search?cnpj="&amp;Parametros!$P$4&amp;"&amp;documentType=NOTAFISCAL&amp;numero="&amp;C116,"Abrir rastreio"),"")</f>
        <v/>
      </c>
    </row>
    <row r="117">
      <c r="A117">
        <f>B117&amp;"|"&amp;C117</f>
        <v/>
      </c>
      <c r="B117" t="inlineStr">
        <is>
          <t>CargoMax</t>
        </is>
      </c>
      <c r="C117" t="n">
        <v>124</v>
      </c>
      <c r="D117" t="n">
        <v>10010</v>
      </c>
      <c r="E117" t="inlineStr">
        <is>
          <t>Cool Service ME (10010)</t>
        </is>
      </c>
      <c r="F117">
        <f>SUMIFS(tblBase[QTD],tblBase[Transportadora],B117,tblBase[NF],C117,tblBase[Grupo_Status],"Em andamento")</f>
        <v/>
      </c>
      <c r="G117" s="10">
        <f>SUMIFS(tblBase[Valor_Total],tblBase[Transportadora],B117,tblBase[NF],C117,tblBase[Grupo_Status],"Em andamento")</f>
        <v/>
      </c>
      <c r="H117" t="inlineStr">
        <is>
          <t>Saiu para entrega</t>
        </is>
      </c>
      <c r="O117">
        <f>IF(B117="Braspress",HYPERLINK("https://www.braspress.com.br/site/w/tracking/search?cnpj="&amp;Parametros!$P$4&amp;"&amp;documentType=NOTAFISCAL&amp;numero="&amp;C117,"Abrir rastreio"),"")</f>
        <v/>
      </c>
    </row>
    <row r="118">
      <c r="A118">
        <f>B118&amp;"|"&amp;C118</f>
        <v/>
      </c>
      <c r="B118" t="inlineStr">
        <is>
          <t>RotaSul</t>
        </is>
      </c>
      <c r="C118" t="n">
        <v>135</v>
      </c>
      <c r="D118" t="n">
        <v>10111</v>
      </c>
      <c r="E118" t="inlineStr">
        <is>
          <t>Refrigel Manutenção (10111)</t>
        </is>
      </c>
      <c r="F118">
        <f>SUMIFS(tblBase[QTD],tblBase[Transportadora],B118,tblBase[NF],C118,tblBase[Grupo_Status],"Em andamento")</f>
        <v/>
      </c>
      <c r="G118" s="10">
        <f>SUMIFS(tblBase[Valor_Total],tblBase[Transportadora],B118,tblBase[NF],C118,tblBase[Grupo_Status],"Em andamento")</f>
        <v/>
      </c>
      <c r="H118" t="inlineStr">
        <is>
          <t>Saiu para entrega</t>
        </is>
      </c>
      <c r="O118">
        <f>IF(B118="Braspress",HYPERLINK("https://www.braspress.com.br/site/w/tracking/search?cnpj="&amp;Parametros!$P$4&amp;"&amp;documentType=NOTAFISCAL&amp;numero="&amp;C118,"Abrir rastreio"),"")</f>
        <v/>
      </c>
    </row>
    <row r="119">
      <c r="A119">
        <f>B119&amp;"|"&amp;C119</f>
        <v/>
      </c>
      <c r="B119" t="inlineStr">
        <is>
          <t>CargoMax</t>
        </is>
      </c>
      <c r="C119" t="n">
        <v>147</v>
      </c>
      <c r="D119" t="n">
        <v>11022</v>
      </c>
      <c r="E119" t="inlineStr">
        <is>
          <t>Brisa Ltda (11022)</t>
        </is>
      </c>
      <c r="F119">
        <f>SUMIFS(tblBase[QTD],tblBase[Transportadora],B119,tblBase[NF],C119,tblBase[Grupo_Status],"Em andamento")</f>
        <v/>
      </c>
      <c r="G119" s="10">
        <f>SUMIFS(tblBase[Valor_Total],tblBase[Transportadora],B119,tblBase[NF],C119,tblBase[Grupo_Status],"Em andamento")</f>
        <v/>
      </c>
      <c r="H119" t="inlineStr">
        <is>
          <t>Em trânsito</t>
        </is>
      </c>
      <c r="O119">
        <f>IF(B119="Braspress",HYPERLINK("https://www.braspress.com.br/site/w/tracking/search?cnpj="&amp;Parametros!$P$4&amp;"&amp;documentType=NOTAFISCAL&amp;numero="&amp;C119,"Abrir rastreio"),"")</f>
        <v/>
      </c>
    </row>
    <row r="120">
      <c r="A120">
        <f>B120&amp;"|"&amp;C120</f>
        <v/>
      </c>
      <c r="B120" t="inlineStr">
        <is>
          <t>TransNorte</t>
        </is>
      </c>
      <c r="C120" t="n">
        <v>135</v>
      </c>
      <c r="D120" t="n">
        <v>11293</v>
      </c>
      <c r="E120" t="inlineStr">
        <is>
          <t>Assistência Técnica Ltda (11293)</t>
        </is>
      </c>
      <c r="F120">
        <f>SUMIFS(tblBase[QTD],tblBase[Transportadora],B120,tblBase[NF],C120,tblBase[Grupo_Status],"Em andamento")</f>
        <v/>
      </c>
      <c r="G120" s="10">
        <f>SUMIFS(tblBase[Valor_Total],tblBase[Transportadora],B120,tblBase[NF],C120,tblBase[Grupo_Status],"Em andamento")</f>
        <v/>
      </c>
      <c r="H120" t="inlineStr">
        <is>
          <t>Em trânsito</t>
        </is>
      </c>
      <c r="O120">
        <f>IF(B120="Braspress",HYPERLINK("https://www.braspress.com.br/site/w/tracking/search?cnpj="&amp;Parametros!$P$4&amp;"&amp;documentType=NOTAFISCAL&amp;numero="&amp;C120,"Abrir rastreio"),"")</f>
        <v/>
      </c>
    </row>
    <row r="121">
      <c r="A121">
        <f>B121&amp;"|"&amp;C121</f>
        <v/>
      </c>
      <c r="B121" t="inlineStr">
        <is>
          <t>RotaSul</t>
        </is>
      </c>
      <c r="C121" t="n">
        <v>158</v>
      </c>
      <c r="D121" t="n">
        <v>10468</v>
      </c>
      <c r="E121" t="inlineStr">
        <is>
          <t>Clima Express (10468)</t>
        </is>
      </c>
      <c r="F121">
        <f>SUMIFS(tblBase[QTD],tblBase[Transportadora],B121,tblBase[NF],C121,tblBase[Grupo_Status],"Em andamento")</f>
        <v/>
      </c>
      <c r="G121" s="10">
        <f>SUMIFS(tblBase[Valor_Total],tblBase[Transportadora],B121,tblBase[NF],C121,tblBase[Grupo_Status],"Em andamento")</f>
        <v/>
      </c>
      <c r="H121" t="inlineStr">
        <is>
          <t>Saiu para entrega</t>
        </is>
      </c>
      <c r="O121">
        <f>IF(B121="Braspress",HYPERLINK("https://www.braspress.com.br/site/w/tracking/search?cnpj="&amp;Parametros!$P$4&amp;"&amp;documentType=NOTAFISCAL&amp;numero="&amp;C121,"Abrir rastreio"),"")</f>
        <v/>
      </c>
    </row>
    <row r="122">
      <c r="A122">
        <f>B122&amp;"|"&amp;C122</f>
        <v/>
      </c>
      <c r="B122" t="inlineStr">
        <is>
          <t>CargoMax</t>
        </is>
      </c>
      <c r="C122" t="n">
        <v>146</v>
      </c>
      <c r="D122" t="n">
        <v>11487</v>
      </c>
      <c r="E122" t="inlineStr">
        <is>
          <t>Assistência Técnica Manutenção (11487)</t>
        </is>
      </c>
      <c r="F122">
        <f>SUMIFS(tblBase[QTD],tblBase[Transportadora],B122,tblBase[NF],C122,tblBase[Grupo_Status],"Em andamento")</f>
        <v/>
      </c>
      <c r="G122" s="10">
        <f>SUMIFS(tblBase[Valor_Total],tblBase[Transportadora],B122,tblBase[NF],C122,tblBase[Grupo_Status],"Em andamento")</f>
        <v/>
      </c>
      <c r="H122" t="inlineStr">
        <is>
          <t>Aguardando coleta</t>
        </is>
      </c>
      <c r="O122">
        <f>IF(B122="Braspress",HYPERLINK("https://www.braspress.com.br/site/w/tracking/search?cnpj="&amp;Parametros!$P$4&amp;"&amp;documentType=NOTAFISCAL&amp;numero="&amp;C122,"Abrir rastreio"),"")</f>
        <v/>
      </c>
    </row>
    <row r="123">
      <c r="A123">
        <f>B123&amp;"|"&amp;C123</f>
        <v/>
      </c>
      <c r="B123" t="inlineStr">
        <is>
          <t>ViaCargo</t>
        </is>
      </c>
      <c r="C123" t="n">
        <v>136</v>
      </c>
      <c r="D123" t="n">
        <v>11365</v>
      </c>
      <c r="E123" t="inlineStr">
        <is>
          <t>Ártico Express (11365)</t>
        </is>
      </c>
      <c r="F123">
        <f>SUMIFS(tblBase[QTD],tblBase[Transportadora],B123,tblBase[NF],C123,tblBase[Grupo_Status],"Em andamento")</f>
        <v/>
      </c>
      <c r="G123" s="10">
        <f>SUMIFS(tblBase[Valor_Total],tblBase[Transportadora],B123,tblBase[NF],C123,tblBase[Grupo_Status],"Em andamento")</f>
        <v/>
      </c>
      <c r="H123" t="inlineStr">
        <is>
          <t>Aguardando coleta</t>
        </is>
      </c>
      <c r="O123">
        <f>IF(B123="Braspress",HYPERLINK("https://www.braspress.com.br/site/w/tracking/search?cnpj="&amp;Parametros!$P$4&amp;"&amp;documentType=NOTAFISCAL&amp;numero="&amp;C123,"Abrir rastreio"),"")</f>
        <v/>
      </c>
    </row>
    <row r="124">
      <c r="A124">
        <f>B124&amp;"|"&amp;C124</f>
        <v/>
      </c>
      <c r="B124" t="inlineStr">
        <is>
          <t>ViaCargo</t>
        </is>
      </c>
      <c r="C124" t="n">
        <v>100</v>
      </c>
      <c r="D124" t="n">
        <v>11352</v>
      </c>
      <c r="E124" t="inlineStr">
        <is>
          <t>Frio Express (11352)</t>
        </is>
      </c>
      <c r="F124">
        <f>SUMIFS(tblBase[QTD],tblBase[Transportadora],B124,tblBase[NF],C124,tblBase[Grupo_Status],"Em andamento")</f>
        <v/>
      </c>
      <c r="G124" s="10">
        <f>SUMIFS(tblBase[Valor_Total],tblBase[Transportadora],B124,tblBase[NF],C124,tblBase[Grupo_Status],"Em andamento")</f>
        <v/>
      </c>
      <c r="H124" t="inlineStr"/>
      <c r="O124">
        <f>IF(B124="Braspress",HYPERLINK("https://www.braspress.com.br/site/w/tracking/search?cnpj="&amp;Parametros!$P$4&amp;"&amp;documentType=NOTAFISCAL&amp;numero="&amp;C124,"Abrir rastreio"),"")</f>
        <v/>
      </c>
    </row>
    <row r="125">
      <c r="A125">
        <f>B125&amp;"|"&amp;C125</f>
        <v/>
      </c>
      <c r="B125" t="inlineStr">
        <is>
          <t>TransNorte</t>
        </is>
      </c>
      <c r="C125" t="n">
        <v>111</v>
      </c>
      <c r="D125" t="n">
        <v>11986</v>
      </c>
      <c r="E125" t="inlineStr">
        <is>
          <t>Polar Serviços (11986)</t>
        </is>
      </c>
      <c r="F125">
        <f>SUMIFS(tblBase[QTD],tblBase[Transportadora],B125,tblBase[NF],C125,tblBase[Grupo_Status],"Em andamento")</f>
        <v/>
      </c>
      <c r="G125" s="10">
        <f>SUMIFS(tblBase[Valor_Total],tblBase[Transportadora],B125,tblBase[NF],C125,tblBase[Grupo_Status],"Em andamento")</f>
        <v/>
      </c>
      <c r="H125" t="inlineStr">
        <is>
          <t>Saiu para entrega</t>
        </is>
      </c>
      <c r="O125">
        <f>IF(B125="Braspress",HYPERLINK("https://www.braspress.com.br/site/w/tracking/search?cnpj="&amp;Parametros!$P$4&amp;"&amp;documentType=NOTAFISCAL&amp;numero="&amp;C125,"Abrir rastreio"),"")</f>
        <v/>
      </c>
    </row>
    <row r="126">
      <c r="A126">
        <f>B126&amp;"|"&amp;C126</f>
        <v/>
      </c>
      <c r="B126" t="inlineStr">
        <is>
          <t>CargoMax</t>
        </is>
      </c>
      <c r="C126" t="n">
        <v>125</v>
      </c>
      <c r="D126" t="n">
        <v>12052</v>
      </c>
      <c r="E126" t="inlineStr">
        <is>
          <t>Brisa Refrigeração (12052)</t>
        </is>
      </c>
      <c r="F126">
        <f>SUMIFS(tblBase[QTD],tblBase[Transportadora],B126,tblBase[NF],C126,tblBase[Grupo_Status],"Em andamento")</f>
        <v/>
      </c>
      <c r="G126" s="10">
        <f>SUMIFS(tblBase[Valor_Total],tblBase[Transportadora],B126,tblBase[NF],C126,tblBase[Grupo_Status],"Em andamento")</f>
        <v/>
      </c>
      <c r="H126" t="inlineStr">
        <is>
          <t>Em trânsito</t>
        </is>
      </c>
      <c r="O126">
        <f>IF(B126="Braspress",HYPERLINK("https://www.braspress.com.br/site/w/tracking/search?cnpj="&amp;Parametros!$P$4&amp;"&amp;documentType=NOTAFISCAL&amp;numero="&amp;C126,"Abrir rastreio"),"")</f>
        <v/>
      </c>
    </row>
    <row r="127">
      <c r="A127">
        <f>B127&amp;"|"&amp;C127</f>
        <v/>
      </c>
      <c r="B127" t="inlineStr">
        <is>
          <t>RotaSul</t>
        </is>
      </c>
      <c r="C127" t="n">
        <v>100</v>
      </c>
      <c r="D127" t="n">
        <v>10317</v>
      </c>
      <c r="E127" t="inlineStr">
        <is>
          <t>Termotec Manutenção (10317)</t>
        </is>
      </c>
      <c r="F127">
        <f>SUMIFS(tblBase[QTD],tblBase[Transportadora],B127,tblBase[NF],C127,tblBase[Grupo_Status],"Em andamento")</f>
        <v/>
      </c>
      <c r="G127" s="10">
        <f>SUMIFS(tblBase[Valor_Total],tblBase[Transportadora],B127,tblBase[NF],C127,tblBase[Grupo_Status],"Em andamento")</f>
        <v/>
      </c>
      <c r="H127" t="inlineStr">
        <is>
          <t>Saiu para entrega</t>
        </is>
      </c>
      <c r="O127">
        <f>IF(B127="Braspress",HYPERLINK("https://www.braspress.com.br/site/w/tracking/search?cnpj="&amp;Parametros!$P$4&amp;"&amp;documentType=NOTAFISCAL&amp;numero="&amp;C127,"Abrir rastreio"),"")</f>
        <v/>
      </c>
    </row>
    <row r="128">
      <c r="A128">
        <f>B128&amp;"|"&amp;C128</f>
        <v/>
      </c>
      <c r="B128" t="inlineStr">
        <is>
          <t>TransNorte</t>
        </is>
      </c>
      <c r="C128" t="n">
        <v>152</v>
      </c>
      <c r="D128" t="n">
        <v>11494</v>
      </c>
      <c r="E128" t="inlineStr">
        <is>
          <t>Clima Técnica (11494)</t>
        </is>
      </c>
      <c r="F128">
        <f>SUMIFS(tblBase[QTD],tblBase[Transportadora],B128,tblBase[NF],C128,tblBase[Grupo_Status],"Em andamento")</f>
        <v/>
      </c>
      <c r="G128" s="10">
        <f>SUMIFS(tblBase[Valor_Total],tblBase[Transportadora],B128,tblBase[NF],C128,tblBase[Grupo_Status],"Em andamento")</f>
        <v/>
      </c>
      <c r="H128" t="inlineStr"/>
      <c r="O128">
        <f>IF(B128="Braspress",HYPERLINK("https://www.braspress.com.br/site/w/tracking/search?cnpj="&amp;Parametros!$P$4&amp;"&amp;documentType=NOTAFISCAL&amp;numero="&amp;C128,"Abrir rastreio"),"")</f>
        <v/>
      </c>
    </row>
    <row r="129">
      <c r="A129">
        <f>B129&amp;"|"&amp;C129</f>
        <v/>
      </c>
      <c r="B129" t="inlineStr">
        <is>
          <t>LogExpress</t>
        </is>
      </c>
      <c r="C129" t="n">
        <v>121</v>
      </c>
      <c r="D129" t="n">
        <v>12089</v>
      </c>
      <c r="E129" t="inlineStr">
        <is>
          <t>Termotec Serviços (12089)</t>
        </is>
      </c>
      <c r="F129">
        <f>SUMIFS(tblBase[QTD],tblBase[Transportadora],B129,tblBase[NF],C129,tblBase[Grupo_Status],"Em andamento")</f>
        <v/>
      </c>
      <c r="G129" s="10">
        <f>SUMIFS(tblBase[Valor_Total],tblBase[Transportadora],B129,tblBase[NF],C129,tblBase[Grupo_Status],"Em andamento")</f>
        <v/>
      </c>
      <c r="H129" t="inlineStr"/>
      <c r="O129">
        <f>IF(B129="Braspress",HYPERLINK("https://www.braspress.com.br/site/w/tracking/search?cnpj="&amp;Parametros!$P$4&amp;"&amp;documentType=NOTAFISCAL&amp;numero="&amp;C129,"Abrir rastreio"),"")</f>
        <v/>
      </c>
    </row>
    <row r="130">
      <c r="A130">
        <f>B130&amp;"|"&amp;C130</f>
        <v/>
      </c>
      <c r="B130" t="inlineStr">
        <is>
          <t>CargoMax</t>
        </is>
      </c>
      <c r="C130" t="n">
        <v>102</v>
      </c>
      <c r="D130" t="n">
        <v>11741</v>
      </c>
      <c r="E130" t="inlineStr">
        <is>
          <t>Clima Refrigeração (11741)</t>
        </is>
      </c>
      <c r="F130">
        <f>SUMIFS(tblBase[QTD],tblBase[Transportadora],B130,tblBase[NF],C130,tblBase[Grupo_Status],"Em andamento")</f>
        <v/>
      </c>
      <c r="G130" s="10">
        <f>SUMIFS(tblBase[Valor_Total],tblBase[Transportadora],B130,tblBase[NF],C130,tblBase[Grupo_Status],"Em andamento")</f>
        <v/>
      </c>
      <c r="H130" t="inlineStr">
        <is>
          <t>Em trânsito</t>
        </is>
      </c>
      <c r="O130">
        <f>IF(B130="Braspress",HYPERLINK("https://www.braspress.com.br/site/w/tracking/search?cnpj="&amp;Parametros!$P$4&amp;"&amp;documentType=NOTAFISCAL&amp;numero="&amp;C130,"Abrir rastreio"),"")</f>
        <v/>
      </c>
    </row>
    <row r="131">
      <c r="A131">
        <f>B131&amp;"|"&amp;C131</f>
        <v/>
      </c>
      <c r="B131" t="inlineStr">
        <is>
          <t>ViaCargo</t>
        </is>
      </c>
      <c r="C131" t="n">
        <v>157</v>
      </c>
      <c r="D131" t="n">
        <v>10021</v>
      </c>
      <c r="E131" t="inlineStr">
        <is>
          <t>Termotec Técnica (10021)</t>
        </is>
      </c>
      <c r="F131">
        <f>SUMIFS(tblBase[QTD],tblBase[Transportadora],B131,tblBase[NF],C131,tblBase[Grupo_Status],"Em andamento")</f>
        <v/>
      </c>
      <c r="G131" s="10">
        <f>SUMIFS(tblBase[Valor_Total],tblBase[Transportadora],B131,tblBase[NF],C131,tblBase[Grupo_Status],"Em andamento")</f>
        <v/>
      </c>
      <c r="H131" t="inlineStr">
        <is>
          <t>Saiu para entrega</t>
        </is>
      </c>
      <c r="O131">
        <f>IF(B131="Braspress",HYPERLINK("https://www.braspress.com.br/site/w/tracking/search?cnpj="&amp;Parametros!$P$4&amp;"&amp;documentType=NOTAFISCAL&amp;numero="&amp;C131,"Abrir rastreio"),"")</f>
        <v/>
      </c>
    </row>
    <row r="132">
      <c r="A132">
        <f>B132&amp;"|"&amp;C132</f>
        <v/>
      </c>
      <c r="B132" t="inlineStr">
        <is>
          <t>LogExpress</t>
        </is>
      </c>
      <c r="C132" t="n">
        <v>173</v>
      </c>
      <c r="D132" t="n">
        <v>11099</v>
      </c>
      <c r="E132" t="inlineStr">
        <is>
          <t>Refrigel Serviços (11099)</t>
        </is>
      </c>
      <c r="F132">
        <f>SUMIFS(tblBase[QTD],tblBase[Transportadora],B132,tblBase[NF],C132,tblBase[Grupo_Status],"Em andamento")</f>
        <v/>
      </c>
      <c r="G132" s="10">
        <f>SUMIFS(tblBase[Valor_Total],tblBase[Transportadora],B132,tblBase[NF],C132,tblBase[Grupo_Status],"Em andamento")</f>
        <v/>
      </c>
      <c r="H132" t="inlineStr">
        <is>
          <t>Aguardando coleta</t>
        </is>
      </c>
      <c r="O132">
        <f>IF(B132="Braspress",HYPERLINK("https://www.braspress.com.br/site/w/tracking/search?cnpj="&amp;Parametros!$P$4&amp;"&amp;documentType=NOTAFISCAL&amp;numero="&amp;C132,"Abrir rastreio"),"")</f>
        <v/>
      </c>
    </row>
    <row r="133">
      <c r="A133">
        <f>B133&amp;"|"&amp;C133</f>
        <v/>
      </c>
      <c r="B133" t="inlineStr">
        <is>
          <t>RotaSul</t>
        </is>
      </c>
      <c r="C133" t="n">
        <v>147</v>
      </c>
      <c r="D133" t="n">
        <v>11022</v>
      </c>
      <c r="E133" t="inlineStr">
        <is>
          <t>Brisa Ltda (11022)</t>
        </is>
      </c>
      <c r="F133">
        <f>SUMIFS(tblBase[QTD],tblBase[Transportadora],B133,tblBase[NF],C133,tblBase[Grupo_Status],"Em andamento")</f>
        <v/>
      </c>
      <c r="G133" s="10">
        <f>SUMIFS(tblBase[Valor_Total],tblBase[Transportadora],B133,tblBase[NF],C133,tblBase[Grupo_Status],"Em andamento")</f>
        <v/>
      </c>
      <c r="H133" t="inlineStr">
        <is>
          <t>Em trânsito</t>
        </is>
      </c>
      <c r="O133">
        <f>IF(B133="Braspress",HYPERLINK("https://www.braspress.com.br/site/w/tracking/search?cnpj="&amp;Parametros!$P$4&amp;"&amp;documentType=NOTAFISCAL&amp;numero="&amp;C133,"Abrir rastreio"),"")</f>
        <v/>
      </c>
    </row>
    <row r="134">
      <c r="A134">
        <f>B134&amp;"|"&amp;C134</f>
        <v/>
      </c>
      <c r="B134" t="inlineStr">
        <is>
          <t>RotaSul</t>
        </is>
      </c>
      <c r="C134" t="n">
        <v>107</v>
      </c>
      <c r="D134" t="n">
        <v>12470</v>
      </c>
      <c r="E134" t="inlineStr">
        <is>
          <t>Cool Service Técnica (12470)</t>
        </is>
      </c>
      <c r="F134">
        <f>SUMIFS(tblBase[QTD],tblBase[Transportadora],B134,tblBase[NF],C134,tblBase[Grupo_Status],"Em andamento")</f>
        <v/>
      </c>
      <c r="G134" s="10">
        <f>SUMIFS(tblBase[Valor_Total],tblBase[Transportadora],B134,tblBase[NF],C134,tblBase[Grupo_Status],"Em andamento")</f>
        <v/>
      </c>
      <c r="H134" t="inlineStr">
        <is>
          <t>Saiu para entrega</t>
        </is>
      </c>
      <c r="O134">
        <f>IF(B134="Braspress",HYPERLINK("https://www.braspress.com.br/site/w/tracking/search?cnpj="&amp;Parametros!$P$4&amp;"&amp;documentType=NOTAFISCAL&amp;numero="&amp;C134,"Abrir rastreio"),"")</f>
        <v/>
      </c>
    </row>
    <row r="135">
      <c r="A135">
        <f>B135&amp;"|"&amp;C135</f>
        <v/>
      </c>
      <c r="B135" t="inlineStr">
        <is>
          <t>ViaCargo</t>
        </is>
      </c>
      <c r="C135" t="n">
        <v>131</v>
      </c>
      <c r="D135" t="n">
        <v>12194</v>
      </c>
      <c r="E135" t="inlineStr">
        <is>
          <t>Polar &amp; Cia (12194)</t>
        </is>
      </c>
      <c r="F135">
        <f>SUMIFS(tblBase[QTD],tblBase[Transportadora],B135,tblBase[NF],C135,tblBase[Grupo_Status],"Em andamento")</f>
        <v/>
      </c>
      <c r="G135" s="10">
        <f>SUMIFS(tblBase[Valor_Total],tblBase[Transportadora],B135,tblBase[NF],C135,tblBase[Grupo_Status],"Em andamento")</f>
        <v/>
      </c>
      <c r="H135" t="inlineStr"/>
      <c r="O135">
        <f>IF(B135="Braspress",HYPERLINK("https://www.braspress.com.br/site/w/tracking/search?cnpj="&amp;Parametros!$P$4&amp;"&amp;documentType=NOTAFISCAL&amp;numero="&amp;C135,"Abrir rastreio"),"")</f>
        <v/>
      </c>
    </row>
    <row r="136">
      <c r="A136">
        <f>B136&amp;"|"&amp;C136</f>
        <v/>
      </c>
      <c r="B136" t="inlineStr">
        <is>
          <t>RotaSul</t>
        </is>
      </c>
      <c r="C136" t="n">
        <v>132</v>
      </c>
      <c r="D136" t="n">
        <v>11099</v>
      </c>
      <c r="E136" t="inlineStr">
        <is>
          <t>Refrigel Serviços (11099)</t>
        </is>
      </c>
      <c r="F136">
        <f>SUMIFS(tblBase[QTD],tblBase[Transportadora],B136,tblBase[NF],C136,tblBase[Grupo_Status],"Em andamento")</f>
        <v/>
      </c>
      <c r="G136" s="10">
        <f>SUMIFS(tblBase[Valor_Total],tblBase[Transportadora],B136,tblBase[NF],C136,tblBase[Grupo_Status],"Em andamento")</f>
        <v/>
      </c>
      <c r="H136" t="inlineStr">
        <is>
          <t>Em trânsito</t>
        </is>
      </c>
      <c r="O136">
        <f>IF(B136="Braspress",HYPERLINK("https://www.braspress.com.br/site/w/tracking/search?cnpj="&amp;Parametros!$P$4&amp;"&amp;documentType=NOTAFISCAL&amp;numero="&amp;C136,"Abrir rastreio"),"")</f>
        <v/>
      </c>
    </row>
    <row r="137">
      <c r="A137">
        <f>B137&amp;"|"&amp;C137</f>
        <v/>
      </c>
      <c r="B137" t="inlineStr">
        <is>
          <t>RotaSul</t>
        </is>
      </c>
      <c r="C137" t="n">
        <v>165</v>
      </c>
      <c r="D137" t="n">
        <v>10538</v>
      </c>
      <c r="E137" t="inlineStr">
        <is>
          <t>Frio Refrigeração (10538)</t>
        </is>
      </c>
      <c r="F137">
        <f>SUMIFS(tblBase[QTD],tblBase[Transportadora],B137,tblBase[NF],C137,tblBase[Grupo_Status],"Em andamento")</f>
        <v/>
      </c>
      <c r="G137" s="10">
        <f>SUMIFS(tblBase[Valor_Total],tblBase[Transportadora],B137,tblBase[NF],C137,tblBase[Grupo_Status],"Em andamento")</f>
        <v/>
      </c>
      <c r="H137" t="inlineStr">
        <is>
          <t>Em trânsito</t>
        </is>
      </c>
      <c r="O137">
        <f>IF(B137="Braspress",HYPERLINK("https://www.braspress.com.br/site/w/tracking/search?cnpj="&amp;Parametros!$P$4&amp;"&amp;documentType=NOTAFISCAL&amp;numero="&amp;C137,"Abrir rastreio"),"")</f>
        <v/>
      </c>
    </row>
    <row r="138">
      <c r="A138">
        <f>B138&amp;"|"&amp;C138</f>
        <v/>
      </c>
      <c r="B138" t="inlineStr">
        <is>
          <t>LogExpress</t>
        </is>
      </c>
      <c r="C138" t="n">
        <v>148</v>
      </c>
      <c r="D138" t="n">
        <v>11710</v>
      </c>
      <c r="E138" t="inlineStr">
        <is>
          <t>Brisa &amp; Cia (11710)</t>
        </is>
      </c>
      <c r="F138">
        <f>SUMIFS(tblBase[QTD],tblBase[Transportadora],B138,tblBase[NF],C138,tblBase[Grupo_Status],"Em andamento")</f>
        <v/>
      </c>
      <c r="G138" s="10">
        <f>SUMIFS(tblBase[Valor_Total],tblBase[Transportadora],B138,tblBase[NF],C138,tblBase[Grupo_Status],"Em andamento")</f>
        <v/>
      </c>
      <c r="H138" t="inlineStr">
        <is>
          <t>Saiu para entrega</t>
        </is>
      </c>
      <c r="O138">
        <f>IF(B138="Braspress",HYPERLINK("https://www.braspress.com.br/site/w/tracking/search?cnpj="&amp;Parametros!$P$4&amp;"&amp;documentType=NOTAFISCAL&amp;numero="&amp;C138,"Abrir rastreio"),"")</f>
        <v/>
      </c>
    </row>
    <row r="139">
      <c r="A139">
        <f>B139&amp;"|"&amp;C139</f>
        <v/>
      </c>
      <c r="B139" t="inlineStr">
        <is>
          <t>RotaSul</t>
        </is>
      </c>
      <c r="C139" t="n">
        <v>120</v>
      </c>
      <c r="D139" t="n">
        <v>12280</v>
      </c>
      <c r="E139" t="inlineStr">
        <is>
          <t>Termotec &amp; Cia (12280)</t>
        </is>
      </c>
      <c r="F139">
        <f>SUMIFS(tblBase[QTD],tblBase[Transportadora],B139,tblBase[NF],C139,tblBase[Grupo_Status],"Em andamento")</f>
        <v/>
      </c>
      <c r="G139" s="10">
        <f>SUMIFS(tblBase[Valor_Total],tblBase[Transportadora],B139,tblBase[NF],C139,tblBase[Grupo_Status],"Em andamento")</f>
        <v/>
      </c>
      <c r="H139" t="inlineStr">
        <is>
          <t>Saiu para entrega</t>
        </is>
      </c>
      <c r="O139">
        <f>IF(B139="Braspress",HYPERLINK("https://www.braspress.com.br/site/w/tracking/search?cnpj="&amp;Parametros!$P$4&amp;"&amp;documentType=NOTAFISCAL&amp;numero="&amp;C139,"Abrir rastreio"),"")</f>
        <v/>
      </c>
    </row>
    <row r="140">
      <c r="A140">
        <f>B140&amp;"|"&amp;C140</f>
        <v/>
      </c>
      <c r="B140" t="inlineStr">
        <is>
          <t>TransNorte</t>
        </is>
      </c>
      <c r="C140" t="n">
        <v>141</v>
      </c>
      <c r="D140" t="n">
        <v>11396</v>
      </c>
      <c r="E140" t="inlineStr">
        <is>
          <t>Frio Manutenção (11396)</t>
        </is>
      </c>
      <c r="F140">
        <f>SUMIFS(tblBase[QTD],tblBase[Transportadora],B140,tblBase[NF],C140,tblBase[Grupo_Status],"Em andamento")</f>
        <v/>
      </c>
      <c r="G140" s="10">
        <f>SUMIFS(tblBase[Valor_Total],tblBase[Transportadora],B140,tblBase[NF],C140,tblBase[Grupo_Status],"Em andamento")</f>
        <v/>
      </c>
      <c r="H140" t="inlineStr">
        <is>
          <t>Em trânsito</t>
        </is>
      </c>
      <c r="O140">
        <f>IF(B140="Braspress",HYPERLINK("https://www.braspress.com.br/site/w/tracking/search?cnpj="&amp;Parametros!$P$4&amp;"&amp;documentType=NOTAFISCAL&amp;numero="&amp;C140,"Abrir rastreio"),"")</f>
        <v/>
      </c>
    </row>
    <row r="141">
      <c r="A141">
        <f>B141&amp;"|"&amp;C141</f>
        <v/>
      </c>
      <c r="B141" t="inlineStr">
        <is>
          <t>ViaCargo</t>
        </is>
      </c>
      <c r="C141" t="n">
        <v>152</v>
      </c>
      <c r="D141" t="n">
        <v>11538</v>
      </c>
      <c r="E141" t="inlineStr">
        <is>
          <t>Clima Manutenção (11538)</t>
        </is>
      </c>
      <c r="F141">
        <f>SUMIFS(tblBase[QTD],tblBase[Transportadora],B141,tblBase[NF],C141,tblBase[Grupo_Status],"Em andamento")</f>
        <v/>
      </c>
      <c r="G141" s="10">
        <f>SUMIFS(tblBase[Valor_Total],tblBase[Transportadora],B141,tblBase[NF],C141,tblBase[Grupo_Status],"Em andamento")</f>
        <v/>
      </c>
      <c r="H141" t="inlineStr">
        <is>
          <t>Saiu para entrega</t>
        </is>
      </c>
      <c r="O141">
        <f>IF(B141="Braspress",HYPERLINK("https://www.braspress.com.br/site/w/tracking/search?cnpj="&amp;Parametros!$P$4&amp;"&amp;documentType=NOTAFISCAL&amp;numero="&amp;C141,"Abrir rastreio"),"")</f>
        <v/>
      </c>
    </row>
    <row r="142">
      <c r="A142">
        <f>B142&amp;"|"&amp;C142</f>
        <v/>
      </c>
      <c r="B142" t="inlineStr">
        <is>
          <t>ViaCargo</t>
        </is>
      </c>
      <c r="C142" t="n">
        <v>109</v>
      </c>
      <c r="D142" t="n">
        <v>10753</v>
      </c>
      <c r="E142" t="inlineStr">
        <is>
          <t>Refrigel &amp; Cia (10753)</t>
        </is>
      </c>
      <c r="F142">
        <f>SUMIFS(tblBase[QTD],tblBase[Transportadora],B142,tblBase[NF],C142,tblBase[Grupo_Status],"Em andamento")</f>
        <v/>
      </c>
      <c r="G142" s="10">
        <f>SUMIFS(tblBase[Valor_Total],tblBase[Transportadora],B142,tblBase[NF],C142,tblBase[Grupo_Status],"Em andamento")</f>
        <v/>
      </c>
      <c r="H142" t="inlineStr"/>
      <c r="O142">
        <f>IF(B142="Braspress",HYPERLINK("https://www.braspress.com.br/site/w/tracking/search?cnpj="&amp;Parametros!$P$4&amp;"&amp;documentType=NOTAFISCAL&amp;numero="&amp;C142,"Abrir rastreio"),"")</f>
        <v/>
      </c>
    </row>
    <row r="143">
      <c r="A143">
        <f>B143&amp;"|"&amp;C143</f>
        <v/>
      </c>
      <c r="B143" t="inlineStr">
        <is>
          <t>TransNorte</t>
        </is>
      </c>
      <c r="C143" t="n">
        <v>168</v>
      </c>
      <c r="D143" t="n">
        <v>12280</v>
      </c>
      <c r="E143" t="inlineStr">
        <is>
          <t>Termotec &amp; Cia (12280)</t>
        </is>
      </c>
      <c r="F143">
        <f>SUMIFS(tblBase[QTD],tblBase[Transportadora],B143,tblBase[NF],C143,tblBase[Grupo_Status],"Em andamento")</f>
        <v/>
      </c>
      <c r="G143" s="10">
        <f>SUMIFS(tblBase[Valor_Total],tblBase[Transportadora],B143,tblBase[NF],C143,tblBase[Grupo_Status],"Em andamento")</f>
        <v/>
      </c>
      <c r="H143" t="inlineStr">
        <is>
          <t>Em trânsito</t>
        </is>
      </c>
      <c r="O143">
        <f>IF(B143="Braspress",HYPERLINK("https://www.braspress.com.br/site/w/tracking/search?cnpj="&amp;Parametros!$P$4&amp;"&amp;documentType=NOTAFISCAL&amp;numero="&amp;C143,"Abrir rastreio"),"")</f>
        <v/>
      </c>
    </row>
    <row r="144">
      <c r="A144">
        <f>B144&amp;"|"&amp;C144</f>
        <v/>
      </c>
      <c r="B144" t="inlineStr">
        <is>
          <t>RotaSul</t>
        </is>
      </c>
      <c r="C144" t="n">
        <v>159</v>
      </c>
      <c r="D144" t="n">
        <v>12901</v>
      </c>
      <c r="E144" t="inlineStr">
        <is>
          <t>Frio Serviços (12901)</t>
        </is>
      </c>
      <c r="F144">
        <f>SUMIFS(tblBase[QTD],tblBase[Transportadora],B144,tblBase[NF],C144,tblBase[Grupo_Status],"Em andamento")</f>
        <v/>
      </c>
      <c r="G144" s="10">
        <f>SUMIFS(tblBase[Valor_Total],tblBase[Transportadora],B144,tblBase[NF],C144,tblBase[Grupo_Status],"Em andamento")</f>
        <v/>
      </c>
      <c r="H144" t="inlineStr"/>
      <c r="O144">
        <f>IF(B144="Braspress",HYPERLINK("https://www.braspress.com.br/site/w/tracking/search?cnpj="&amp;Parametros!$P$4&amp;"&amp;documentType=NOTAFISCAL&amp;numero="&amp;C144,"Abrir rastreio"),"")</f>
        <v/>
      </c>
    </row>
    <row r="145">
      <c r="A145">
        <f>B145&amp;"|"&amp;C145</f>
        <v/>
      </c>
      <c r="B145" t="inlineStr">
        <is>
          <t>LogExpress</t>
        </is>
      </c>
      <c r="C145" t="n">
        <v>123</v>
      </c>
      <c r="D145" t="n">
        <v>10468</v>
      </c>
      <c r="E145" t="inlineStr">
        <is>
          <t>Clima Express (10468)</t>
        </is>
      </c>
      <c r="F145">
        <f>SUMIFS(tblBase[QTD],tblBase[Transportadora],B145,tblBase[NF],C145,tblBase[Grupo_Status],"Em andamento")</f>
        <v/>
      </c>
      <c r="G145" s="10">
        <f>SUMIFS(tblBase[Valor_Total],tblBase[Transportadora],B145,tblBase[NF],C145,tblBase[Grupo_Status],"Em andamento")</f>
        <v/>
      </c>
      <c r="H145" t="inlineStr">
        <is>
          <t>Saiu para entrega</t>
        </is>
      </c>
      <c r="O145">
        <f>IF(B145="Braspress",HYPERLINK("https://www.braspress.com.br/site/w/tracking/search?cnpj="&amp;Parametros!$P$4&amp;"&amp;documentType=NOTAFISCAL&amp;numero="&amp;C145,"Abrir rastreio"),"")</f>
        <v/>
      </c>
    </row>
    <row r="146">
      <c r="A146">
        <f>B146&amp;"|"&amp;C146</f>
        <v/>
      </c>
      <c r="B146" t="inlineStr">
        <is>
          <t>RotaSul</t>
        </is>
      </c>
      <c r="C146" t="n">
        <v>144</v>
      </c>
      <c r="D146" t="n">
        <v>10372</v>
      </c>
      <c r="E146" t="inlineStr">
        <is>
          <t>Zero Grau ME (10372)</t>
        </is>
      </c>
      <c r="F146">
        <f>SUMIFS(tblBase[QTD],tblBase[Transportadora],B146,tblBase[NF],C146,tblBase[Grupo_Status],"Em andamento")</f>
        <v/>
      </c>
      <c r="G146" s="10">
        <f>SUMIFS(tblBase[Valor_Total],tblBase[Transportadora],B146,tblBase[NF],C146,tblBase[Grupo_Status],"Em andamento")</f>
        <v/>
      </c>
      <c r="H146" t="inlineStr">
        <is>
          <t>Saiu para entrega</t>
        </is>
      </c>
      <c r="O146">
        <f>IF(B146="Braspress",HYPERLINK("https://www.braspress.com.br/site/w/tracking/search?cnpj="&amp;Parametros!$P$4&amp;"&amp;documentType=NOTAFISCAL&amp;numero="&amp;C146,"Abrir rastreio"),"")</f>
        <v/>
      </c>
    </row>
    <row r="147">
      <c r="A147">
        <f>B147&amp;"|"&amp;C147</f>
        <v/>
      </c>
      <c r="B147" t="inlineStr">
        <is>
          <t>EntregaJá</t>
        </is>
      </c>
      <c r="C147" t="n">
        <v>109</v>
      </c>
      <c r="D147" t="n">
        <v>10302</v>
      </c>
      <c r="E147" t="inlineStr">
        <is>
          <t>Ice Tech Express (10302)</t>
        </is>
      </c>
      <c r="F147">
        <f>SUMIFS(tblBase[QTD],tblBase[Transportadora],B147,tblBase[NF],C147,tblBase[Grupo_Status],"Em andamento")</f>
        <v/>
      </c>
      <c r="G147" s="10">
        <f>SUMIFS(tblBase[Valor_Total],tblBase[Transportadora],B147,tblBase[NF],C147,tblBase[Grupo_Status],"Em andamento")</f>
        <v/>
      </c>
      <c r="H147" t="inlineStr">
        <is>
          <t>Aguardando coleta</t>
        </is>
      </c>
      <c r="O147">
        <f>IF(B147="Braspress",HYPERLINK("https://www.braspress.com.br/site/w/tracking/search?cnpj="&amp;Parametros!$P$4&amp;"&amp;documentType=NOTAFISCAL&amp;numero="&amp;C147,"Abrir rastreio"),"")</f>
        <v/>
      </c>
    </row>
    <row r="148">
      <c r="A148">
        <f>B148&amp;"|"&amp;C148</f>
        <v/>
      </c>
      <c r="B148" t="inlineStr">
        <is>
          <t>CargoMax</t>
        </is>
      </c>
      <c r="C148" t="n">
        <v>114</v>
      </c>
      <c r="D148" t="n">
        <v>12724</v>
      </c>
      <c r="E148" t="inlineStr">
        <is>
          <t>Cool Service &amp; Cia (12724)</t>
        </is>
      </c>
      <c r="F148">
        <f>SUMIFS(tblBase[QTD],tblBase[Transportadora],B148,tblBase[NF],C148,tblBase[Grupo_Status],"Em andamento")</f>
        <v/>
      </c>
      <c r="G148" s="10">
        <f>SUMIFS(tblBase[Valor_Total],tblBase[Transportadora],B148,tblBase[NF],C148,tblBase[Grupo_Status],"Em andamento")</f>
        <v/>
      </c>
      <c r="H148" t="inlineStr">
        <is>
          <t>Aguardando coleta</t>
        </is>
      </c>
      <c r="O148">
        <f>IF(B148="Braspress",HYPERLINK("https://www.braspress.com.br/site/w/tracking/search?cnpj="&amp;Parametros!$P$4&amp;"&amp;documentType=NOTAFISCAL&amp;numero="&amp;C148,"Abrir rastreio"),"")</f>
        <v/>
      </c>
    </row>
    <row r="149">
      <c r="A149">
        <f>B149&amp;"|"&amp;C149</f>
        <v/>
      </c>
      <c r="B149" t="inlineStr">
        <is>
          <t>TransNorte</t>
        </is>
      </c>
      <c r="C149" t="n">
        <v>161</v>
      </c>
      <c r="D149" t="n">
        <v>11818</v>
      </c>
      <c r="E149" t="inlineStr">
        <is>
          <t>Termotec Ltda (11818)</t>
        </is>
      </c>
      <c r="F149">
        <f>SUMIFS(tblBase[QTD],tblBase[Transportadora],B149,tblBase[NF],C149,tblBase[Grupo_Status],"Em andamento")</f>
        <v/>
      </c>
      <c r="G149" s="10">
        <f>SUMIFS(tblBase[Valor_Total],tblBase[Transportadora],B149,tblBase[NF],C149,tblBase[Grupo_Status],"Em andamento")</f>
        <v/>
      </c>
      <c r="H149" t="inlineStr"/>
      <c r="O149">
        <f>IF(B149="Braspress",HYPERLINK("https://www.braspress.com.br/site/w/tracking/search?cnpj="&amp;Parametros!$P$4&amp;"&amp;documentType=NOTAFISCAL&amp;numero="&amp;C149,"Abrir rastreio"),"")</f>
        <v/>
      </c>
    </row>
    <row r="150">
      <c r="A150">
        <f>B150&amp;"|"&amp;C150</f>
        <v/>
      </c>
      <c r="B150" t="inlineStr">
        <is>
          <t>CargoMax</t>
        </is>
      </c>
      <c r="C150" t="n">
        <v>107</v>
      </c>
      <c r="D150" t="n">
        <v>11741</v>
      </c>
      <c r="E150" t="inlineStr">
        <is>
          <t>Clima Refrigeração (11741)</t>
        </is>
      </c>
      <c r="F150">
        <f>SUMIFS(tblBase[QTD],tblBase[Transportadora],B150,tblBase[NF],C150,tblBase[Grupo_Status],"Em andamento")</f>
        <v/>
      </c>
      <c r="G150" s="10">
        <f>SUMIFS(tblBase[Valor_Total],tblBase[Transportadora],B150,tblBase[NF],C150,tblBase[Grupo_Status],"Em andamento")</f>
        <v/>
      </c>
      <c r="H150" t="inlineStr">
        <is>
          <t>Saiu para entrega</t>
        </is>
      </c>
      <c r="O150">
        <f>IF(B150="Braspress",HYPERLINK("https://www.braspress.com.br/site/w/tracking/search?cnpj="&amp;Parametros!$P$4&amp;"&amp;documentType=NOTAFISCAL&amp;numero="&amp;C150,"Abrir rastreio"),"")</f>
        <v/>
      </c>
    </row>
    <row r="151">
      <c r="A151">
        <f>B151&amp;"|"&amp;C151</f>
        <v/>
      </c>
      <c r="B151" t="inlineStr">
        <is>
          <t>TransNorte</t>
        </is>
      </c>
      <c r="C151" t="n">
        <v>143</v>
      </c>
      <c r="D151" t="n">
        <v>11619</v>
      </c>
      <c r="E151" t="inlineStr">
        <is>
          <t>Refrigeração Ltda (11619)</t>
        </is>
      </c>
      <c r="F151">
        <f>SUMIFS(tblBase[QTD],tblBase[Transportadora],B151,tblBase[NF],C151,tblBase[Grupo_Status],"Em andamento")</f>
        <v/>
      </c>
      <c r="G151" s="10">
        <f>SUMIFS(tblBase[Valor_Total],tblBase[Transportadora],B151,tblBase[NF],C151,tblBase[Grupo_Status],"Em andamento")</f>
        <v/>
      </c>
      <c r="H151" t="inlineStr">
        <is>
          <t>Saiu para entrega</t>
        </is>
      </c>
      <c r="O151">
        <f>IF(B151="Braspress",HYPERLINK("https://www.braspress.com.br/site/w/tracking/search?cnpj="&amp;Parametros!$P$4&amp;"&amp;documentType=NOTAFISCAL&amp;numero="&amp;C151,"Abrir rastreio"),"")</f>
        <v/>
      </c>
    </row>
    <row r="152">
      <c r="A152">
        <f>B152&amp;"|"&amp;C152</f>
        <v/>
      </c>
      <c r="B152" t="inlineStr">
        <is>
          <t>EntregaJá</t>
        </is>
      </c>
      <c r="C152" t="n">
        <v>101</v>
      </c>
      <c r="D152" t="n">
        <v>11898</v>
      </c>
      <c r="E152" t="inlineStr">
        <is>
          <t>Refrigel Express (11898)</t>
        </is>
      </c>
      <c r="F152">
        <f>SUMIFS(tblBase[QTD],tblBase[Transportadora],B152,tblBase[NF],C152,tblBase[Grupo_Status],"Em andamento")</f>
        <v/>
      </c>
      <c r="G152" s="10">
        <f>SUMIFS(tblBase[Valor_Total],tblBase[Transportadora],B152,tblBase[NF],C152,tblBase[Grupo_Status],"Em andamento")</f>
        <v/>
      </c>
      <c r="H152" t="inlineStr"/>
      <c r="O152">
        <f>IF(B152="Braspress",HYPERLINK("https://www.braspress.com.br/site/w/tracking/search?cnpj="&amp;Parametros!$P$4&amp;"&amp;documentType=NOTAFISCAL&amp;numero="&amp;C152,"Abrir rastreio"),"")</f>
        <v/>
      </c>
    </row>
    <row r="153">
      <c r="A153">
        <f>B153&amp;"|"&amp;C153</f>
        <v/>
      </c>
      <c r="B153" t="inlineStr">
        <is>
          <t>CargoMax</t>
        </is>
      </c>
      <c r="C153" t="n">
        <v>163</v>
      </c>
      <c r="D153" t="n">
        <v>11059</v>
      </c>
      <c r="E153" t="inlineStr">
        <is>
          <t>Frio Ltda (11059)</t>
        </is>
      </c>
      <c r="F153">
        <f>SUMIFS(tblBase[QTD],tblBase[Transportadora],B153,tblBase[NF],C153,tblBase[Grupo_Status],"Em andamento")</f>
        <v/>
      </c>
      <c r="G153" s="10">
        <f>SUMIFS(tblBase[Valor_Total],tblBase[Transportadora],B153,tblBase[NF],C153,tblBase[Grupo_Status],"Em andamento")</f>
        <v/>
      </c>
      <c r="H153" t="inlineStr"/>
      <c r="O153">
        <f>IF(B153="Braspress",HYPERLINK("https://www.braspress.com.br/site/w/tracking/search?cnpj="&amp;Parametros!$P$4&amp;"&amp;documentType=NOTAFISCAL&amp;numero="&amp;C153,"Abrir rastreio"),"")</f>
        <v/>
      </c>
    </row>
    <row r="154">
      <c r="A154">
        <f>B154&amp;"|"&amp;C154</f>
        <v/>
      </c>
      <c r="B154" t="inlineStr">
        <is>
          <t>LogExpress</t>
        </is>
      </c>
      <c r="C154" t="n">
        <v>161</v>
      </c>
      <c r="D154" t="n">
        <v>11726</v>
      </c>
      <c r="E154" t="inlineStr">
        <is>
          <t>Norte Frio Refrigeração (11726)</t>
        </is>
      </c>
      <c r="F154">
        <f>SUMIFS(tblBase[QTD],tblBase[Transportadora],B154,tblBase[NF],C154,tblBase[Grupo_Status],"Em andamento")</f>
        <v/>
      </c>
      <c r="G154" s="10">
        <f>SUMIFS(tblBase[Valor_Total],tblBase[Transportadora],B154,tblBase[NF],C154,tblBase[Grupo_Status],"Em andamento")</f>
        <v/>
      </c>
      <c r="H154" t="inlineStr">
        <is>
          <t>Saiu para entrega</t>
        </is>
      </c>
      <c r="O154">
        <f>IF(B154="Braspress",HYPERLINK("https://www.braspress.com.br/site/w/tracking/search?cnpj="&amp;Parametros!$P$4&amp;"&amp;documentType=NOTAFISCAL&amp;numero="&amp;C154,"Abrir rastreio"),"")</f>
        <v/>
      </c>
    </row>
    <row r="155">
      <c r="A155">
        <f>B155&amp;"|"&amp;C155</f>
        <v/>
      </c>
      <c r="B155" t="inlineStr">
        <is>
          <t>LogExpress</t>
        </is>
      </c>
      <c r="C155" t="n">
        <v>120</v>
      </c>
      <c r="D155" t="n">
        <v>10842</v>
      </c>
      <c r="E155" t="inlineStr">
        <is>
          <t>Frigo &amp; Cia (10842)</t>
        </is>
      </c>
      <c r="F155">
        <f>SUMIFS(tblBase[QTD],tblBase[Transportadora],B155,tblBase[NF],C155,tblBase[Grupo_Status],"Em andamento")</f>
        <v/>
      </c>
      <c r="G155" s="10">
        <f>SUMIFS(tblBase[Valor_Total],tblBase[Transportadora],B155,tblBase[NF],C155,tblBase[Grupo_Status],"Em andamento")</f>
        <v/>
      </c>
      <c r="H155" t="inlineStr"/>
      <c r="O155">
        <f>IF(B155="Braspress",HYPERLINK("https://www.braspress.com.br/site/w/tracking/search?cnpj="&amp;Parametros!$P$4&amp;"&amp;documentType=NOTAFISCAL&amp;numero="&amp;C155,"Abrir rastreio"),"")</f>
        <v/>
      </c>
    </row>
    <row r="156">
      <c r="A156">
        <f>B156&amp;"|"&amp;C156</f>
        <v/>
      </c>
      <c r="B156" t="inlineStr">
        <is>
          <t>LogExpress</t>
        </is>
      </c>
      <c r="C156" t="n">
        <v>130</v>
      </c>
      <c r="D156" t="n">
        <v>10172</v>
      </c>
      <c r="E156" t="inlineStr">
        <is>
          <t>Frigo Serviços (10172)</t>
        </is>
      </c>
      <c r="F156">
        <f>SUMIFS(tblBase[QTD],tblBase[Transportadora],B156,tblBase[NF],C156,tblBase[Grupo_Status],"Em andamento")</f>
        <v/>
      </c>
      <c r="G156" s="10">
        <f>SUMIFS(tblBase[Valor_Total],tblBase[Transportadora],B156,tblBase[NF],C156,tblBase[Grupo_Status],"Em andamento")</f>
        <v/>
      </c>
      <c r="H156" t="inlineStr">
        <is>
          <t>Aguardando coleta</t>
        </is>
      </c>
      <c r="O156">
        <f>IF(B156="Braspress",HYPERLINK("https://www.braspress.com.br/site/w/tracking/search?cnpj="&amp;Parametros!$P$4&amp;"&amp;documentType=NOTAFISCAL&amp;numero="&amp;C156,"Abrir rastreio"),"")</f>
        <v/>
      </c>
    </row>
    <row r="157">
      <c r="A157">
        <f>B157&amp;"|"&amp;C157</f>
        <v/>
      </c>
      <c r="B157" t="inlineStr">
        <is>
          <t>CargoMax</t>
        </is>
      </c>
      <c r="C157" t="n">
        <v>152</v>
      </c>
      <c r="D157" t="n">
        <v>12138</v>
      </c>
      <c r="E157" t="inlineStr">
        <is>
          <t>Refrigeração Serviços (12138)</t>
        </is>
      </c>
      <c r="F157">
        <f>SUMIFS(tblBase[QTD],tblBase[Transportadora],B157,tblBase[NF],C157,tblBase[Grupo_Status],"Em andamento")</f>
        <v/>
      </c>
      <c r="G157" s="10">
        <f>SUMIFS(tblBase[Valor_Total],tblBase[Transportadora],B157,tblBase[NF],C157,tblBase[Grupo_Status],"Em andamento")</f>
        <v/>
      </c>
      <c r="H157" t="inlineStr">
        <is>
          <t>Aguardando coleta</t>
        </is>
      </c>
      <c r="O157">
        <f>IF(B157="Braspress",HYPERLINK("https://www.braspress.com.br/site/w/tracking/search?cnpj="&amp;Parametros!$P$4&amp;"&amp;documentType=NOTAFISCAL&amp;numero="&amp;C157,"Abrir rastreio"),"")</f>
        <v/>
      </c>
    </row>
    <row r="158">
      <c r="A158">
        <f>B158&amp;"|"&amp;C158</f>
        <v/>
      </c>
      <c r="B158" t="inlineStr">
        <is>
          <t>TransNorte</t>
        </is>
      </c>
      <c r="C158" t="n">
        <v>166</v>
      </c>
      <c r="D158" t="n">
        <v>10913</v>
      </c>
      <c r="E158" t="inlineStr">
        <is>
          <t>Ice Tech &amp; Cia (10913)</t>
        </is>
      </c>
      <c r="F158">
        <f>SUMIFS(tblBase[QTD],tblBase[Transportadora],B158,tblBase[NF],C158,tblBase[Grupo_Status],"Em andamento")</f>
        <v/>
      </c>
      <c r="G158" s="10">
        <f>SUMIFS(tblBase[Valor_Total],tblBase[Transportadora],B158,tblBase[NF],C158,tblBase[Grupo_Status],"Em andamento")</f>
        <v/>
      </c>
      <c r="H158" t="inlineStr">
        <is>
          <t>Aguardando coleta</t>
        </is>
      </c>
      <c r="O158">
        <f>IF(B158="Braspress",HYPERLINK("https://www.braspress.com.br/site/w/tracking/search?cnpj="&amp;Parametros!$P$4&amp;"&amp;documentType=NOTAFISCAL&amp;numero="&amp;C158,"Abrir rastreio"),"")</f>
        <v/>
      </c>
    </row>
    <row r="159">
      <c r="A159">
        <f>B159&amp;"|"&amp;C159</f>
        <v/>
      </c>
      <c r="B159" t="inlineStr">
        <is>
          <t>EntregaJá</t>
        </is>
      </c>
      <c r="C159" t="n">
        <v>106</v>
      </c>
      <c r="D159" t="n">
        <v>10227</v>
      </c>
      <c r="E159" t="inlineStr">
        <is>
          <t>Assistência Técnica ME (10227)</t>
        </is>
      </c>
      <c r="F159">
        <f>SUMIFS(tblBase[QTD],tblBase[Transportadora],B159,tblBase[NF],C159,tblBase[Grupo_Status],"Em andamento")</f>
        <v/>
      </c>
      <c r="G159" s="10">
        <f>SUMIFS(tblBase[Valor_Total],tblBase[Transportadora],B159,tblBase[NF],C159,tblBase[Grupo_Status],"Em andamento")</f>
        <v/>
      </c>
      <c r="H159" t="inlineStr">
        <is>
          <t>Saiu para entrega</t>
        </is>
      </c>
      <c r="O159">
        <f>IF(B159="Braspress",HYPERLINK("https://www.braspress.com.br/site/w/tracking/search?cnpj="&amp;Parametros!$P$4&amp;"&amp;documentType=NOTAFISCAL&amp;numero="&amp;C159,"Abrir rastreio"),"")</f>
        <v/>
      </c>
    </row>
    <row r="160">
      <c r="A160">
        <f>B160&amp;"|"&amp;C160</f>
        <v/>
      </c>
      <c r="B160" t="inlineStr">
        <is>
          <t>RotaSul</t>
        </is>
      </c>
      <c r="C160" t="n">
        <v>102</v>
      </c>
      <c r="D160" t="n">
        <v>10913</v>
      </c>
      <c r="E160" t="inlineStr">
        <is>
          <t>Ice Tech &amp; Cia (10913)</t>
        </is>
      </c>
      <c r="F160">
        <f>SUMIFS(tblBase[QTD],tblBase[Transportadora],B160,tblBase[NF],C160,tblBase[Grupo_Status],"Em andamento")</f>
        <v/>
      </c>
      <c r="G160" s="10">
        <f>SUMIFS(tblBase[Valor_Total],tblBase[Transportadora],B160,tblBase[NF],C160,tblBase[Grupo_Status],"Em andamento")</f>
        <v/>
      </c>
      <c r="H160" t="inlineStr">
        <is>
          <t>Em trânsito</t>
        </is>
      </c>
      <c r="O160">
        <f>IF(B160="Braspress",HYPERLINK("https://www.braspress.com.br/site/w/tracking/search?cnpj="&amp;Parametros!$P$4&amp;"&amp;documentType=NOTAFISCAL&amp;numero="&amp;C160,"Abrir rastreio"),"")</f>
        <v/>
      </c>
    </row>
    <row r="161">
      <c r="A161">
        <f>B161&amp;"|"&amp;C161</f>
        <v/>
      </c>
      <c r="B161" t="inlineStr">
        <is>
          <t>LogExpress</t>
        </is>
      </c>
      <c r="C161" t="n">
        <v>122</v>
      </c>
      <c r="D161" t="n">
        <v>12336</v>
      </c>
      <c r="E161" t="inlineStr">
        <is>
          <t>Termotec ME (12336)</t>
        </is>
      </c>
      <c r="F161">
        <f>SUMIFS(tblBase[QTD],tblBase[Transportadora],B161,tblBase[NF],C161,tblBase[Grupo_Status],"Em andamento")</f>
        <v/>
      </c>
      <c r="G161" s="10">
        <f>SUMIFS(tblBase[Valor_Total],tblBase[Transportadora],B161,tblBase[NF],C161,tblBase[Grupo_Status],"Em andamento")</f>
        <v/>
      </c>
      <c r="H161" t="inlineStr">
        <is>
          <t>Saiu para entrega</t>
        </is>
      </c>
      <c r="O161">
        <f>IF(B161="Braspress",HYPERLINK("https://www.braspress.com.br/site/w/tracking/search?cnpj="&amp;Parametros!$P$4&amp;"&amp;documentType=NOTAFISCAL&amp;numero="&amp;C161,"Abrir rastreio"),"")</f>
        <v/>
      </c>
    </row>
    <row r="162">
      <c r="A162">
        <f>B162&amp;"|"&amp;C162</f>
        <v/>
      </c>
      <c r="B162" t="inlineStr">
        <is>
          <t>LogExpress</t>
        </is>
      </c>
      <c r="C162" t="n">
        <v>153</v>
      </c>
      <c r="D162" t="n">
        <v>10111</v>
      </c>
      <c r="E162" t="inlineStr">
        <is>
          <t>Refrigel Manutenção (10111)</t>
        </is>
      </c>
      <c r="F162">
        <f>SUMIFS(tblBase[QTD],tblBase[Transportadora],B162,tblBase[NF],C162,tblBase[Grupo_Status],"Em andamento")</f>
        <v/>
      </c>
      <c r="G162" s="10">
        <f>SUMIFS(tblBase[Valor_Total],tblBase[Transportadora],B162,tblBase[NF],C162,tblBase[Grupo_Status],"Em andamento")</f>
        <v/>
      </c>
      <c r="H162" t="inlineStr"/>
      <c r="O162">
        <f>IF(B162="Braspress",HYPERLINK("https://www.braspress.com.br/site/w/tracking/search?cnpj="&amp;Parametros!$P$4&amp;"&amp;documentType=NOTAFISCAL&amp;numero="&amp;C162,"Abrir rastreio"),"")</f>
        <v/>
      </c>
    </row>
    <row r="163">
      <c r="A163">
        <f>B163&amp;"|"&amp;C163</f>
        <v/>
      </c>
      <c r="B163" t="inlineStr">
        <is>
          <t>TransNorte</t>
        </is>
      </c>
      <c r="C163" t="n">
        <v>162</v>
      </c>
      <c r="D163" t="n">
        <v>10676</v>
      </c>
      <c r="E163" t="inlineStr">
        <is>
          <t>Clima Serviços (10676)</t>
        </is>
      </c>
      <c r="F163">
        <f>SUMIFS(tblBase[QTD],tblBase[Transportadora],B163,tblBase[NF],C163,tblBase[Grupo_Status],"Em andamento")</f>
        <v/>
      </c>
      <c r="G163" s="10">
        <f>SUMIFS(tblBase[Valor_Total],tblBase[Transportadora],B163,tblBase[NF],C163,tblBase[Grupo_Status],"Em andamento")</f>
        <v/>
      </c>
      <c r="H163" t="inlineStr">
        <is>
          <t>Aguardando coleta</t>
        </is>
      </c>
      <c r="O163">
        <f>IF(B163="Braspress",HYPERLINK("https://www.braspress.com.br/site/w/tracking/search?cnpj="&amp;Parametros!$P$4&amp;"&amp;documentType=NOTAFISCAL&amp;numero="&amp;C163,"Abrir rastreio"),"")</f>
        <v/>
      </c>
    </row>
    <row r="164">
      <c r="A164">
        <f>B164&amp;"|"&amp;C164</f>
        <v/>
      </c>
      <c r="B164" t="inlineStr">
        <is>
          <t>ViaCargo</t>
        </is>
      </c>
      <c r="C164" t="n">
        <v>105</v>
      </c>
      <c r="D164" t="n">
        <v>11459</v>
      </c>
      <c r="E164" t="inlineStr">
        <is>
          <t>Frio ME (11459)</t>
        </is>
      </c>
      <c r="F164">
        <f>SUMIFS(tblBase[QTD],tblBase[Transportadora],B164,tblBase[NF],C164,tblBase[Grupo_Status],"Em andamento")</f>
        <v/>
      </c>
      <c r="G164" s="10">
        <f>SUMIFS(tblBase[Valor_Total],tblBase[Transportadora],B164,tblBase[NF],C164,tblBase[Grupo_Status],"Em andamento")</f>
        <v/>
      </c>
      <c r="H164" t="inlineStr"/>
      <c r="O164">
        <f>IF(B164="Braspress",HYPERLINK("https://www.braspress.com.br/site/w/tracking/search?cnpj="&amp;Parametros!$P$4&amp;"&amp;documentType=NOTAFISCAL&amp;numero="&amp;C164,"Abrir rastreio"),"")</f>
        <v/>
      </c>
    </row>
    <row r="165">
      <c r="A165">
        <f>B165&amp;"|"&amp;C165</f>
        <v/>
      </c>
      <c r="B165" t="inlineStr">
        <is>
          <t>TransNorte</t>
        </is>
      </c>
      <c r="C165" t="n">
        <v>120</v>
      </c>
      <c r="D165" t="n">
        <v>10753</v>
      </c>
      <c r="E165" t="inlineStr">
        <is>
          <t>Refrigel &amp; Cia (10753)</t>
        </is>
      </c>
      <c r="F165">
        <f>SUMIFS(tblBase[QTD],tblBase[Transportadora],B165,tblBase[NF],C165,tblBase[Grupo_Status],"Em andamento")</f>
        <v/>
      </c>
      <c r="G165" s="10">
        <f>SUMIFS(tblBase[Valor_Total],tblBase[Transportadora],B165,tblBase[NF],C165,tblBase[Grupo_Status],"Em andamento")</f>
        <v/>
      </c>
      <c r="H165" t="inlineStr"/>
      <c r="O165">
        <f>IF(B165="Braspress",HYPERLINK("https://www.braspress.com.br/site/w/tracking/search?cnpj="&amp;Parametros!$P$4&amp;"&amp;documentType=NOTAFISCAL&amp;numero="&amp;C165,"Abrir rastreio"),"")</f>
        <v/>
      </c>
    </row>
    <row r="166">
      <c r="A166">
        <f>B166&amp;"|"&amp;C166</f>
        <v/>
      </c>
      <c r="B166" t="inlineStr">
        <is>
          <t>CargoMax</t>
        </is>
      </c>
      <c r="C166" t="n">
        <v>165</v>
      </c>
      <c r="D166" t="n">
        <v>10538</v>
      </c>
      <c r="E166" t="inlineStr">
        <is>
          <t>Frio Refrigeração (10538)</t>
        </is>
      </c>
      <c r="F166">
        <f>SUMIFS(tblBase[QTD],tblBase[Transportadora],B166,tblBase[NF],C166,tblBase[Grupo_Status],"Em andamento")</f>
        <v/>
      </c>
      <c r="G166" s="10">
        <f>SUMIFS(tblBase[Valor_Total],tblBase[Transportadora],B166,tblBase[NF],C166,tblBase[Grupo_Status],"Em andamento")</f>
        <v/>
      </c>
      <c r="H166" t="inlineStr">
        <is>
          <t>Em trânsito</t>
        </is>
      </c>
      <c r="O166">
        <f>IF(B166="Braspress",HYPERLINK("https://www.braspress.com.br/site/w/tracking/search?cnpj="&amp;Parametros!$P$4&amp;"&amp;documentType=NOTAFISCAL&amp;numero="&amp;C166,"Abrir rastreio"),"")</f>
        <v/>
      </c>
    </row>
    <row r="167">
      <c r="A167">
        <f>B167&amp;"|"&amp;C167</f>
        <v/>
      </c>
      <c r="B167" t="inlineStr">
        <is>
          <t>LogExpress</t>
        </is>
      </c>
      <c r="C167" t="n">
        <v>104</v>
      </c>
      <c r="D167" t="n">
        <v>10413</v>
      </c>
      <c r="E167" t="inlineStr">
        <is>
          <t>Polar Manutenção (10413)</t>
        </is>
      </c>
      <c r="F167">
        <f>SUMIFS(tblBase[QTD],tblBase[Transportadora],B167,tblBase[NF],C167,tblBase[Grupo_Status],"Em andamento")</f>
        <v/>
      </c>
      <c r="G167" s="10">
        <f>SUMIFS(tblBase[Valor_Total],tblBase[Transportadora],B167,tblBase[NF],C167,tblBase[Grupo_Status],"Em andamento")</f>
        <v/>
      </c>
      <c r="H167" t="inlineStr">
        <is>
          <t>Em trânsito</t>
        </is>
      </c>
      <c r="O167">
        <f>IF(B167="Braspress",HYPERLINK("https://www.braspress.com.br/site/w/tracking/search?cnpj="&amp;Parametros!$P$4&amp;"&amp;documentType=NOTAFISCAL&amp;numero="&amp;C167,"Abrir rastreio"),"")</f>
        <v/>
      </c>
    </row>
    <row r="168">
      <c r="A168">
        <f>B168&amp;"|"&amp;C168</f>
        <v/>
      </c>
      <c r="B168" t="inlineStr">
        <is>
          <t>RotaSul</t>
        </is>
      </c>
      <c r="C168" t="n">
        <v>101</v>
      </c>
      <c r="D168" t="n">
        <v>10504</v>
      </c>
      <c r="E168" t="inlineStr">
        <is>
          <t>Zero Grau Ltda (10504)</t>
        </is>
      </c>
      <c r="F168">
        <f>SUMIFS(tblBase[QTD],tblBase[Transportadora],B168,tblBase[NF],C168,tblBase[Grupo_Status],"Em andamento")</f>
        <v/>
      </c>
      <c r="G168" s="10">
        <f>SUMIFS(tblBase[Valor_Total],tblBase[Transportadora],B168,tblBase[NF],C168,tblBase[Grupo_Status],"Em andamento")</f>
        <v/>
      </c>
      <c r="H168" t="inlineStr">
        <is>
          <t>Saiu para entrega</t>
        </is>
      </c>
      <c r="O168">
        <f>IF(B168="Braspress",HYPERLINK("https://www.braspress.com.br/site/w/tracking/search?cnpj="&amp;Parametros!$P$4&amp;"&amp;documentType=NOTAFISCAL&amp;numero="&amp;C168,"Abrir rastreio"),"")</f>
        <v/>
      </c>
    </row>
    <row r="169">
      <c r="A169">
        <f>B169&amp;"|"&amp;C169</f>
        <v/>
      </c>
      <c r="B169" t="inlineStr">
        <is>
          <t>EntregaJá</t>
        </is>
      </c>
      <c r="C169" t="n">
        <v>126</v>
      </c>
      <c r="D169" t="n">
        <v>11293</v>
      </c>
      <c r="E169" t="inlineStr">
        <is>
          <t>Assistência Técnica Ltda (11293)</t>
        </is>
      </c>
      <c r="F169">
        <f>SUMIFS(tblBase[QTD],tblBase[Transportadora],B169,tblBase[NF],C169,tblBase[Grupo_Status],"Em andamento")</f>
        <v/>
      </c>
      <c r="G169" s="10">
        <f>SUMIFS(tblBase[Valor_Total],tblBase[Transportadora],B169,tblBase[NF],C169,tblBase[Grupo_Status],"Em andamento")</f>
        <v/>
      </c>
      <c r="H169" t="inlineStr">
        <is>
          <t>Em trânsito</t>
        </is>
      </c>
      <c r="O169">
        <f>IF(B169="Braspress",HYPERLINK("https://www.braspress.com.br/site/w/tracking/search?cnpj="&amp;Parametros!$P$4&amp;"&amp;documentType=NOTAFISCAL&amp;numero="&amp;C169,"Abrir rastreio"),"")</f>
        <v/>
      </c>
    </row>
    <row r="170">
      <c r="A170">
        <f>B170&amp;"|"&amp;C170</f>
        <v/>
      </c>
      <c r="B170" t="inlineStr">
        <is>
          <t>TransNorte</t>
        </is>
      </c>
      <c r="C170" t="n">
        <v>154</v>
      </c>
      <c r="D170" t="n">
        <v>12811</v>
      </c>
      <c r="E170" t="inlineStr">
        <is>
          <t>Norte Frio Técnica (12811)</t>
        </is>
      </c>
      <c r="F170">
        <f>SUMIFS(tblBase[QTD],tblBase[Transportadora],B170,tblBase[NF],C170,tblBase[Grupo_Status],"Em andamento")</f>
        <v/>
      </c>
      <c r="G170" s="10">
        <f>SUMIFS(tblBase[Valor_Total],tblBase[Transportadora],B170,tblBase[NF],C170,tblBase[Grupo_Status],"Em andamento")</f>
        <v/>
      </c>
      <c r="H170" t="inlineStr">
        <is>
          <t>Saiu para entrega</t>
        </is>
      </c>
      <c r="O170">
        <f>IF(B170="Braspress",HYPERLINK("https://www.braspress.com.br/site/w/tracking/search?cnpj="&amp;Parametros!$P$4&amp;"&amp;documentType=NOTAFISCAL&amp;numero="&amp;C170,"Abrir rastreio"),"")</f>
        <v/>
      </c>
    </row>
    <row r="171">
      <c r="A171">
        <f>B171&amp;"|"&amp;C171</f>
        <v/>
      </c>
      <c r="B171" t="inlineStr">
        <is>
          <t>EntregaJá</t>
        </is>
      </c>
      <c r="C171" t="n">
        <v>146</v>
      </c>
      <c r="D171" t="n">
        <v>11898</v>
      </c>
      <c r="E171" t="inlineStr">
        <is>
          <t>Refrigel Express (11898)</t>
        </is>
      </c>
      <c r="F171">
        <f>SUMIFS(tblBase[QTD],tblBase[Transportadora],B171,tblBase[NF],C171,tblBase[Grupo_Status],"Em andamento")</f>
        <v/>
      </c>
      <c r="G171" s="10">
        <f>SUMIFS(tblBase[Valor_Total],tblBase[Transportadora],B171,tblBase[NF],C171,tblBase[Grupo_Status],"Em andamento")</f>
        <v/>
      </c>
      <c r="H171" t="inlineStr">
        <is>
          <t>Em trânsito</t>
        </is>
      </c>
      <c r="O171">
        <f>IF(B171="Braspress",HYPERLINK("https://www.braspress.com.br/site/w/tracking/search?cnpj="&amp;Parametros!$P$4&amp;"&amp;documentType=NOTAFISCAL&amp;numero="&amp;C171,"Abrir rastreio"),"")</f>
        <v/>
      </c>
    </row>
    <row r="172">
      <c r="A172">
        <f>B172&amp;"|"&amp;C172</f>
        <v/>
      </c>
      <c r="B172" t="inlineStr">
        <is>
          <t>CargoMax</t>
        </is>
      </c>
      <c r="C172" t="n">
        <v>159</v>
      </c>
      <c r="D172" t="n">
        <v>10111</v>
      </c>
      <c r="E172" t="inlineStr">
        <is>
          <t>Refrigel Manutenção (10111)</t>
        </is>
      </c>
      <c r="F172">
        <f>SUMIFS(tblBase[QTD],tblBase[Transportadora],B172,tblBase[NF],C172,tblBase[Grupo_Status],"Em andamento")</f>
        <v/>
      </c>
      <c r="G172" s="10">
        <f>SUMIFS(tblBase[Valor_Total],tblBase[Transportadora],B172,tblBase[NF],C172,tblBase[Grupo_Status],"Em andamento")</f>
        <v/>
      </c>
      <c r="H172" t="inlineStr"/>
      <c r="O172">
        <f>IF(B172="Braspress",HYPERLINK("https://www.braspress.com.br/site/w/tracking/search?cnpj="&amp;Parametros!$P$4&amp;"&amp;documentType=NOTAFISCAL&amp;numero="&amp;C172,"Abrir rastreio"),"")</f>
        <v/>
      </c>
    </row>
    <row r="173">
      <c r="A173">
        <f>B173&amp;"|"&amp;C173</f>
        <v/>
      </c>
      <c r="B173" t="inlineStr">
        <is>
          <t>TransNorte</t>
        </is>
      </c>
      <c r="C173" t="n">
        <v>132</v>
      </c>
      <c r="D173" t="n">
        <v>12470</v>
      </c>
      <c r="E173" t="inlineStr">
        <is>
          <t>Cool Service Técnica (12470)</t>
        </is>
      </c>
      <c r="F173">
        <f>SUMIFS(tblBase[QTD],tblBase[Transportadora],B173,tblBase[NF],C173,tblBase[Grupo_Status],"Em andamento")</f>
        <v/>
      </c>
      <c r="G173" s="10">
        <f>SUMIFS(tblBase[Valor_Total],tblBase[Transportadora],B173,tblBase[NF],C173,tblBase[Grupo_Status],"Em andamento")</f>
        <v/>
      </c>
      <c r="H173" t="inlineStr"/>
      <c r="O173">
        <f>IF(B173="Braspress",HYPERLINK("https://www.braspress.com.br/site/w/tracking/search?cnpj="&amp;Parametros!$P$4&amp;"&amp;documentType=NOTAFISCAL&amp;numero="&amp;C173,"Abrir rastreio"),"")</f>
        <v/>
      </c>
    </row>
    <row r="174">
      <c r="A174">
        <f>B174&amp;"|"&amp;C174</f>
        <v/>
      </c>
      <c r="B174" t="inlineStr">
        <is>
          <t>LogExpress</t>
        </is>
      </c>
      <c r="C174" t="n">
        <v>142</v>
      </c>
      <c r="D174" t="n">
        <v>12470</v>
      </c>
      <c r="E174" t="inlineStr">
        <is>
          <t>Cool Service Técnica (12470)</t>
        </is>
      </c>
      <c r="F174">
        <f>SUMIFS(tblBase[QTD],tblBase[Transportadora],B174,tblBase[NF],C174,tblBase[Grupo_Status],"Em andamento")</f>
        <v/>
      </c>
      <c r="G174" s="10">
        <f>SUMIFS(tblBase[Valor_Total],tblBase[Transportadora],B174,tblBase[NF],C174,tblBase[Grupo_Status],"Em andamento")</f>
        <v/>
      </c>
      <c r="H174" t="inlineStr">
        <is>
          <t>Saiu para entrega</t>
        </is>
      </c>
      <c r="O174">
        <f>IF(B174="Braspress",HYPERLINK("https://www.braspress.com.br/site/w/tracking/search?cnpj="&amp;Parametros!$P$4&amp;"&amp;documentType=NOTAFISCAL&amp;numero="&amp;C174,"Abrir rastreio"),"")</f>
        <v/>
      </c>
    </row>
    <row r="175">
      <c r="A175">
        <f>B175&amp;"|"&amp;C175</f>
        <v/>
      </c>
      <c r="B175" t="inlineStr">
        <is>
          <t>CargoMax</t>
        </is>
      </c>
      <c r="C175" t="n">
        <v>166</v>
      </c>
      <c r="D175" t="n">
        <v>12555</v>
      </c>
      <c r="E175" t="inlineStr">
        <is>
          <t>Cool Service Serviços (12555)</t>
        </is>
      </c>
      <c r="F175">
        <f>SUMIFS(tblBase[QTD],tblBase[Transportadora],B175,tblBase[NF],C175,tblBase[Grupo_Status],"Em andamento")</f>
        <v/>
      </c>
      <c r="G175" s="10">
        <f>SUMIFS(tblBase[Valor_Total],tblBase[Transportadora],B175,tblBase[NF],C175,tblBase[Grupo_Status],"Em andamento")</f>
        <v/>
      </c>
      <c r="H175" t="inlineStr">
        <is>
          <t>Em trânsito</t>
        </is>
      </c>
      <c r="O175">
        <f>IF(B175="Braspress",HYPERLINK("https://www.braspress.com.br/site/w/tracking/search?cnpj="&amp;Parametros!$P$4&amp;"&amp;documentType=NOTAFISCAL&amp;numero="&amp;C175,"Abrir rastreio"),"")</f>
        <v/>
      </c>
    </row>
    <row r="176">
      <c r="A176">
        <f>B176&amp;"|"&amp;C176</f>
        <v/>
      </c>
      <c r="B176" t="inlineStr">
        <is>
          <t>EntregaJá</t>
        </is>
      </c>
      <c r="C176" t="n">
        <v>128</v>
      </c>
      <c r="D176" t="n">
        <v>10562</v>
      </c>
      <c r="E176" t="inlineStr">
        <is>
          <t>Clima &amp; Cia (10562)</t>
        </is>
      </c>
      <c r="F176">
        <f>SUMIFS(tblBase[QTD],tblBase[Transportadora],B176,tblBase[NF],C176,tblBase[Grupo_Status],"Em andamento")</f>
        <v/>
      </c>
      <c r="G176" s="10">
        <f>SUMIFS(tblBase[Valor_Total],tblBase[Transportadora],B176,tblBase[NF],C176,tblBase[Grupo_Status],"Em andamento")</f>
        <v/>
      </c>
      <c r="H176" t="inlineStr">
        <is>
          <t>Saiu para entrega</t>
        </is>
      </c>
      <c r="O176">
        <f>IF(B176="Braspress",HYPERLINK("https://www.braspress.com.br/site/w/tracking/search?cnpj="&amp;Parametros!$P$4&amp;"&amp;documentType=NOTAFISCAL&amp;numero="&amp;C176,"Abrir rastreio"),"")</f>
        <v/>
      </c>
    </row>
    <row r="177">
      <c r="A177">
        <f>B177&amp;"|"&amp;C177</f>
        <v/>
      </c>
      <c r="B177" t="inlineStr">
        <is>
          <t>CargoMax</t>
        </is>
      </c>
      <c r="C177" t="n">
        <v>137</v>
      </c>
      <c r="D177" t="n">
        <v>12689</v>
      </c>
      <c r="E177" t="inlineStr">
        <is>
          <t>Norte Frio Manutenção (12689)</t>
        </is>
      </c>
      <c r="F177">
        <f>SUMIFS(tblBase[QTD],tblBase[Transportadora],B177,tblBase[NF],C177,tblBase[Grupo_Status],"Em andamento")</f>
        <v/>
      </c>
      <c r="G177" s="10">
        <f>SUMIFS(tblBase[Valor_Total],tblBase[Transportadora],B177,tblBase[NF],C177,tblBase[Grupo_Status],"Em andamento")</f>
        <v/>
      </c>
      <c r="H177" t="inlineStr">
        <is>
          <t>Saiu para entrega</t>
        </is>
      </c>
      <c r="O177">
        <f>IF(B177="Braspress",HYPERLINK("https://www.braspress.com.br/site/w/tracking/search?cnpj="&amp;Parametros!$P$4&amp;"&amp;documentType=NOTAFISCAL&amp;numero="&amp;C177,"Abrir rastreio"),"")</f>
        <v/>
      </c>
    </row>
    <row r="178">
      <c r="A178">
        <f>B178&amp;"|"&amp;C178</f>
        <v/>
      </c>
      <c r="B178" t="inlineStr">
        <is>
          <t>LogExpress</t>
        </is>
      </c>
      <c r="C178" t="n">
        <v>150</v>
      </c>
      <c r="D178" t="n">
        <v>12470</v>
      </c>
      <c r="E178" t="inlineStr">
        <is>
          <t>Cool Service Técnica (12470)</t>
        </is>
      </c>
      <c r="F178">
        <f>SUMIFS(tblBase[QTD],tblBase[Transportadora],B178,tblBase[NF],C178,tblBase[Grupo_Status],"Em andamento")</f>
        <v/>
      </c>
      <c r="G178" s="10">
        <f>SUMIFS(tblBase[Valor_Total],tblBase[Transportadora],B178,tblBase[NF],C178,tblBase[Grupo_Status],"Em andamento")</f>
        <v/>
      </c>
      <c r="H178" t="inlineStr">
        <is>
          <t>Saiu para entrega</t>
        </is>
      </c>
      <c r="O178">
        <f>IF(B178="Braspress",HYPERLINK("https://www.braspress.com.br/site/w/tracking/search?cnpj="&amp;Parametros!$P$4&amp;"&amp;documentType=NOTAFISCAL&amp;numero="&amp;C178,"Abrir rastreio"),"")</f>
        <v/>
      </c>
    </row>
    <row r="179">
      <c r="A179">
        <f>B179&amp;"|"&amp;C179</f>
        <v/>
      </c>
      <c r="B179" t="inlineStr">
        <is>
          <t>ViaCargo</t>
        </is>
      </c>
      <c r="C179" t="n">
        <v>150</v>
      </c>
      <c r="D179" t="n">
        <v>11244</v>
      </c>
      <c r="E179" t="inlineStr">
        <is>
          <t>Refrigeração Manutenção (11244)</t>
        </is>
      </c>
      <c r="F179">
        <f>SUMIFS(tblBase[QTD],tblBase[Transportadora],B179,tblBase[NF],C179,tblBase[Grupo_Status],"Em andamento")</f>
        <v/>
      </c>
      <c r="G179" s="10">
        <f>SUMIFS(tblBase[Valor_Total],tblBase[Transportadora],B179,tblBase[NF],C179,tblBase[Grupo_Status],"Em andamento")</f>
        <v/>
      </c>
      <c r="H179" t="inlineStr">
        <is>
          <t>Saiu para entrega</t>
        </is>
      </c>
      <c r="O179">
        <f>IF(B179="Braspress",HYPERLINK("https://www.braspress.com.br/site/w/tracking/search?cnpj="&amp;Parametros!$P$4&amp;"&amp;documentType=NOTAFISCAL&amp;numero="&amp;C179,"Abrir rastreio"),"")</f>
        <v/>
      </c>
    </row>
    <row r="180">
      <c r="A180">
        <f>B180&amp;"|"&amp;C180</f>
        <v/>
      </c>
      <c r="B180" t="inlineStr">
        <is>
          <t>EntregaJá</t>
        </is>
      </c>
      <c r="C180" t="n">
        <v>112</v>
      </c>
      <c r="D180" t="n">
        <v>11293</v>
      </c>
      <c r="E180" t="inlineStr">
        <is>
          <t>Assistência Técnica Ltda (11293)</t>
        </is>
      </c>
      <c r="F180">
        <f>SUMIFS(tblBase[QTD],tblBase[Transportadora],B180,tblBase[NF],C180,tblBase[Grupo_Status],"Em andamento")</f>
        <v/>
      </c>
      <c r="G180" s="10">
        <f>SUMIFS(tblBase[Valor_Total],tblBase[Transportadora],B180,tblBase[NF],C180,tblBase[Grupo_Status],"Em andamento")</f>
        <v/>
      </c>
      <c r="H180" t="inlineStr">
        <is>
          <t>Em trânsito</t>
        </is>
      </c>
      <c r="O180">
        <f>IF(B180="Braspress",HYPERLINK("https://www.braspress.com.br/site/w/tracking/search?cnpj="&amp;Parametros!$P$4&amp;"&amp;documentType=NOTAFISCAL&amp;numero="&amp;C180,"Abrir rastreio"),"")</f>
        <v/>
      </c>
    </row>
    <row r="181">
      <c r="A181">
        <f>B181&amp;"|"&amp;C181</f>
        <v/>
      </c>
      <c r="B181" t="inlineStr">
        <is>
          <t>ViaCargo</t>
        </is>
      </c>
      <c r="C181" t="n">
        <v>148</v>
      </c>
      <c r="D181" t="n">
        <v>11396</v>
      </c>
      <c r="E181" t="inlineStr">
        <is>
          <t>Frio Manutenção (11396)</t>
        </is>
      </c>
      <c r="F181">
        <f>SUMIFS(tblBase[QTD],tblBase[Transportadora],B181,tblBase[NF],C181,tblBase[Grupo_Status],"Em andamento")</f>
        <v/>
      </c>
      <c r="G181" s="10">
        <f>SUMIFS(tblBase[Valor_Total],tblBase[Transportadora],B181,tblBase[NF],C181,tblBase[Grupo_Status],"Em andamento")</f>
        <v/>
      </c>
      <c r="H181" t="inlineStr">
        <is>
          <t>Em trânsito</t>
        </is>
      </c>
      <c r="O181">
        <f>IF(B181="Braspress",HYPERLINK("https://www.braspress.com.br/site/w/tracking/search?cnpj="&amp;Parametros!$P$4&amp;"&amp;documentType=NOTAFISCAL&amp;numero="&amp;C181,"Abrir rastreio"),"")</f>
        <v/>
      </c>
    </row>
    <row r="182">
      <c r="A182">
        <f>B182&amp;"|"&amp;C182</f>
        <v/>
      </c>
      <c r="B182" t="inlineStr">
        <is>
          <t>TransNorte</t>
        </is>
      </c>
      <c r="C182" t="n">
        <v>149</v>
      </c>
      <c r="D182" t="n">
        <v>10842</v>
      </c>
      <c r="E182" t="inlineStr">
        <is>
          <t>Frigo &amp; Cia (10842)</t>
        </is>
      </c>
      <c r="F182">
        <f>SUMIFS(tblBase[QTD],tblBase[Transportadora],B182,tblBase[NF],C182,tblBase[Grupo_Status],"Em andamento")</f>
        <v/>
      </c>
      <c r="G182" s="10">
        <f>SUMIFS(tblBase[Valor_Total],tblBase[Transportadora],B182,tblBase[NF],C182,tblBase[Grupo_Status],"Em andamento")</f>
        <v/>
      </c>
      <c r="H182" t="inlineStr">
        <is>
          <t>Saiu para entrega</t>
        </is>
      </c>
      <c r="O182">
        <f>IF(B182="Braspress",HYPERLINK("https://www.braspress.com.br/site/w/tracking/search?cnpj="&amp;Parametros!$P$4&amp;"&amp;documentType=NOTAFISCAL&amp;numero="&amp;C182,"Abrir rastreio"),"")</f>
        <v/>
      </c>
    </row>
    <row r="183">
      <c r="A183">
        <f>B183&amp;"|"&amp;C183</f>
        <v/>
      </c>
      <c r="B183" t="inlineStr">
        <is>
          <t>LogExpress</t>
        </is>
      </c>
      <c r="C183" t="n">
        <v>133</v>
      </c>
      <c r="D183" t="n">
        <v>12138</v>
      </c>
      <c r="E183" t="inlineStr">
        <is>
          <t>Refrigeração Serviços (12138)</t>
        </is>
      </c>
      <c r="F183">
        <f>SUMIFS(tblBase[QTD],tblBase[Transportadora],B183,tblBase[NF],C183,tblBase[Grupo_Status],"Em andamento")</f>
        <v/>
      </c>
      <c r="G183" s="10">
        <f>SUMIFS(tblBase[Valor_Total],tblBase[Transportadora],B183,tblBase[NF],C183,tblBase[Grupo_Status],"Em andamento")</f>
        <v/>
      </c>
      <c r="H183" t="inlineStr">
        <is>
          <t>Em trânsito</t>
        </is>
      </c>
      <c r="O183">
        <f>IF(B183="Braspress",HYPERLINK("https://www.braspress.com.br/site/w/tracking/search?cnpj="&amp;Parametros!$P$4&amp;"&amp;documentType=NOTAFISCAL&amp;numero="&amp;C183,"Abrir rastreio"),"")</f>
        <v/>
      </c>
    </row>
    <row r="184">
      <c r="A184">
        <f>B184&amp;"|"&amp;C184</f>
        <v/>
      </c>
      <c r="B184" t="inlineStr">
        <is>
          <t>RotaSul</t>
        </is>
      </c>
      <c r="C184" t="n">
        <v>128</v>
      </c>
      <c r="D184" t="n">
        <v>11352</v>
      </c>
      <c r="E184" t="inlineStr">
        <is>
          <t>Frio Express (11352)</t>
        </is>
      </c>
      <c r="F184">
        <f>SUMIFS(tblBase[QTD],tblBase[Transportadora],B184,tblBase[NF],C184,tblBase[Grupo_Status],"Em andamento")</f>
        <v/>
      </c>
      <c r="G184" s="10">
        <f>SUMIFS(tblBase[Valor_Total],tblBase[Transportadora],B184,tblBase[NF],C184,tblBase[Grupo_Status],"Em andamento")</f>
        <v/>
      </c>
      <c r="H184" t="inlineStr">
        <is>
          <t>Aguardando coleta</t>
        </is>
      </c>
      <c r="O184">
        <f>IF(B184="Braspress",HYPERLINK("https://www.braspress.com.br/site/w/tracking/search?cnpj="&amp;Parametros!$P$4&amp;"&amp;documentType=NOTAFISCAL&amp;numero="&amp;C184,"Abrir rastreio"),"")</f>
        <v/>
      </c>
    </row>
    <row r="185">
      <c r="A185">
        <f>B185&amp;"|"&amp;C185</f>
        <v/>
      </c>
      <c r="B185" t="inlineStr">
        <is>
          <t>ViaCargo</t>
        </is>
      </c>
      <c r="C185" t="n">
        <v>113</v>
      </c>
      <c r="D185" t="n">
        <v>12089</v>
      </c>
      <c r="E185" t="inlineStr">
        <is>
          <t>Termotec Serviços (12089)</t>
        </is>
      </c>
      <c r="F185">
        <f>SUMIFS(tblBase[QTD],tblBase[Transportadora],B185,tblBase[NF],C185,tblBase[Grupo_Status],"Em andamento")</f>
        <v/>
      </c>
      <c r="G185" s="10">
        <f>SUMIFS(tblBase[Valor_Total],tblBase[Transportadora],B185,tblBase[NF],C185,tblBase[Grupo_Status],"Em andamento")</f>
        <v/>
      </c>
      <c r="H185" t="inlineStr">
        <is>
          <t>Em trânsito</t>
        </is>
      </c>
      <c r="O185">
        <f>IF(B185="Braspress",HYPERLINK("https://www.braspress.com.br/site/w/tracking/search?cnpj="&amp;Parametros!$P$4&amp;"&amp;documentType=NOTAFISCAL&amp;numero="&amp;C185,"Abrir rastreio"),"")</f>
        <v/>
      </c>
    </row>
    <row r="186">
      <c r="A186">
        <f>B186&amp;"|"&amp;C186</f>
        <v/>
      </c>
      <c r="B186" t="inlineStr">
        <is>
          <t>CargoMax</t>
        </is>
      </c>
      <c r="C186" t="n">
        <v>101</v>
      </c>
      <c r="D186" t="n">
        <v>12280</v>
      </c>
      <c r="E186" t="inlineStr">
        <is>
          <t>Termotec &amp; Cia (12280)</t>
        </is>
      </c>
      <c r="F186">
        <f>SUMIFS(tblBase[QTD],tblBase[Transportadora],B186,tblBase[NF],C186,tblBase[Grupo_Status],"Em andamento")</f>
        <v/>
      </c>
      <c r="G186" s="10">
        <f>SUMIFS(tblBase[Valor_Total],tblBase[Transportadora],B186,tblBase[NF],C186,tblBase[Grupo_Status],"Em andamento")</f>
        <v/>
      </c>
      <c r="H186" t="inlineStr">
        <is>
          <t>Aguardando coleta</t>
        </is>
      </c>
      <c r="O186">
        <f>IF(B186="Braspress",HYPERLINK("https://www.braspress.com.br/site/w/tracking/search?cnpj="&amp;Parametros!$P$4&amp;"&amp;documentType=NOTAFISCAL&amp;numero="&amp;C186,"Abrir rastreio"),"")</f>
        <v/>
      </c>
    </row>
    <row r="187">
      <c r="A187">
        <f>B187&amp;"|"&amp;C187</f>
        <v/>
      </c>
      <c r="B187" t="inlineStr">
        <is>
          <t>EntregaJá</t>
        </is>
      </c>
      <c r="C187" t="n">
        <v>129</v>
      </c>
      <c r="D187" t="n">
        <v>10939</v>
      </c>
      <c r="E187" t="inlineStr">
        <is>
          <t>Zero Grau Manutenção (10939)</t>
        </is>
      </c>
      <c r="F187">
        <f>SUMIFS(tblBase[QTD],tblBase[Transportadora],B187,tblBase[NF],C187,tblBase[Grupo_Status],"Em andamento")</f>
        <v/>
      </c>
      <c r="G187" s="10">
        <f>SUMIFS(tblBase[Valor_Total],tblBase[Transportadora],B187,tblBase[NF],C187,tblBase[Grupo_Status],"Em andamento")</f>
        <v/>
      </c>
      <c r="H187" t="inlineStr">
        <is>
          <t>Aguardando coleta</t>
        </is>
      </c>
      <c r="O187">
        <f>IF(B187="Braspress",HYPERLINK("https://www.braspress.com.br/site/w/tracking/search?cnpj="&amp;Parametros!$P$4&amp;"&amp;documentType=NOTAFISCAL&amp;numero="&amp;C187,"Abrir rastreio"),"")</f>
        <v/>
      </c>
    </row>
    <row r="188">
      <c r="A188">
        <f>B188&amp;"|"&amp;C188</f>
        <v/>
      </c>
      <c r="B188" t="inlineStr">
        <is>
          <t>TransNorte</t>
        </is>
      </c>
      <c r="C188" t="n">
        <v>167</v>
      </c>
      <c r="D188" t="n">
        <v>11726</v>
      </c>
      <c r="E188" t="inlineStr">
        <is>
          <t>Norte Frio Refrigeração (11726)</t>
        </is>
      </c>
      <c r="F188">
        <f>SUMIFS(tblBase[QTD],tblBase[Transportadora],B188,tblBase[NF],C188,tblBase[Grupo_Status],"Em andamento")</f>
        <v/>
      </c>
      <c r="G188" s="10">
        <f>SUMIFS(tblBase[Valor_Total],tblBase[Transportadora],B188,tblBase[NF],C188,tblBase[Grupo_Status],"Em andamento")</f>
        <v/>
      </c>
      <c r="H188" t="inlineStr">
        <is>
          <t>Aguardando coleta</t>
        </is>
      </c>
      <c r="O188">
        <f>IF(B188="Braspress",HYPERLINK("https://www.braspress.com.br/site/w/tracking/search?cnpj="&amp;Parametros!$P$4&amp;"&amp;documentType=NOTAFISCAL&amp;numero="&amp;C188,"Abrir rastreio"),"")</f>
        <v/>
      </c>
    </row>
    <row r="189">
      <c r="A189">
        <f>B189&amp;"|"&amp;C189</f>
        <v/>
      </c>
      <c r="B189" t="inlineStr">
        <is>
          <t>ViaCargo</t>
        </is>
      </c>
      <c r="C189" t="n">
        <v>147</v>
      </c>
      <c r="D189" t="n">
        <v>12336</v>
      </c>
      <c r="E189" t="inlineStr">
        <is>
          <t>Termotec ME (12336)</t>
        </is>
      </c>
      <c r="F189">
        <f>SUMIFS(tblBase[QTD],tblBase[Transportadora],B189,tblBase[NF],C189,tblBase[Grupo_Status],"Em andamento")</f>
        <v/>
      </c>
      <c r="G189" s="10">
        <f>SUMIFS(tblBase[Valor_Total],tblBase[Transportadora],B189,tblBase[NF],C189,tblBase[Grupo_Status],"Em andamento")</f>
        <v/>
      </c>
      <c r="H189" t="inlineStr">
        <is>
          <t>Saiu para entrega</t>
        </is>
      </c>
      <c r="O189">
        <f>IF(B189="Braspress",HYPERLINK("https://www.braspress.com.br/site/w/tracking/search?cnpj="&amp;Parametros!$P$4&amp;"&amp;documentType=NOTAFISCAL&amp;numero="&amp;C189,"Abrir rastreio"),"")</f>
        <v/>
      </c>
    </row>
    <row r="190">
      <c r="A190">
        <f>B190&amp;"|"&amp;C190</f>
        <v/>
      </c>
      <c r="B190" t="inlineStr">
        <is>
          <t>RotaSul</t>
        </is>
      </c>
      <c r="C190" t="n">
        <v>121</v>
      </c>
      <c r="D190" t="n">
        <v>11352</v>
      </c>
      <c r="E190" t="inlineStr">
        <is>
          <t>Frio Express (11352)</t>
        </is>
      </c>
      <c r="F190">
        <f>SUMIFS(tblBase[QTD],tblBase[Transportadora],B190,tblBase[NF],C190,tblBase[Grupo_Status],"Em andamento")</f>
        <v/>
      </c>
      <c r="G190" s="10">
        <f>SUMIFS(tblBase[Valor_Total],tblBase[Transportadora],B190,tblBase[NF],C190,tblBase[Grupo_Status],"Em andamento")</f>
        <v/>
      </c>
      <c r="H190" t="inlineStr">
        <is>
          <t>Saiu para entrega</t>
        </is>
      </c>
      <c r="O190">
        <f>IF(B190="Braspress",HYPERLINK("https://www.braspress.com.br/site/w/tracking/search?cnpj="&amp;Parametros!$P$4&amp;"&amp;documentType=NOTAFISCAL&amp;numero="&amp;C190,"Abrir rastreio"),"")</f>
        <v/>
      </c>
    </row>
    <row r="191">
      <c r="A191">
        <f>B191&amp;"|"&amp;C191</f>
        <v/>
      </c>
      <c r="B191" t="inlineStr">
        <is>
          <t>CargoMax</t>
        </is>
      </c>
      <c r="C191" t="n">
        <v>122</v>
      </c>
      <c r="D191" t="n">
        <v>10111</v>
      </c>
      <c r="E191" t="inlineStr">
        <is>
          <t>Refrigel Manutenção (10111)</t>
        </is>
      </c>
      <c r="F191">
        <f>SUMIFS(tblBase[QTD],tblBase[Transportadora],B191,tblBase[NF],C191,tblBase[Grupo_Status],"Em andamento")</f>
        <v/>
      </c>
      <c r="G191" s="10">
        <f>SUMIFS(tblBase[Valor_Total],tblBase[Transportadora],B191,tblBase[NF],C191,tblBase[Grupo_Status],"Em andamento")</f>
        <v/>
      </c>
      <c r="H191" t="inlineStr">
        <is>
          <t>Em trânsito</t>
        </is>
      </c>
      <c r="O191">
        <f>IF(B191="Braspress",HYPERLINK("https://www.braspress.com.br/site/w/tracking/search?cnpj="&amp;Parametros!$P$4&amp;"&amp;documentType=NOTAFISCAL&amp;numero="&amp;C191,"Abrir rastreio"),"")</f>
        <v/>
      </c>
    </row>
    <row r="192">
      <c r="A192">
        <f>B192&amp;"|"&amp;C192</f>
        <v/>
      </c>
      <c r="B192" t="inlineStr">
        <is>
          <t>RotaSul</t>
        </is>
      </c>
      <c r="C192" t="n">
        <v>154</v>
      </c>
      <c r="D192" t="n">
        <v>12158</v>
      </c>
      <c r="E192" t="inlineStr">
        <is>
          <t>Gelo Serviços (12158)</t>
        </is>
      </c>
      <c r="F192">
        <f>SUMIFS(tblBase[QTD],tblBase[Transportadora],B192,tblBase[NF],C192,tblBase[Grupo_Status],"Em andamento")</f>
        <v/>
      </c>
      <c r="G192" s="10">
        <f>SUMIFS(tblBase[Valor_Total],tblBase[Transportadora],B192,tblBase[NF],C192,tblBase[Grupo_Status],"Em andamento")</f>
        <v/>
      </c>
      <c r="H192" t="inlineStr"/>
      <c r="O192">
        <f>IF(B192="Braspress",HYPERLINK("https://www.braspress.com.br/site/w/tracking/search?cnpj="&amp;Parametros!$P$4&amp;"&amp;documentType=NOTAFISCAL&amp;numero="&amp;C192,"Abrir rastreio"),"")</f>
        <v/>
      </c>
    </row>
    <row r="193">
      <c r="A193">
        <f>B193&amp;"|"&amp;C193</f>
        <v/>
      </c>
      <c r="B193" t="inlineStr">
        <is>
          <t>TransNorte</t>
        </is>
      </c>
      <c r="C193" t="n">
        <v>139</v>
      </c>
      <c r="D193" t="n">
        <v>12194</v>
      </c>
      <c r="E193" t="inlineStr">
        <is>
          <t>Polar &amp; Cia (12194)</t>
        </is>
      </c>
      <c r="F193">
        <f>SUMIFS(tblBase[QTD],tblBase[Transportadora],B193,tblBase[NF],C193,tblBase[Grupo_Status],"Em andamento")</f>
        <v/>
      </c>
      <c r="G193" s="10">
        <f>SUMIFS(tblBase[Valor_Total],tblBase[Transportadora],B193,tblBase[NF],C193,tblBase[Grupo_Status],"Em andamento")</f>
        <v/>
      </c>
      <c r="H193" t="inlineStr"/>
      <c r="O193">
        <f>IF(B193="Braspress",HYPERLINK("https://www.braspress.com.br/site/w/tracking/search?cnpj="&amp;Parametros!$P$4&amp;"&amp;documentType=NOTAFISCAL&amp;numero="&amp;C193,"Abrir rastreio"),"")</f>
        <v/>
      </c>
    </row>
    <row r="194">
      <c r="A194">
        <f>B194&amp;"|"&amp;C194</f>
        <v/>
      </c>
      <c r="B194" t="inlineStr">
        <is>
          <t>TransNorte</t>
        </is>
      </c>
      <c r="C194" t="n">
        <v>134</v>
      </c>
      <c r="D194" t="n">
        <v>10538</v>
      </c>
      <c r="E194" t="inlineStr">
        <is>
          <t>Frio Refrigeração (10538)</t>
        </is>
      </c>
      <c r="F194">
        <f>SUMIFS(tblBase[QTD],tblBase[Transportadora],B194,tblBase[NF],C194,tblBase[Grupo_Status],"Em andamento")</f>
        <v/>
      </c>
      <c r="G194" s="10">
        <f>SUMIFS(tblBase[Valor_Total],tblBase[Transportadora],B194,tblBase[NF],C194,tblBase[Grupo_Status],"Em andamento")</f>
        <v/>
      </c>
      <c r="H194" t="inlineStr">
        <is>
          <t>Saiu para entrega</t>
        </is>
      </c>
      <c r="O194">
        <f>IF(B194="Braspress",HYPERLINK("https://www.braspress.com.br/site/w/tracking/search?cnpj="&amp;Parametros!$P$4&amp;"&amp;documentType=NOTAFISCAL&amp;numero="&amp;C194,"Abrir rastreio"),"")</f>
        <v/>
      </c>
    </row>
    <row r="195">
      <c r="A195">
        <f>B195&amp;"|"&amp;C195</f>
        <v/>
      </c>
      <c r="B195" t="inlineStr">
        <is>
          <t>RotaSul</t>
        </is>
      </c>
      <c r="C195" t="n">
        <v>113</v>
      </c>
      <c r="D195" t="n">
        <v>12470</v>
      </c>
      <c r="E195" t="inlineStr">
        <is>
          <t>Cool Service Técnica (12470)</t>
        </is>
      </c>
      <c r="F195">
        <f>SUMIFS(tblBase[QTD],tblBase[Transportadora],B195,tblBase[NF],C195,tblBase[Grupo_Status],"Em andamento")</f>
        <v/>
      </c>
      <c r="G195" s="10">
        <f>SUMIFS(tblBase[Valor_Total],tblBase[Transportadora],B195,tblBase[NF],C195,tblBase[Grupo_Status],"Em andamento")</f>
        <v/>
      </c>
      <c r="H195" t="inlineStr">
        <is>
          <t>Saiu para entrega</t>
        </is>
      </c>
      <c r="O195">
        <f>IF(B195="Braspress",HYPERLINK("https://www.braspress.com.br/site/w/tracking/search?cnpj="&amp;Parametros!$P$4&amp;"&amp;documentType=NOTAFISCAL&amp;numero="&amp;C195,"Abrir rastreio"),"")</f>
        <v/>
      </c>
    </row>
    <row r="196">
      <c r="A196">
        <f>B196&amp;"|"&amp;C196</f>
        <v/>
      </c>
      <c r="B196" t="inlineStr">
        <is>
          <t>EntregaJá</t>
        </is>
      </c>
      <c r="C196" t="n">
        <v>159</v>
      </c>
      <c r="D196" t="n">
        <v>10317</v>
      </c>
      <c r="E196" t="inlineStr">
        <is>
          <t>Termotec Manutenção (10317)</t>
        </is>
      </c>
      <c r="F196">
        <f>SUMIFS(tblBase[QTD],tblBase[Transportadora],B196,tblBase[NF],C196,tblBase[Grupo_Status],"Em andamento")</f>
        <v/>
      </c>
      <c r="G196" s="10">
        <f>SUMIFS(tblBase[Valor_Total],tblBase[Transportadora],B196,tblBase[NF],C196,tblBase[Grupo_Status],"Em andamento")</f>
        <v/>
      </c>
      <c r="H196" t="inlineStr">
        <is>
          <t>Saiu para entrega</t>
        </is>
      </c>
      <c r="O196">
        <f>IF(B196="Braspress",HYPERLINK("https://www.braspress.com.br/site/w/tracking/search?cnpj="&amp;Parametros!$P$4&amp;"&amp;documentType=NOTAFISCAL&amp;numero="&amp;C196,"Abrir rastreio"),"")</f>
        <v/>
      </c>
    </row>
    <row r="197">
      <c r="A197">
        <f>B197&amp;"|"&amp;C197</f>
        <v/>
      </c>
      <c r="B197" t="inlineStr">
        <is>
          <t>RotaSul</t>
        </is>
      </c>
      <c r="C197" t="n">
        <v>119</v>
      </c>
      <c r="D197" t="n">
        <v>10753</v>
      </c>
      <c r="E197" t="inlineStr">
        <is>
          <t>Refrigel &amp; Cia (10753)</t>
        </is>
      </c>
      <c r="F197">
        <f>SUMIFS(tblBase[QTD],tblBase[Transportadora],B197,tblBase[NF],C197,tblBase[Grupo_Status],"Em andamento")</f>
        <v/>
      </c>
      <c r="G197" s="10">
        <f>SUMIFS(tblBase[Valor_Total],tblBase[Transportadora],B197,tblBase[NF],C197,tblBase[Grupo_Status],"Em andamento")</f>
        <v/>
      </c>
      <c r="H197" t="inlineStr">
        <is>
          <t>Em trânsito</t>
        </is>
      </c>
      <c r="O197">
        <f>IF(B197="Braspress",HYPERLINK("https://www.braspress.com.br/site/w/tracking/search?cnpj="&amp;Parametros!$P$4&amp;"&amp;documentType=NOTAFISCAL&amp;numero="&amp;C197,"Abrir rastreio"),"")</f>
        <v/>
      </c>
    </row>
    <row r="198">
      <c r="A198">
        <f>B198&amp;"|"&amp;C198</f>
        <v/>
      </c>
      <c r="B198" t="inlineStr">
        <is>
          <t>ViaCargo</t>
        </is>
      </c>
      <c r="C198" t="n">
        <v>132</v>
      </c>
      <c r="D198" t="n">
        <v>10111</v>
      </c>
      <c r="E198" t="inlineStr">
        <is>
          <t>Refrigel Manutenção (10111)</t>
        </is>
      </c>
      <c r="F198">
        <f>SUMIFS(tblBase[QTD],tblBase[Transportadora],B198,tblBase[NF],C198,tblBase[Grupo_Status],"Em andamento")</f>
        <v/>
      </c>
      <c r="G198" s="10">
        <f>SUMIFS(tblBase[Valor_Total],tblBase[Transportadora],B198,tblBase[NF],C198,tblBase[Grupo_Status],"Em andamento")</f>
        <v/>
      </c>
      <c r="H198" t="inlineStr">
        <is>
          <t>Saiu para entrega</t>
        </is>
      </c>
      <c r="O198">
        <f>IF(B198="Braspress",HYPERLINK("https://www.braspress.com.br/site/w/tracking/search?cnpj="&amp;Parametros!$P$4&amp;"&amp;documentType=NOTAFISCAL&amp;numero="&amp;C198,"Abrir rastreio"),"")</f>
        <v/>
      </c>
    </row>
    <row r="199">
      <c r="A199">
        <f>B199&amp;"|"&amp;C199</f>
        <v/>
      </c>
      <c r="B199" t="inlineStr">
        <is>
          <t>TransNorte</t>
        </is>
      </c>
      <c r="C199" t="n">
        <v>106</v>
      </c>
      <c r="D199" t="n">
        <v>10562</v>
      </c>
      <c r="E199" t="inlineStr">
        <is>
          <t>Clima &amp; Cia (10562)</t>
        </is>
      </c>
      <c r="F199">
        <f>SUMIFS(tblBase[QTD],tblBase[Transportadora],B199,tblBase[NF],C199,tblBase[Grupo_Status],"Em andamento")</f>
        <v/>
      </c>
      <c r="G199" s="10">
        <f>SUMIFS(tblBase[Valor_Total],tblBase[Transportadora],B199,tblBase[NF],C199,tblBase[Grupo_Status],"Em andamento")</f>
        <v/>
      </c>
      <c r="H199" t="inlineStr"/>
      <c r="O199">
        <f>IF(B199="Braspress",HYPERLINK("https://www.braspress.com.br/site/w/tracking/search?cnpj="&amp;Parametros!$P$4&amp;"&amp;documentType=NOTAFISCAL&amp;numero="&amp;C199,"Abrir rastreio"),"")</f>
        <v/>
      </c>
    </row>
    <row r="200">
      <c r="A200">
        <f>B200&amp;"|"&amp;C200</f>
        <v/>
      </c>
      <c r="B200" t="inlineStr">
        <is>
          <t>CargoMax</t>
        </is>
      </c>
      <c r="C200" t="n">
        <v>158</v>
      </c>
      <c r="D200" t="n">
        <v>12280</v>
      </c>
      <c r="E200" t="inlineStr">
        <is>
          <t>Termotec &amp; Cia (12280)</t>
        </is>
      </c>
      <c r="F200">
        <f>SUMIFS(tblBase[QTD],tblBase[Transportadora],B200,tblBase[NF],C200,tblBase[Grupo_Status],"Em andamento")</f>
        <v/>
      </c>
      <c r="G200" s="10">
        <f>SUMIFS(tblBase[Valor_Total],tblBase[Transportadora],B200,tblBase[NF],C200,tblBase[Grupo_Status],"Em andamento")</f>
        <v/>
      </c>
      <c r="H200" t="inlineStr">
        <is>
          <t>Em trânsito</t>
        </is>
      </c>
      <c r="O200">
        <f>IF(B200="Braspress",HYPERLINK("https://www.braspress.com.br/site/w/tracking/search?cnpj="&amp;Parametros!$P$4&amp;"&amp;documentType=NOTAFISCAL&amp;numero="&amp;C200,"Abrir rastreio"),"")</f>
        <v/>
      </c>
    </row>
    <row r="201">
      <c r="A201">
        <f>B201&amp;"|"&amp;C201</f>
        <v/>
      </c>
      <c r="B201" t="inlineStr">
        <is>
          <t>EntregaJá</t>
        </is>
      </c>
      <c r="C201" t="n">
        <v>153</v>
      </c>
      <c r="D201" t="n">
        <v>12901</v>
      </c>
      <c r="E201" t="inlineStr">
        <is>
          <t>Frio Serviços (12901)</t>
        </is>
      </c>
      <c r="F201">
        <f>SUMIFS(tblBase[QTD],tblBase[Transportadora],B201,tblBase[NF],C201,tblBase[Grupo_Status],"Em andamento")</f>
        <v/>
      </c>
      <c r="G201" s="10">
        <f>SUMIFS(tblBase[Valor_Total],tblBase[Transportadora],B201,tblBase[NF],C201,tblBase[Grupo_Status],"Em andamento")</f>
        <v/>
      </c>
      <c r="H201" t="inlineStr"/>
      <c r="O201">
        <f>IF(B201="Braspress",HYPERLINK("https://www.braspress.com.br/site/w/tracking/search?cnpj="&amp;Parametros!$P$4&amp;"&amp;documentType=NOTAFISCAL&amp;numero="&amp;C201,"Abrir rastreio"),"")</f>
        <v/>
      </c>
    </row>
    <row r="202">
      <c r="A202">
        <f>B202&amp;"|"&amp;C202</f>
        <v/>
      </c>
      <c r="B202" t="inlineStr">
        <is>
          <t>EntregaJá</t>
        </is>
      </c>
      <c r="C202" t="n">
        <v>145</v>
      </c>
      <c r="D202" t="n">
        <v>11898</v>
      </c>
      <c r="E202" t="inlineStr">
        <is>
          <t>Refrigel Express (11898)</t>
        </is>
      </c>
      <c r="F202">
        <f>SUMIFS(tblBase[QTD],tblBase[Transportadora],B202,tblBase[NF],C202,tblBase[Grupo_Status],"Em andamento")</f>
        <v/>
      </c>
      <c r="G202" s="10">
        <f>SUMIFS(tblBase[Valor_Total],tblBase[Transportadora],B202,tblBase[NF],C202,tblBase[Grupo_Status],"Em andamento")</f>
        <v/>
      </c>
      <c r="H202" t="inlineStr">
        <is>
          <t>Em trânsito</t>
        </is>
      </c>
      <c r="O202">
        <f>IF(B202="Braspress",HYPERLINK("https://www.braspress.com.br/site/w/tracking/search?cnpj="&amp;Parametros!$P$4&amp;"&amp;documentType=NOTAFISCAL&amp;numero="&amp;C202,"Abrir rastreio"),"")</f>
        <v/>
      </c>
    </row>
    <row r="203">
      <c r="A203">
        <f>B203&amp;"|"&amp;C203</f>
        <v/>
      </c>
      <c r="B203" t="inlineStr">
        <is>
          <t>TransNorte</t>
        </is>
      </c>
      <c r="C203" t="n">
        <v>114</v>
      </c>
      <c r="D203" t="n">
        <v>10010</v>
      </c>
      <c r="E203" t="inlineStr">
        <is>
          <t>Cool Service ME (10010)</t>
        </is>
      </c>
      <c r="F203">
        <f>SUMIFS(tblBase[QTD],tblBase[Transportadora],B203,tblBase[NF],C203,tblBase[Grupo_Status],"Em andamento")</f>
        <v/>
      </c>
      <c r="G203" s="10">
        <f>SUMIFS(tblBase[Valor_Total],tblBase[Transportadora],B203,tblBase[NF],C203,tblBase[Grupo_Status],"Em andamento")</f>
        <v/>
      </c>
      <c r="H203" t="inlineStr">
        <is>
          <t>Aguardando coleta</t>
        </is>
      </c>
      <c r="O203">
        <f>IF(B203="Braspress",HYPERLINK("https://www.braspress.com.br/site/w/tracking/search?cnpj="&amp;Parametros!$P$4&amp;"&amp;documentType=NOTAFISCAL&amp;numero="&amp;C203,"Abrir rastreio"),"")</f>
        <v/>
      </c>
    </row>
    <row r="204">
      <c r="A204">
        <f>B204&amp;"|"&amp;C204</f>
        <v/>
      </c>
      <c r="B204" t="inlineStr">
        <is>
          <t>TransNorte</t>
        </is>
      </c>
      <c r="C204" t="n">
        <v>101</v>
      </c>
      <c r="D204" t="n">
        <v>12089</v>
      </c>
      <c r="E204" t="inlineStr">
        <is>
          <t>Termotec Serviços (12089)</t>
        </is>
      </c>
      <c r="F204">
        <f>SUMIFS(tblBase[QTD],tblBase[Transportadora],B204,tblBase[NF],C204,tblBase[Grupo_Status],"Em andamento")</f>
        <v/>
      </c>
      <c r="G204" s="10">
        <f>SUMIFS(tblBase[Valor_Total],tblBase[Transportadora],B204,tblBase[NF],C204,tblBase[Grupo_Status],"Em andamento")</f>
        <v/>
      </c>
      <c r="H204" t="inlineStr"/>
      <c r="O204">
        <f>IF(B204="Braspress",HYPERLINK("https://www.braspress.com.br/site/w/tracking/search?cnpj="&amp;Parametros!$P$4&amp;"&amp;documentType=NOTAFISCAL&amp;numero="&amp;C204,"Abrir rastreio"),"")</f>
        <v/>
      </c>
    </row>
    <row r="205">
      <c r="A205">
        <f>B205&amp;"|"&amp;C205</f>
        <v/>
      </c>
      <c r="B205" t="inlineStr">
        <is>
          <t>CargoMax</t>
        </is>
      </c>
      <c r="C205" t="n">
        <v>109</v>
      </c>
      <c r="D205" t="n">
        <v>10372</v>
      </c>
      <c r="E205" t="inlineStr">
        <is>
          <t>Zero Grau ME (10372)</t>
        </is>
      </c>
      <c r="F205">
        <f>SUMIFS(tblBase[QTD],tblBase[Transportadora],B205,tblBase[NF],C205,tblBase[Grupo_Status],"Em andamento")</f>
        <v/>
      </c>
      <c r="G205" s="10">
        <f>SUMIFS(tblBase[Valor_Total],tblBase[Transportadora],B205,tblBase[NF],C205,tblBase[Grupo_Status],"Em andamento")</f>
        <v/>
      </c>
      <c r="H205" t="inlineStr">
        <is>
          <t>Saiu para entrega</t>
        </is>
      </c>
      <c r="O205">
        <f>IF(B205="Braspress",HYPERLINK("https://www.braspress.com.br/site/w/tracking/search?cnpj="&amp;Parametros!$P$4&amp;"&amp;documentType=NOTAFISCAL&amp;numero="&amp;C205,"Abrir rastreio"),"")</f>
        <v/>
      </c>
    </row>
    <row r="206">
      <c r="A206">
        <f>B206&amp;"|"&amp;C206</f>
        <v/>
      </c>
      <c r="B206" t="inlineStr">
        <is>
          <t>EntregaJá</t>
        </is>
      </c>
      <c r="C206" t="n">
        <v>144</v>
      </c>
      <c r="D206" t="n">
        <v>11293</v>
      </c>
      <c r="E206" t="inlineStr">
        <is>
          <t>Assistência Técnica Ltda (11293)</t>
        </is>
      </c>
      <c r="F206">
        <f>SUMIFS(tblBase[QTD],tblBase[Transportadora],B206,tblBase[NF],C206,tblBase[Grupo_Status],"Em andamento")</f>
        <v/>
      </c>
      <c r="G206" s="10">
        <f>SUMIFS(tblBase[Valor_Total],tblBase[Transportadora],B206,tblBase[NF],C206,tblBase[Grupo_Status],"Em andamento")</f>
        <v/>
      </c>
      <c r="H206" t="inlineStr">
        <is>
          <t>Aguardando coleta</t>
        </is>
      </c>
      <c r="O206">
        <f>IF(B206="Braspress",HYPERLINK("https://www.braspress.com.br/site/w/tracking/search?cnpj="&amp;Parametros!$P$4&amp;"&amp;documentType=NOTAFISCAL&amp;numero="&amp;C206,"Abrir rastreio"),"")</f>
        <v/>
      </c>
    </row>
    <row r="207">
      <c r="A207">
        <f>B207&amp;"|"&amp;C207</f>
        <v/>
      </c>
      <c r="B207" t="inlineStr">
        <is>
          <t>LogExpress</t>
        </is>
      </c>
      <c r="C207" t="n">
        <v>108</v>
      </c>
      <c r="D207" t="n">
        <v>11244</v>
      </c>
      <c r="E207" t="inlineStr">
        <is>
          <t>Refrigeração Manutenção (11244)</t>
        </is>
      </c>
      <c r="F207">
        <f>SUMIFS(tblBase[QTD],tblBase[Transportadora],B207,tblBase[NF],C207,tblBase[Grupo_Status],"Em andamento")</f>
        <v/>
      </c>
      <c r="G207" s="10">
        <f>SUMIFS(tblBase[Valor_Total],tblBase[Transportadora],B207,tblBase[NF],C207,tblBase[Grupo_Status],"Em andamento")</f>
        <v/>
      </c>
      <c r="H207" t="inlineStr">
        <is>
          <t>Aguardando coleta</t>
        </is>
      </c>
      <c r="O207">
        <f>IF(B207="Braspress",HYPERLINK("https://www.braspress.com.br/site/w/tracking/search?cnpj="&amp;Parametros!$P$4&amp;"&amp;documentType=NOTAFISCAL&amp;numero="&amp;C207,"Abrir rastreio"),"")</f>
        <v/>
      </c>
    </row>
    <row r="208">
      <c r="A208">
        <f>B208&amp;"|"&amp;C208</f>
        <v/>
      </c>
      <c r="B208" t="inlineStr">
        <is>
          <t>ViaCargo</t>
        </is>
      </c>
      <c r="C208" t="n">
        <v>133</v>
      </c>
      <c r="D208" t="n">
        <v>11677</v>
      </c>
      <c r="E208" t="inlineStr">
        <is>
          <t>Cool Service Manutenção (11677)</t>
        </is>
      </c>
      <c r="F208">
        <f>SUMIFS(tblBase[QTD],tblBase[Transportadora],B208,tblBase[NF],C208,tblBase[Grupo_Status],"Em andamento")</f>
        <v/>
      </c>
      <c r="G208" s="10">
        <f>SUMIFS(tblBase[Valor_Total],tblBase[Transportadora],B208,tblBase[NF],C208,tblBase[Grupo_Status],"Em andamento")</f>
        <v/>
      </c>
      <c r="H208" t="inlineStr">
        <is>
          <t>Em trânsito</t>
        </is>
      </c>
      <c r="O208">
        <f>IF(B208="Braspress",HYPERLINK("https://www.braspress.com.br/site/w/tracking/search?cnpj="&amp;Parametros!$P$4&amp;"&amp;documentType=NOTAFISCAL&amp;numero="&amp;C208,"Abrir rastreio"),"")</f>
        <v/>
      </c>
    </row>
    <row r="209">
      <c r="A209">
        <f>B209&amp;"|"&amp;C209</f>
        <v/>
      </c>
      <c r="B209" t="inlineStr">
        <is>
          <t>CargoMax</t>
        </is>
      </c>
      <c r="C209" t="n">
        <v>129</v>
      </c>
      <c r="D209" t="n">
        <v>10913</v>
      </c>
      <c r="E209" t="inlineStr">
        <is>
          <t>Ice Tech &amp; Cia (10913)</t>
        </is>
      </c>
      <c r="F209">
        <f>SUMIFS(tblBase[QTD],tblBase[Transportadora],B209,tblBase[NF],C209,tblBase[Grupo_Status],"Em andamento")</f>
        <v/>
      </c>
      <c r="G209" s="10">
        <f>SUMIFS(tblBase[Valor_Total],tblBase[Transportadora],B209,tblBase[NF],C209,tblBase[Grupo_Status],"Em andamento")</f>
        <v/>
      </c>
      <c r="H209" t="inlineStr">
        <is>
          <t>Em trânsito</t>
        </is>
      </c>
      <c r="O209">
        <f>IF(B209="Braspress",HYPERLINK("https://www.braspress.com.br/site/w/tracking/search?cnpj="&amp;Parametros!$P$4&amp;"&amp;documentType=NOTAFISCAL&amp;numero="&amp;C209,"Abrir rastreio"),"")</f>
        <v/>
      </c>
    </row>
    <row r="210">
      <c r="A210">
        <f>B210&amp;"|"&amp;C210</f>
        <v/>
      </c>
      <c r="B210" t="inlineStr">
        <is>
          <t>RotaSul</t>
        </is>
      </c>
      <c r="C210" t="n">
        <v>175</v>
      </c>
      <c r="D210" t="n">
        <v>12158</v>
      </c>
      <c r="E210" t="inlineStr">
        <is>
          <t>Gelo Serviços (12158)</t>
        </is>
      </c>
      <c r="F210">
        <f>SUMIFS(tblBase[QTD],tblBase[Transportadora],B210,tblBase[NF],C210,tblBase[Grupo_Status],"Em andamento")</f>
        <v/>
      </c>
      <c r="G210" s="10">
        <f>SUMIFS(tblBase[Valor_Total],tblBase[Transportadora],B210,tblBase[NF],C210,tblBase[Grupo_Status],"Em andamento")</f>
        <v/>
      </c>
      <c r="H210" t="inlineStr">
        <is>
          <t>Em trânsito</t>
        </is>
      </c>
      <c r="O210">
        <f>IF(B210="Braspress",HYPERLINK("https://www.braspress.com.br/site/w/tracking/search?cnpj="&amp;Parametros!$P$4&amp;"&amp;documentType=NOTAFISCAL&amp;numero="&amp;C210,"Abrir rastreio"),"")</f>
        <v/>
      </c>
    </row>
    <row r="211">
      <c r="A211">
        <f>B211&amp;"|"&amp;C211</f>
        <v/>
      </c>
      <c r="B211" t="inlineStr">
        <is>
          <t>LogExpress</t>
        </is>
      </c>
      <c r="C211" t="n">
        <v>100</v>
      </c>
      <c r="D211" t="n">
        <v>10842</v>
      </c>
      <c r="E211" t="inlineStr">
        <is>
          <t>Frigo &amp; Cia (10842)</t>
        </is>
      </c>
      <c r="F211">
        <f>SUMIFS(tblBase[QTD],tblBase[Transportadora],B211,tblBase[NF],C211,tblBase[Grupo_Status],"Em andamento")</f>
        <v/>
      </c>
      <c r="G211" s="10">
        <f>SUMIFS(tblBase[Valor_Total],tblBase[Transportadora],B211,tblBase[NF],C211,tblBase[Grupo_Status],"Em andamento")</f>
        <v/>
      </c>
      <c r="H211" t="inlineStr">
        <is>
          <t>Em trânsito</t>
        </is>
      </c>
      <c r="O211">
        <f>IF(B211="Braspress",HYPERLINK("https://www.braspress.com.br/site/w/tracking/search?cnpj="&amp;Parametros!$P$4&amp;"&amp;documentType=NOTAFISCAL&amp;numero="&amp;C211,"Abrir rastreio"),"")</f>
        <v/>
      </c>
    </row>
    <row r="212">
      <c r="A212">
        <f>B212&amp;"|"&amp;C212</f>
        <v/>
      </c>
      <c r="B212" t="inlineStr">
        <is>
          <t>TransNorte</t>
        </is>
      </c>
      <c r="C212" t="n">
        <v>123</v>
      </c>
      <c r="D212" t="n">
        <v>11898</v>
      </c>
      <c r="E212" t="inlineStr">
        <is>
          <t>Refrigel Express (11898)</t>
        </is>
      </c>
      <c r="F212">
        <f>SUMIFS(tblBase[QTD],tblBase[Transportadora],B212,tblBase[NF],C212,tblBase[Grupo_Status],"Em andamento")</f>
        <v/>
      </c>
      <c r="G212" s="10">
        <f>SUMIFS(tblBase[Valor_Total],tblBase[Transportadora],B212,tblBase[NF],C212,tblBase[Grupo_Status],"Em andamento")</f>
        <v/>
      </c>
      <c r="H212" t="inlineStr">
        <is>
          <t>Em trânsito</t>
        </is>
      </c>
      <c r="O212">
        <f>IF(B212="Braspress",HYPERLINK("https://www.braspress.com.br/site/w/tracking/search?cnpj="&amp;Parametros!$P$4&amp;"&amp;documentType=NOTAFISCAL&amp;numero="&amp;C212,"Abrir rastreio"),"")</f>
        <v/>
      </c>
    </row>
    <row r="213">
      <c r="A213">
        <f>B213&amp;"|"&amp;C213</f>
        <v/>
      </c>
      <c r="B213" t="inlineStr">
        <is>
          <t>RotaSul</t>
        </is>
      </c>
      <c r="C213" t="n">
        <v>114</v>
      </c>
      <c r="D213" t="n">
        <v>11352</v>
      </c>
      <c r="E213" t="inlineStr">
        <is>
          <t>Frio Express (11352)</t>
        </is>
      </c>
      <c r="F213">
        <f>SUMIFS(tblBase[QTD],tblBase[Transportadora],B213,tblBase[NF],C213,tblBase[Grupo_Status],"Em andamento")</f>
        <v/>
      </c>
      <c r="G213" s="10">
        <f>SUMIFS(tblBase[Valor_Total],tblBase[Transportadora],B213,tblBase[NF],C213,tblBase[Grupo_Status],"Em andamento")</f>
        <v/>
      </c>
      <c r="H213" t="inlineStr">
        <is>
          <t>Em trânsito</t>
        </is>
      </c>
      <c r="O213">
        <f>IF(B213="Braspress",HYPERLINK("https://www.braspress.com.br/site/w/tracking/search?cnpj="&amp;Parametros!$P$4&amp;"&amp;documentType=NOTAFISCAL&amp;numero="&amp;C213,"Abrir rastreio"),"")</f>
        <v/>
      </c>
    </row>
    <row r="214">
      <c r="A214">
        <f>B214&amp;"|"&amp;C214</f>
        <v/>
      </c>
      <c r="B214" t="inlineStr">
        <is>
          <t>RotaSul</t>
        </is>
      </c>
      <c r="C214" t="n">
        <v>133</v>
      </c>
      <c r="D214" t="n">
        <v>11099</v>
      </c>
      <c r="E214" t="inlineStr">
        <is>
          <t>Refrigel Serviços (11099)</t>
        </is>
      </c>
      <c r="F214">
        <f>SUMIFS(tblBase[QTD],tblBase[Transportadora],B214,tblBase[NF],C214,tblBase[Grupo_Status],"Em andamento")</f>
        <v/>
      </c>
      <c r="G214" s="10">
        <f>SUMIFS(tblBase[Valor_Total],tblBase[Transportadora],B214,tblBase[NF],C214,tblBase[Grupo_Status],"Em andamento")</f>
        <v/>
      </c>
      <c r="H214" t="inlineStr">
        <is>
          <t>Em trânsito</t>
        </is>
      </c>
      <c r="O214">
        <f>IF(B214="Braspress",HYPERLINK("https://www.braspress.com.br/site/w/tracking/search?cnpj="&amp;Parametros!$P$4&amp;"&amp;documentType=NOTAFISCAL&amp;numero="&amp;C214,"Abrir rastreio"),"")</f>
        <v/>
      </c>
    </row>
    <row r="215">
      <c r="A215">
        <f>B215&amp;"|"&amp;C215</f>
        <v/>
      </c>
      <c r="B215" t="inlineStr">
        <is>
          <t>EntregaJá</t>
        </is>
      </c>
      <c r="C215" t="n">
        <v>141</v>
      </c>
      <c r="D215" t="n">
        <v>12470</v>
      </c>
      <c r="E215" t="inlineStr">
        <is>
          <t>Cool Service Técnica (12470)</t>
        </is>
      </c>
      <c r="F215">
        <f>SUMIFS(tblBase[QTD],tblBase[Transportadora],B215,tblBase[NF],C215,tblBase[Grupo_Status],"Em andamento")</f>
        <v/>
      </c>
      <c r="G215" s="10">
        <f>SUMIFS(tblBase[Valor_Total],tblBase[Transportadora],B215,tblBase[NF],C215,tblBase[Grupo_Status],"Em andamento")</f>
        <v/>
      </c>
      <c r="H215" t="inlineStr">
        <is>
          <t>Aguardando coleta</t>
        </is>
      </c>
      <c r="O215">
        <f>IF(B215="Braspress",HYPERLINK("https://www.braspress.com.br/site/w/tracking/search?cnpj="&amp;Parametros!$P$4&amp;"&amp;documentType=NOTAFISCAL&amp;numero="&amp;C215,"Abrir rastreio"),"")</f>
        <v/>
      </c>
    </row>
    <row r="216">
      <c r="A216">
        <f>B216&amp;"|"&amp;C216</f>
        <v/>
      </c>
      <c r="B216" t="inlineStr">
        <is>
          <t>LogExpress</t>
        </is>
      </c>
      <c r="C216" t="n">
        <v>136</v>
      </c>
      <c r="D216" t="n">
        <v>11459</v>
      </c>
      <c r="E216" t="inlineStr">
        <is>
          <t>Frio ME (11459)</t>
        </is>
      </c>
      <c r="F216">
        <f>SUMIFS(tblBase[QTD],tblBase[Transportadora],B216,tblBase[NF],C216,tblBase[Grupo_Status],"Em andamento")</f>
        <v/>
      </c>
      <c r="G216" s="10">
        <f>SUMIFS(tblBase[Valor_Total],tblBase[Transportadora],B216,tblBase[NF],C216,tblBase[Grupo_Status],"Em andamento")</f>
        <v/>
      </c>
      <c r="H216" t="inlineStr">
        <is>
          <t>Saiu para entrega</t>
        </is>
      </c>
      <c r="O216">
        <f>IF(B216="Braspress",HYPERLINK("https://www.braspress.com.br/site/w/tracking/search?cnpj="&amp;Parametros!$P$4&amp;"&amp;documentType=NOTAFISCAL&amp;numero="&amp;C216,"Abrir rastreio"),"")</f>
        <v/>
      </c>
    </row>
    <row r="217">
      <c r="A217">
        <f>B217&amp;"|"&amp;C217</f>
        <v/>
      </c>
      <c r="B217" t="inlineStr">
        <is>
          <t>ViaCargo</t>
        </is>
      </c>
      <c r="C217" t="n">
        <v>151</v>
      </c>
      <c r="D217" t="n">
        <v>12336</v>
      </c>
      <c r="E217" t="inlineStr">
        <is>
          <t>Termotec ME (12336)</t>
        </is>
      </c>
      <c r="F217">
        <f>SUMIFS(tblBase[QTD],tblBase[Transportadora],B217,tblBase[NF],C217,tblBase[Grupo_Status],"Em andamento")</f>
        <v/>
      </c>
      <c r="G217" s="10">
        <f>SUMIFS(tblBase[Valor_Total],tblBase[Transportadora],B217,tblBase[NF],C217,tblBase[Grupo_Status],"Em andamento")</f>
        <v/>
      </c>
      <c r="H217" t="inlineStr">
        <is>
          <t>Em trânsito</t>
        </is>
      </c>
      <c r="O217">
        <f>IF(B217="Braspress",HYPERLINK("https://www.braspress.com.br/site/w/tracking/search?cnpj="&amp;Parametros!$P$4&amp;"&amp;documentType=NOTAFISCAL&amp;numero="&amp;C217,"Abrir rastreio"),"")</f>
        <v/>
      </c>
    </row>
    <row r="218">
      <c r="A218">
        <f>B218&amp;"|"&amp;C218</f>
        <v/>
      </c>
      <c r="B218" t="inlineStr">
        <is>
          <t>ViaCargo</t>
        </is>
      </c>
      <c r="C218" t="n">
        <v>124</v>
      </c>
      <c r="D218" t="n">
        <v>12158</v>
      </c>
      <c r="E218" t="inlineStr">
        <is>
          <t>Gelo Serviços (12158)</t>
        </is>
      </c>
      <c r="F218">
        <f>SUMIFS(tblBase[QTD],tblBase[Transportadora],B218,tblBase[NF],C218,tblBase[Grupo_Status],"Em andamento")</f>
        <v/>
      </c>
      <c r="G218" s="10">
        <f>SUMIFS(tblBase[Valor_Total],tblBase[Transportadora],B218,tblBase[NF],C218,tblBase[Grupo_Status],"Em andamento")</f>
        <v/>
      </c>
      <c r="H218" t="inlineStr">
        <is>
          <t>Em trânsito</t>
        </is>
      </c>
      <c r="O218">
        <f>IF(B218="Braspress",HYPERLINK("https://www.braspress.com.br/site/w/tracking/search?cnpj="&amp;Parametros!$P$4&amp;"&amp;documentType=NOTAFISCAL&amp;numero="&amp;C218,"Abrir rastreio"),"")</f>
        <v/>
      </c>
    </row>
    <row r="219">
      <c r="A219">
        <f>B219&amp;"|"&amp;C219</f>
        <v/>
      </c>
      <c r="B219" t="inlineStr">
        <is>
          <t>RotaSul</t>
        </is>
      </c>
      <c r="C219" t="n">
        <v>138</v>
      </c>
      <c r="D219" t="n">
        <v>10753</v>
      </c>
      <c r="E219" t="inlineStr">
        <is>
          <t>Refrigel &amp; Cia (10753)</t>
        </is>
      </c>
      <c r="F219">
        <f>SUMIFS(tblBase[QTD],tblBase[Transportadora],B219,tblBase[NF],C219,tblBase[Grupo_Status],"Em andamento")</f>
        <v/>
      </c>
      <c r="G219" s="10">
        <f>SUMIFS(tblBase[Valor_Total],tblBase[Transportadora],B219,tblBase[NF],C219,tblBase[Grupo_Status],"Em andamento")</f>
        <v/>
      </c>
      <c r="H219" t="inlineStr">
        <is>
          <t>Saiu para entrega</t>
        </is>
      </c>
      <c r="O219">
        <f>IF(B219="Braspress",HYPERLINK("https://www.braspress.com.br/site/w/tracking/search?cnpj="&amp;Parametros!$P$4&amp;"&amp;documentType=NOTAFISCAL&amp;numero="&amp;C219,"Abrir rastreio"),"")</f>
        <v/>
      </c>
    </row>
    <row r="220">
      <c r="A220">
        <f>B220&amp;"|"&amp;C220</f>
        <v/>
      </c>
      <c r="B220" t="inlineStr">
        <is>
          <t>CargoMax</t>
        </is>
      </c>
      <c r="C220" t="n">
        <v>155</v>
      </c>
      <c r="D220" t="n">
        <v>11487</v>
      </c>
      <c r="E220" t="inlineStr">
        <is>
          <t>Assistência Técnica Manutenção (11487)</t>
        </is>
      </c>
      <c r="F220">
        <f>SUMIFS(tblBase[QTD],tblBase[Transportadora],B220,tblBase[NF],C220,tblBase[Grupo_Status],"Em andamento")</f>
        <v/>
      </c>
      <c r="G220" s="10">
        <f>SUMIFS(tblBase[Valor_Total],tblBase[Transportadora],B220,tblBase[NF],C220,tblBase[Grupo_Status],"Em andamento")</f>
        <v/>
      </c>
      <c r="H220" t="inlineStr"/>
      <c r="O220">
        <f>IF(B220="Braspress",HYPERLINK("https://www.braspress.com.br/site/w/tracking/search?cnpj="&amp;Parametros!$P$4&amp;"&amp;documentType=NOTAFISCAL&amp;numero="&amp;C220,"Abrir rastreio"),"")</f>
        <v/>
      </c>
    </row>
    <row r="221">
      <c r="A221">
        <f>B221&amp;"|"&amp;C221</f>
        <v/>
      </c>
      <c r="B221" t="inlineStr">
        <is>
          <t>CargoMax</t>
        </is>
      </c>
      <c r="C221" t="n">
        <v>106</v>
      </c>
      <c r="D221" t="n">
        <v>12724</v>
      </c>
      <c r="E221" t="inlineStr">
        <is>
          <t>Cool Service &amp; Cia (12724)</t>
        </is>
      </c>
      <c r="F221">
        <f>SUMIFS(tblBase[QTD],tblBase[Transportadora],B221,tblBase[NF],C221,tblBase[Grupo_Status],"Em andamento")</f>
        <v/>
      </c>
      <c r="G221" s="10">
        <f>SUMIFS(tblBase[Valor_Total],tblBase[Transportadora],B221,tblBase[NF],C221,tblBase[Grupo_Status],"Em andamento")</f>
        <v/>
      </c>
      <c r="H221" t="inlineStr">
        <is>
          <t>Em trânsito</t>
        </is>
      </c>
      <c r="O221">
        <f>IF(B221="Braspress",HYPERLINK("https://www.braspress.com.br/site/w/tracking/search?cnpj="&amp;Parametros!$P$4&amp;"&amp;documentType=NOTAFISCAL&amp;numero="&amp;C221,"Abrir rastreio"),"")</f>
        <v/>
      </c>
    </row>
    <row r="222">
      <c r="A222">
        <f>B222&amp;"|"&amp;C222</f>
        <v/>
      </c>
      <c r="B222" t="inlineStr">
        <is>
          <t>RotaSul</t>
        </is>
      </c>
      <c r="C222" t="n">
        <v>108</v>
      </c>
      <c r="D222" t="n">
        <v>11494</v>
      </c>
      <c r="E222" t="inlineStr">
        <is>
          <t>Clima Técnica (11494)</t>
        </is>
      </c>
      <c r="F222">
        <f>SUMIFS(tblBase[QTD],tblBase[Transportadora],B222,tblBase[NF],C222,tblBase[Grupo_Status],"Em andamento")</f>
        <v/>
      </c>
      <c r="G222" s="10">
        <f>SUMIFS(tblBase[Valor_Total],tblBase[Transportadora],B222,tblBase[NF],C222,tblBase[Grupo_Status],"Em andamento")</f>
        <v/>
      </c>
      <c r="H222" t="inlineStr"/>
      <c r="O222">
        <f>IF(B222="Braspress",HYPERLINK("https://www.braspress.com.br/site/w/tracking/search?cnpj="&amp;Parametros!$P$4&amp;"&amp;documentType=NOTAFISCAL&amp;numero="&amp;C222,"Abrir rastreio"),"")</f>
        <v/>
      </c>
    </row>
    <row r="223">
      <c r="A223">
        <f>B223&amp;"|"&amp;C223</f>
        <v/>
      </c>
      <c r="B223" t="inlineStr">
        <is>
          <t>LogExpress</t>
        </is>
      </c>
      <c r="C223" t="n">
        <v>145</v>
      </c>
      <c r="D223" t="n">
        <v>10302</v>
      </c>
      <c r="E223" t="inlineStr">
        <is>
          <t>Ice Tech Express (10302)</t>
        </is>
      </c>
      <c r="F223">
        <f>SUMIFS(tblBase[QTD],tblBase[Transportadora],B223,tblBase[NF],C223,tblBase[Grupo_Status],"Em andamento")</f>
        <v/>
      </c>
      <c r="G223" s="10">
        <f>SUMIFS(tblBase[Valor_Total],tblBase[Transportadora],B223,tblBase[NF],C223,tblBase[Grupo_Status],"Em andamento")</f>
        <v/>
      </c>
      <c r="H223" t="inlineStr">
        <is>
          <t>Aguardando coleta</t>
        </is>
      </c>
      <c r="O223">
        <f>IF(B223="Braspress",HYPERLINK("https://www.braspress.com.br/site/w/tracking/search?cnpj="&amp;Parametros!$P$4&amp;"&amp;documentType=NOTAFISCAL&amp;numero="&amp;C223,"Abrir rastreio"),"")</f>
        <v/>
      </c>
    </row>
    <row r="224">
      <c r="A224">
        <f>B224&amp;"|"&amp;C224</f>
        <v/>
      </c>
      <c r="B224" t="inlineStr">
        <is>
          <t>EntregaJá</t>
        </is>
      </c>
      <c r="C224" t="n">
        <v>119</v>
      </c>
      <c r="D224" t="n">
        <v>12689</v>
      </c>
      <c r="E224" t="inlineStr">
        <is>
          <t>Norte Frio Manutenção (12689)</t>
        </is>
      </c>
      <c r="F224">
        <f>SUMIFS(tblBase[QTD],tblBase[Transportadora],B224,tblBase[NF],C224,tblBase[Grupo_Status],"Em andamento")</f>
        <v/>
      </c>
      <c r="G224" s="10">
        <f>SUMIFS(tblBase[Valor_Total],tblBase[Transportadora],B224,tblBase[NF],C224,tblBase[Grupo_Status],"Em andamento")</f>
        <v/>
      </c>
      <c r="H224" t="inlineStr">
        <is>
          <t>Em trânsito</t>
        </is>
      </c>
      <c r="O224">
        <f>IF(B224="Braspress",HYPERLINK("https://www.braspress.com.br/site/w/tracking/search?cnpj="&amp;Parametros!$P$4&amp;"&amp;documentType=NOTAFISCAL&amp;numero="&amp;C224,"Abrir rastreio"),"")</f>
        <v/>
      </c>
    </row>
    <row r="225">
      <c r="A225">
        <f>B225&amp;"|"&amp;C225</f>
        <v/>
      </c>
      <c r="B225" t="inlineStr">
        <is>
          <t>RotaSul</t>
        </is>
      </c>
      <c r="C225" t="n">
        <v>148</v>
      </c>
      <c r="D225" t="n">
        <v>11898</v>
      </c>
      <c r="E225" t="inlineStr">
        <is>
          <t>Refrigel Express (11898)</t>
        </is>
      </c>
      <c r="F225">
        <f>SUMIFS(tblBase[QTD],tblBase[Transportadora],B225,tblBase[NF],C225,tblBase[Grupo_Status],"Em andamento")</f>
        <v/>
      </c>
      <c r="G225" s="10">
        <f>SUMIFS(tblBase[Valor_Total],tblBase[Transportadora],B225,tblBase[NF],C225,tblBase[Grupo_Status],"Em andamento")</f>
        <v/>
      </c>
      <c r="H225" t="inlineStr">
        <is>
          <t>Em trânsito</t>
        </is>
      </c>
      <c r="O225">
        <f>IF(B225="Braspress",HYPERLINK("https://www.braspress.com.br/site/w/tracking/search?cnpj="&amp;Parametros!$P$4&amp;"&amp;documentType=NOTAFISCAL&amp;numero="&amp;C225,"Abrir rastreio"),"")</f>
        <v/>
      </c>
    </row>
    <row r="226">
      <c r="A226">
        <f>B226&amp;"|"&amp;C226</f>
        <v/>
      </c>
      <c r="B226" t="inlineStr">
        <is>
          <t>EntregaJá</t>
        </is>
      </c>
      <c r="C226" t="n">
        <v>132</v>
      </c>
      <c r="D226" t="n">
        <v>10504</v>
      </c>
      <c r="E226" t="inlineStr">
        <is>
          <t>Zero Grau Ltda (10504)</t>
        </is>
      </c>
      <c r="F226">
        <f>SUMIFS(tblBase[QTD],tblBase[Transportadora],B226,tblBase[NF],C226,tblBase[Grupo_Status],"Em andamento")</f>
        <v/>
      </c>
      <c r="G226" s="10">
        <f>SUMIFS(tblBase[Valor_Total],tblBase[Transportadora],B226,tblBase[NF],C226,tblBase[Grupo_Status],"Em andamento")</f>
        <v/>
      </c>
      <c r="H226" t="inlineStr">
        <is>
          <t>Saiu para entrega</t>
        </is>
      </c>
      <c r="O226">
        <f>IF(B226="Braspress",HYPERLINK("https://www.braspress.com.br/site/w/tracking/search?cnpj="&amp;Parametros!$P$4&amp;"&amp;documentType=NOTAFISCAL&amp;numero="&amp;C226,"Abrir rastreio"),"")</f>
        <v/>
      </c>
    </row>
    <row r="227">
      <c r="A227">
        <f>B227&amp;"|"&amp;C227</f>
        <v/>
      </c>
      <c r="B227" t="inlineStr">
        <is>
          <t>EntregaJá</t>
        </is>
      </c>
      <c r="C227" t="n">
        <v>157</v>
      </c>
      <c r="D227" t="n">
        <v>10468</v>
      </c>
      <c r="E227" t="inlineStr">
        <is>
          <t>Clima Express (10468)</t>
        </is>
      </c>
      <c r="F227">
        <f>SUMIFS(tblBase[QTD],tblBase[Transportadora],B227,tblBase[NF],C227,tblBase[Grupo_Status],"Em andamento")</f>
        <v/>
      </c>
      <c r="G227" s="10">
        <f>SUMIFS(tblBase[Valor_Total],tblBase[Transportadora],B227,tblBase[NF],C227,tblBase[Grupo_Status],"Em andamento")</f>
        <v/>
      </c>
      <c r="H227" t="inlineStr">
        <is>
          <t>Aguardando coleta</t>
        </is>
      </c>
      <c r="O227">
        <f>IF(B227="Braspress",HYPERLINK("https://www.braspress.com.br/site/w/tracking/search?cnpj="&amp;Parametros!$P$4&amp;"&amp;documentType=NOTAFISCAL&amp;numero="&amp;C227,"Abrir rastreio"),"")</f>
        <v/>
      </c>
    </row>
    <row r="228">
      <c r="A228">
        <f>B228&amp;"|"&amp;C228</f>
        <v/>
      </c>
      <c r="B228" t="inlineStr">
        <is>
          <t>LogExpress</t>
        </is>
      </c>
      <c r="C228" t="n">
        <v>138</v>
      </c>
      <c r="D228" t="n">
        <v>10302</v>
      </c>
      <c r="E228" t="inlineStr">
        <is>
          <t>Ice Tech Express (10302)</t>
        </is>
      </c>
      <c r="F228">
        <f>SUMIFS(tblBase[QTD],tblBase[Transportadora],B228,tblBase[NF],C228,tblBase[Grupo_Status],"Em andamento")</f>
        <v/>
      </c>
      <c r="G228" s="10">
        <f>SUMIFS(tblBase[Valor_Total],tblBase[Transportadora],B228,tblBase[NF],C228,tblBase[Grupo_Status],"Em andamento")</f>
        <v/>
      </c>
      <c r="H228" t="inlineStr">
        <is>
          <t>Aguardando coleta</t>
        </is>
      </c>
      <c r="O228">
        <f>IF(B228="Braspress",HYPERLINK("https://www.braspress.com.br/site/w/tracking/search?cnpj="&amp;Parametros!$P$4&amp;"&amp;documentType=NOTAFISCAL&amp;numero="&amp;C228,"Abrir rastreio"),"")</f>
        <v/>
      </c>
    </row>
    <row r="229">
      <c r="A229">
        <f>B229&amp;"|"&amp;C229</f>
        <v/>
      </c>
      <c r="B229" t="inlineStr">
        <is>
          <t>LogExpress</t>
        </is>
      </c>
      <c r="C229" t="n">
        <v>129</v>
      </c>
      <c r="D229" t="n">
        <v>10302</v>
      </c>
      <c r="E229" t="inlineStr">
        <is>
          <t>Ice Tech Express (10302)</t>
        </is>
      </c>
      <c r="F229">
        <f>SUMIFS(tblBase[QTD],tblBase[Transportadora],B229,tblBase[NF],C229,tblBase[Grupo_Status],"Em andamento")</f>
        <v/>
      </c>
      <c r="G229" s="10">
        <f>SUMIFS(tblBase[Valor_Total],tblBase[Transportadora],B229,tblBase[NF],C229,tblBase[Grupo_Status],"Em andamento")</f>
        <v/>
      </c>
      <c r="H229" t="inlineStr"/>
      <c r="O229">
        <f>IF(B229="Braspress",HYPERLINK("https://www.braspress.com.br/site/w/tracking/search?cnpj="&amp;Parametros!$P$4&amp;"&amp;documentType=NOTAFISCAL&amp;numero="&amp;C229,"Abrir rastreio"),"")</f>
        <v/>
      </c>
    </row>
    <row r="230">
      <c r="A230">
        <f>B230&amp;"|"&amp;C230</f>
        <v/>
      </c>
      <c r="B230" t="inlineStr">
        <is>
          <t>ViaCargo</t>
        </is>
      </c>
      <c r="C230" t="n">
        <v>155</v>
      </c>
      <c r="D230" t="n">
        <v>11459</v>
      </c>
      <c r="E230" t="inlineStr">
        <is>
          <t>Frio ME (11459)</t>
        </is>
      </c>
      <c r="F230">
        <f>SUMIFS(tblBase[QTD],tblBase[Transportadora],B230,tblBase[NF],C230,tblBase[Grupo_Status],"Em andamento")</f>
        <v/>
      </c>
      <c r="G230" s="10">
        <f>SUMIFS(tblBase[Valor_Total],tblBase[Transportadora],B230,tblBase[NF],C230,tblBase[Grupo_Status],"Em andamento")</f>
        <v/>
      </c>
      <c r="H230" t="inlineStr">
        <is>
          <t>Em trânsito</t>
        </is>
      </c>
      <c r="O230">
        <f>IF(B230="Braspress",HYPERLINK("https://www.braspress.com.br/site/w/tracking/search?cnpj="&amp;Parametros!$P$4&amp;"&amp;documentType=NOTAFISCAL&amp;numero="&amp;C230,"Abrir rastreio"),"")</f>
        <v/>
      </c>
    </row>
    <row r="231">
      <c r="A231">
        <f>B231&amp;"|"&amp;C231</f>
        <v/>
      </c>
      <c r="B231" t="inlineStr">
        <is>
          <t>CargoMax</t>
        </is>
      </c>
      <c r="C231" t="n">
        <v>117</v>
      </c>
      <c r="D231" t="n">
        <v>12089</v>
      </c>
      <c r="E231" t="inlineStr">
        <is>
          <t>Termotec Serviços (12089)</t>
        </is>
      </c>
      <c r="F231">
        <f>SUMIFS(tblBase[QTD],tblBase[Transportadora],B231,tblBase[NF],C231,tblBase[Grupo_Status],"Em andamento")</f>
        <v/>
      </c>
      <c r="G231" s="10">
        <f>SUMIFS(tblBase[Valor_Total],tblBase[Transportadora],B231,tblBase[NF],C231,tblBase[Grupo_Status],"Em andamento")</f>
        <v/>
      </c>
      <c r="H231" t="inlineStr">
        <is>
          <t>Aguardando coleta</t>
        </is>
      </c>
      <c r="O231">
        <f>IF(B231="Braspress",HYPERLINK("https://www.braspress.com.br/site/w/tracking/search?cnpj="&amp;Parametros!$P$4&amp;"&amp;documentType=NOTAFISCAL&amp;numero="&amp;C231,"Abrir rastreio"),"")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2" customWidth="1" min="3" max="3"/>
    <col width="70" customWidth="1" min="4" max="4"/>
    <col width="52" customWidth="1" min="5" max="5"/>
  </cols>
  <sheetData>
    <row r="1">
      <c r="A1" s="12" t="inlineStr">
        <is>
          <t>Diagnóstico de qualidade dos dados (correções aplicadas na base original do projeto)</t>
        </is>
      </c>
    </row>
    <row r="3">
      <c r="A3" s="3" t="inlineStr">
        <is>
          <t>Categoria</t>
        </is>
      </c>
      <c r="B3" s="3" t="inlineStr">
        <is>
          <t>Coluna</t>
        </is>
      </c>
      <c r="C3" s="3" t="inlineStr">
        <is>
          <t>Ocorrências</t>
        </is>
      </c>
      <c r="D3" s="3" t="inlineStr">
        <is>
          <t>Detalhe</t>
        </is>
      </c>
      <c r="E3" s="3" t="inlineStr">
        <is>
          <t>Ação aplicada</t>
        </is>
      </c>
    </row>
    <row r="4">
      <c r="A4" t="inlineStr">
        <is>
          <t>Padronização</t>
        </is>
      </c>
      <c r="B4" t="inlineStr">
        <is>
          <t>Status</t>
        </is>
      </c>
      <c r="C4" t="n">
        <v>5025</v>
      </c>
      <c r="D4" t="inlineStr">
        <is>
          <t>Mesmo status escrito de formas diferentes (ex.: 'Ok. Devolvida' / 'ok. Devolvida' / 'OK. Devolvida')</t>
        </is>
      </c>
      <c r="E4" t="inlineStr">
        <is>
          <t>Textos unificados em 9 status oficiais</t>
        </is>
      </c>
    </row>
    <row r="5">
      <c r="A5" t="inlineStr">
        <is>
          <t>Padronização</t>
        </is>
      </c>
      <c r="B5" t="inlineStr">
        <is>
          <t>Transportadora</t>
        </is>
      </c>
      <c r="C5" t="n">
        <v>410</v>
      </c>
      <c r="D5" t="inlineStr">
        <is>
          <t>Nome com caixa diferente ('Begur'/'begur')</t>
        </is>
      </c>
      <c r="E5" t="inlineStr">
        <is>
          <t>Nomes de transportadora unificados</t>
        </is>
      </c>
    </row>
    <row r="6">
      <c r="A6" t="inlineStr">
        <is>
          <t>Padronização</t>
        </is>
      </c>
      <c r="B6" t="inlineStr">
        <is>
          <t>Coordenador</t>
        </is>
      </c>
      <c r="C6" t="n">
        <v>949</v>
      </c>
      <c r="D6" t="inlineStr">
        <is>
          <t>'NORTE'/'Norte', 'SUDESTE  MG' com espaço duplo</t>
        </is>
      </c>
      <c r="E6" t="inlineStr">
        <is>
          <t>Regionais unificadas</t>
        </is>
      </c>
    </row>
    <row r="7">
      <c r="A7" t="inlineStr">
        <is>
          <t>Padronização</t>
        </is>
      </c>
      <c r="B7" t="inlineStr">
        <is>
          <t>Tipo</t>
        </is>
      </c>
      <c r="C7" t="n">
        <v>2</v>
      </c>
      <c r="D7" t="inlineStr">
        <is>
          <t>'Coolers'/'coolers'</t>
        </is>
      </c>
      <c r="E7" t="inlineStr">
        <is>
          <t>Tipos unificados</t>
        </is>
      </c>
    </row>
    <row r="8">
      <c r="A8" t="inlineStr">
        <is>
          <t>Padronização</t>
        </is>
      </c>
      <c r="B8" t="inlineStr">
        <is>
          <t>MEI</t>
        </is>
      </c>
      <c r="C8" t="n">
        <v>0</v>
      </c>
      <c r="D8" t="inlineStr">
        <is>
          <t>'Não' com espaço no fim, 'Sim'/'sim'</t>
        </is>
      </c>
      <c r="E8" t="inlineStr">
        <is>
          <t>Padronizado como Sim/Não</t>
        </is>
      </c>
    </row>
    <row r="9">
      <c r="A9" t="inlineStr">
        <is>
          <t>Erro de fórmula</t>
        </is>
      </c>
      <c r="B9" t="inlineStr">
        <is>
          <t>Diversas</t>
        </is>
      </c>
      <c r="C9" t="n">
        <v>7</v>
      </c>
      <c r="D9" t="inlineStr">
        <is>
          <t>Células com erro (#N/D, #VALOR!) vindas de PROCV</t>
        </is>
      </c>
      <c r="E9" t="inlineStr">
        <is>
          <t>Convertidas em célula vazia</t>
        </is>
      </c>
    </row>
    <row r="10">
      <c r="A10" t="inlineStr">
        <is>
          <t>Texto no lugar de vazio</t>
        </is>
      </c>
      <c r="B10" t="inlineStr">
        <is>
          <t>NF / Data_Validacao / MEI</t>
        </is>
      </c>
      <c r="C10" t="n">
        <v>6197</v>
      </c>
      <c r="D10" t="inlineStr">
        <is>
          <t>Textos 'NULL' e 'Não Encontrado' em campos numéricos e de data</t>
        </is>
      </c>
      <c r="E10" t="inlineStr">
        <is>
          <t>Convertidos em célula vazia</t>
        </is>
      </c>
    </row>
    <row r="11">
      <c r="A11" t="inlineStr">
        <is>
          <t>Tipo de dado</t>
        </is>
      </c>
      <c r="B11" t="inlineStr">
        <is>
          <t>Data_Validacao</t>
        </is>
      </c>
      <c r="C11" t="n">
        <v>21187</v>
      </c>
      <c r="D11" t="inlineStr">
        <is>
          <t>Datas gravadas como texto misturadas com datas reais</t>
        </is>
      </c>
      <c r="E11" t="inlineStr">
        <is>
          <t>Todas convertidas em data real</t>
        </is>
      </c>
    </row>
    <row r="12">
      <c r="A12" t="inlineStr">
        <is>
          <t>Tipo de dado</t>
        </is>
      </c>
      <c r="B12" t="inlineStr">
        <is>
          <t>Dta_Encerramento / Data_Validacao</t>
        </is>
      </c>
      <c r="C12" t="n">
        <v>95705</v>
      </c>
      <c r="D12" t="inlineStr">
        <is>
          <t>Datas armazenadas como número de série</t>
        </is>
      </c>
      <c r="E12" t="inlineStr">
        <is>
          <t>Convertidas em data real dd/mm/aaaa</t>
        </is>
      </c>
    </row>
    <row r="13">
      <c r="A13" t="inlineStr">
        <is>
          <t>Nomenclatura</t>
        </is>
      </c>
      <c r="B13" t="inlineStr">
        <is>
          <t>Chmado / mei</t>
        </is>
      </c>
      <c r="C13" t="n">
        <v>2</v>
      </c>
      <c r="D13" t="inlineStr">
        <is>
          <t>Nomes de coluna com erro de digitação e caixa inconsistente</t>
        </is>
      </c>
      <c r="E13" t="inlineStr">
        <is>
          <t>Renomeadas para 'Chamado' e 'MEI'</t>
        </is>
      </c>
    </row>
    <row r="14">
      <c r="A14" t="inlineStr">
        <is>
          <t>Integridade</t>
        </is>
      </c>
      <c r="B14" t="inlineStr">
        <is>
          <t>Email_STA</t>
        </is>
      </c>
      <c r="C14" t="n">
        <v>21345</v>
      </c>
      <c r="D14" t="inlineStr">
        <is>
          <t>Registros cujo código de STA não tinha e-mail cadastrado</t>
        </is>
      </c>
      <c r="E14" t="inlineStr">
        <is>
          <t>Coluna Email_STA por INDEX/MATCH; vazios visíveis para cadastro</t>
        </is>
      </c>
    </row>
    <row r="15">
      <c r="A15" t="inlineStr">
        <is>
          <t>Integridade</t>
        </is>
      </c>
      <c r="B15" t="inlineStr">
        <is>
          <t>STAs!Email</t>
        </is>
      </c>
      <c r="C15" t="n">
        <v>85</v>
      </c>
      <c r="D15" t="inlineStr">
        <is>
          <t>STAs sem e-mail ou com formato inválido</t>
        </is>
      </c>
      <c r="E15" t="inlineStr">
        <is>
          <t>Coluna 'E-mail válido?' criada para conferência</t>
        </is>
      </c>
    </row>
    <row r="16">
      <c r="A16" t="inlineStr">
        <is>
          <t>Duplicidade</t>
        </is>
      </c>
      <c r="B16" t="inlineStr">
        <is>
          <t>Chamado + Peça + NF + Status + Período</t>
        </is>
      </c>
      <c r="C16" t="n">
        <v>0</v>
      </c>
      <c r="D16" t="inlineStr">
        <is>
          <t>Linhas com a mesma combinação</t>
        </is>
      </c>
      <c r="E16" t="inlineStr">
        <is>
          <t>Sinalizadas (não removidas)</t>
        </is>
      </c>
    </row>
    <row r="19">
      <c r="A19" s="13" t="inlineStr">
        <is>
          <t>Checagem ao vivo da Base_RPTG (recalcula sozinha)</t>
        </is>
      </c>
    </row>
    <row r="20">
      <c r="A20" t="inlineStr">
        <is>
          <t>Linhas na base</t>
        </is>
      </c>
      <c r="B20">
        <f>ROWS(tblBase[Chamado])</f>
        <v/>
      </c>
    </row>
    <row r="21">
      <c r="A21" t="inlineStr">
        <is>
          <t>Status em branco</t>
        </is>
      </c>
      <c r="B21">
        <f>COUNTBLANK(tblBase[Status])</f>
        <v/>
      </c>
    </row>
    <row r="22">
      <c r="A22" t="inlineStr">
        <is>
          <t>Status fora da lista oficial</t>
        </is>
      </c>
      <c r="B22">
        <f>SUMPRODUCT((tblBase[Status]&lt;&gt;"")*(COUNTIF(Parametros!$M$4:$M$12,tblBase[Status])=0))</f>
        <v/>
      </c>
    </row>
    <row r="23">
      <c r="A23" t="inlineStr">
        <is>
          <t>Linhas sem código de STA</t>
        </is>
      </c>
      <c r="B23">
        <f>COUNTBLANK(tblBase[Codigo_STA])</f>
        <v/>
      </c>
    </row>
    <row r="24">
      <c r="A24" t="inlineStr">
        <is>
          <t>Linhas sem e-mail de STA</t>
        </is>
      </c>
      <c r="B24">
        <f>COUNTIF(tblBase[Email_STA],"")</f>
        <v/>
      </c>
    </row>
    <row r="25">
      <c r="A25" t="inlineStr">
        <is>
          <t>Linhas sem valor de débito</t>
        </is>
      </c>
      <c r="B25">
        <f>COUNTBLANK(tblBase[Valor_Debito_Unit])</f>
        <v/>
      </c>
    </row>
    <row r="26">
      <c r="A26" t="inlineStr">
        <is>
          <t>Linhas sem data de encerramento</t>
        </is>
      </c>
      <c r="B26">
        <f>COUNTBLANK(tblBase[Dta_Encerramento])</f>
        <v/>
      </c>
    </row>
    <row r="27">
      <c r="A27" t="inlineStr">
        <is>
          <t>Itens em aberto com mais de 90 dias</t>
        </is>
      </c>
      <c r="B27">
        <f>COUNTIF(tblBase[Faixa_Aging],"Mais de 90 dias")</f>
        <v/>
      </c>
    </row>
    <row r="28">
      <c r="A28" t="inlineStr">
        <is>
          <t>STAs cadastradas sem e-mail válido</t>
        </is>
      </c>
      <c r="B28">
        <f>COUNTIF(tblSTAs[E-mail válido?],"Não")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0" customWidth="1" min="2" max="2"/>
    <col width="60" customWidth="1" min="3" max="3"/>
    <col width="10" customWidth="1" min="4" max="4"/>
    <col width="36" customWidth="1" min="5" max="5"/>
    <col width="10" customWidth="1" min="6" max="6"/>
    <col width="14" customWidth="1" min="7" max="7"/>
    <col width="12" customWidth="1" min="8" max="8"/>
    <col width="14" customWidth="1" min="9" max="9"/>
    <col width="14" customWidth="1" min="11" max="11"/>
    <col width="12" customWidth="1" min="12" max="12"/>
    <col width="14" customWidth="1" min="13" max="13"/>
    <col width="14" customWidth="1" min="14" max="14"/>
    <col width="50" customWidth="1" min="15" max="15"/>
  </cols>
  <sheetData>
    <row r="1">
      <c r="A1" s="3" t="inlineStr">
        <is>
          <t>EmailAddress</t>
        </is>
      </c>
      <c r="B1" s="3" t="inlineStr">
        <is>
          <t>Subject</t>
        </is>
      </c>
      <c r="C1" s="3" t="inlineStr">
        <is>
          <t>Body</t>
        </is>
      </c>
      <c r="D1" s="3" t="inlineStr">
        <is>
          <t>Cód STA</t>
        </is>
      </c>
      <c r="E1" s="3" t="inlineStr">
        <is>
          <t>Nome do STA</t>
        </is>
      </c>
      <c r="F1" s="3" t="inlineStr">
        <is>
          <t>Itens em aberto</t>
        </is>
      </c>
      <c r="G1" s="3" t="inlineStr">
        <is>
          <t>Valor em aberto</t>
        </is>
      </c>
      <c r="H1" s="3" t="inlineStr">
        <is>
          <t>Dias em aberto (máx.)</t>
        </is>
      </c>
      <c r="I1" s="3" t="inlineStr">
        <is>
          <t>Último envio</t>
        </is>
      </c>
      <c r="J1" s="3" t="inlineStr"/>
      <c r="K1" s="3" t="inlineStr">
        <is>
          <t>Meses em aberto</t>
        </is>
      </c>
      <c r="L1" s="3" t="inlineStr">
        <is>
          <t>Status</t>
        </is>
      </c>
      <c r="M1" s="3" t="inlineStr">
        <is>
          <t>Valor Total (R$)</t>
        </is>
      </c>
      <c r="N1" s="3" t="inlineStr">
        <is>
          <t>Região</t>
        </is>
      </c>
      <c r="O1" s="3" t="inlineStr">
        <is>
          <t>Consultores em Cópia (CC)</t>
        </is>
      </c>
    </row>
    <row r="2">
      <c r="A2">
        <f>IF(F2&gt;0,STAs!G2,"")</f>
        <v/>
      </c>
      <c r="B2">
        <f>IF(F2&gt;0,"Devolução RPTG - "&amp;N2&amp;" - "&amp;F2&amp;" peça(s) pendente(s) - STA "&amp;D2,"")</f>
        <v/>
      </c>
      <c r="C2">
        <f>IF(F2&gt;0,"Prezado(a) parceiro(a) "&amp;E2&amp;","&amp;CHAR(10)&amp;CHAR(10)&amp;"Consta em nosso controle de devolução RPTG "&amp;F2&amp;" peça(s) pendente(s) de devolução, no valor de "&amp;"R$ "&amp;FIXED(G2,2)&amp;", a mais antiga há "&amp;H2&amp;" dias."&amp;CHAR(10)&amp;CHAR(10)&amp;"Solicitamos o envio das peças ou a justificativa em até 5 dias úteis."&amp;CHAR(10)&amp;CHAR(10)&amp;"Atenciosamente,"&amp;CHAR(10)&amp;"Qualidade - RPTG","")</f>
        <v/>
      </c>
      <c r="D2">
        <f>STAs!F2</f>
        <v/>
      </c>
      <c r="E2">
        <f>STAs!C2</f>
        <v/>
      </c>
      <c r="F2">
        <f>SUMIFS(tblBase[QTD],tblBase[Codigo_STA],D2,tblBase[Grupo_Status],"Pendente")+SUMIFS(tblBase[QTD],tblBase[Codigo_STA],D2,tblBase[Grupo_Status],"Em andamento")</f>
        <v/>
      </c>
      <c r="G2" s="10">
        <f>SUMIFS(tblBase[Valor_Total],tblBase[Codigo_STA],D2,tblBase[Grupo_Status],"Pendente")+SUMIFS(tblBase[Valor_Total],tblBase[Codigo_STA],D2,tblBase[Grupo_Status],"Em andamento")</f>
        <v/>
      </c>
      <c r="H2">
        <f>IFERROR(_xlfn.MAXIFS(tblBase[Dias_Em_Aberto],tblBase[Codigo_STA],D2),0)</f>
        <v/>
      </c>
      <c r="N2">
        <f>STAs!D2</f>
        <v/>
      </c>
      <c r="O2">
        <f>IFERROR(INDEX(Parametros!$P$12:$P$15,MATCH(N2,Parametros!$O$12:$O$15,0)),"")</f>
        <v/>
      </c>
    </row>
    <row r="3">
      <c r="A3">
        <f>IF(F3&gt;0,STAs!G3,"")</f>
        <v/>
      </c>
      <c r="B3">
        <f>IF(F3&gt;0,"Devolução RPTG - "&amp;N3&amp;" - "&amp;F3&amp;" peça(s) pendente(s) - STA "&amp;D3,"")</f>
        <v/>
      </c>
      <c r="C3">
        <f>IF(F3&gt;0,"Prezado(a) parceiro(a) "&amp;E3&amp;","&amp;CHAR(10)&amp;CHAR(10)&amp;"Consta em nosso controle de devolução RPTG "&amp;F3&amp;" peça(s) pendente(s) de devolução, no valor de "&amp;"R$ "&amp;FIXED(G3,2)&amp;", a mais antiga há "&amp;H3&amp;" dias."&amp;CHAR(10)&amp;CHAR(10)&amp;"Solicitamos o envio das peças ou a justificativa em até 5 dias úteis."&amp;CHAR(10)&amp;CHAR(10)&amp;"Atenciosamente,"&amp;CHAR(10)&amp;"Qualidade - RPTG","")</f>
        <v/>
      </c>
      <c r="D3">
        <f>STAs!F3</f>
        <v/>
      </c>
      <c r="E3">
        <f>STAs!C3</f>
        <v/>
      </c>
      <c r="F3">
        <f>SUMIFS(tblBase[QTD],tblBase[Codigo_STA],D3,tblBase[Grupo_Status],"Pendente")+SUMIFS(tblBase[QTD],tblBase[Codigo_STA],D3,tblBase[Grupo_Status],"Em andamento")</f>
        <v/>
      </c>
      <c r="G3" s="10">
        <f>SUMIFS(tblBase[Valor_Total],tblBase[Codigo_STA],D3,tblBase[Grupo_Status],"Pendente")+SUMIFS(tblBase[Valor_Total],tblBase[Codigo_STA],D3,tblBase[Grupo_Status],"Em andamento")</f>
        <v/>
      </c>
      <c r="H3">
        <f>IFERROR(_xlfn.MAXIFS(tblBase[Dias_Em_Aberto],tblBase[Codigo_STA],D3),0)</f>
        <v/>
      </c>
      <c r="N3">
        <f>STAs!D3</f>
        <v/>
      </c>
      <c r="O3">
        <f>IFERROR(INDEX(Parametros!$P$12:$P$15,MATCH(N3,Parametros!$O$12:$O$15,0)),"")</f>
        <v/>
      </c>
    </row>
    <row r="4">
      <c r="A4">
        <f>IF(F4&gt;0,STAs!G4,"")</f>
        <v/>
      </c>
      <c r="B4">
        <f>IF(F4&gt;0,"Devolução RPTG - "&amp;N4&amp;" - "&amp;F4&amp;" peça(s) pendente(s) - STA "&amp;D4,"")</f>
        <v/>
      </c>
      <c r="C4">
        <f>IF(F4&gt;0,"Prezado(a) parceiro(a) "&amp;E4&amp;","&amp;CHAR(10)&amp;CHAR(10)&amp;"Consta em nosso controle de devolução RPTG "&amp;F4&amp;" peça(s) pendente(s) de devolução, no valor de "&amp;"R$ "&amp;FIXED(G4,2)&amp;", a mais antiga há "&amp;H4&amp;" dias."&amp;CHAR(10)&amp;CHAR(10)&amp;"Solicitamos o envio das peças ou a justificativa em até 5 dias úteis."&amp;CHAR(10)&amp;CHAR(10)&amp;"Atenciosamente,"&amp;CHAR(10)&amp;"Qualidade - RPTG","")</f>
        <v/>
      </c>
      <c r="D4">
        <f>STAs!F4</f>
        <v/>
      </c>
      <c r="E4">
        <f>STAs!C4</f>
        <v/>
      </c>
      <c r="F4">
        <f>SUMIFS(tblBase[QTD],tblBase[Codigo_STA],D4,tblBase[Grupo_Status],"Pendente")+SUMIFS(tblBase[QTD],tblBase[Codigo_STA],D4,tblBase[Grupo_Status],"Em andamento")</f>
        <v/>
      </c>
      <c r="G4" s="10">
        <f>SUMIFS(tblBase[Valor_Total],tblBase[Codigo_STA],D4,tblBase[Grupo_Status],"Pendente")+SUMIFS(tblBase[Valor_Total],tblBase[Codigo_STA],D4,tblBase[Grupo_Status],"Em andamento")</f>
        <v/>
      </c>
      <c r="H4">
        <f>IFERROR(_xlfn.MAXIFS(tblBase[Dias_Em_Aberto],tblBase[Codigo_STA],D4),0)</f>
        <v/>
      </c>
      <c r="N4">
        <f>STAs!D4</f>
        <v/>
      </c>
      <c r="O4">
        <f>IFERROR(INDEX(Parametros!$P$12:$P$15,MATCH(N4,Parametros!$O$12:$O$15,0)),"")</f>
        <v/>
      </c>
    </row>
    <row r="5">
      <c r="A5">
        <f>IF(F5&gt;0,STAs!G5,"")</f>
        <v/>
      </c>
      <c r="B5">
        <f>IF(F5&gt;0,"Devolução RPTG - "&amp;N5&amp;" - "&amp;F5&amp;" peça(s) pendente(s) - STA "&amp;D5,"")</f>
        <v/>
      </c>
      <c r="C5">
        <f>IF(F5&gt;0,"Prezado(a) parceiro(a) "&amp;E5&amp;","&amp;CHAR(10)&amp;CHAR(10)&amp;"Consta em nosso controle de devolução RPTG "&amp;F5&amp;" peça(s) pendente(s) de devolução, no valor de "&amp;"R$ "&amp;FIXED(G5,2)&amp;", a mais antiga há "&amp;H5&amp;" dias."&amp;CHAR(10)&amp;CHAR(10)&amp;"Solicitamos o envio das peças ou a justificativa em até 5 dias úteis."&amp;CHAR(10)&amp;CHAR(10)&amp;"Atenciosamente,"&amp;CHAR(10)&amp;"Qualidade - RPTG","")</f>
        <v/>
      </c>
      <c r="D5">
        <f>STAs!F5</f>
        <v/>
      </c>
      <c r="E5">
        <f>STAs!C5</f>
        <v/>
      </c>
      <c r="F5">
        <f>SUMIFS(tblBase[QTD],tblBase[Codigo_STA],D5,tblBase[Grupo_Status],"Pendente")+SUMIFS(tblBase[QTD],tblBase[Codigo_STA],D5,tblBase[Grupo_Status],"Em andamento")</f>
        <v/>
      </c>
      <c r="G5" s="10">
        <f>SUMIFS(tblBase[Valor_Total],tblBase[Codigo_STA],D5,tblBase[Grupo_Status],"Pendente")+SUMIFS(tblBase[Valor_Total],tblBase[Codigo_STA],D5,tblBase[Grupo_Status],"Em andamento")</f>
        <v/>
      </c>
      <c r="H5">
        <f>IFERROR(_xlfn.MAXIFS(tblBase[Dias_Em_Aberto],tblBase[Codigo_STA],D5),0)</f>
        <v/>
      </c>
      <c r="N5">
        <f>STAs!D5</f>
        <v/>
      </c>
      <c r="O5">
        <f>IFERROR(INDEX(Parametros!$P$12:$P$15,MATCH(N5,Parametros!$O$12:$O$15,0)),"")</f>
        <v/>
      </c>
    </row>
    <row r="6">
      <c r="A6">
        <f>IF(F6&gt;0,STAs!G6,"")</f>
        <v/>
      </c>
      <c r="B6">
        <f>IF(F6&gt;0,"Devolução RPTG - "&amp;N6&amp;" - "&amp;F6&amp;" peça(s) pendente(s) - STA "&amp;D6,"")</f>
        <v/>
      </c>
      <c r="C6">
        <f>IF(F6&gt;0,"Prezado(a) parceiro(a) "&amp;E6&amp;","&amp;CHAR(10)&amp;CHAR(10)&amp;"Consta em nosso controle de devolução RPTG "&amp;F6&amp;" peça(s) pendente(s) de devolução, no valor de "&amp;"R$ "&amp;FIXED(G6,2)&amp;", a mais antiga há "&amp;H6&amp;" dias."&amp;CHAR(10)&amp;CHAR(10)&amp;"Solicitamos o envio das peças ou a justificativa em até 5 dias úteis."&amp;CHAR(10)&amp;CHAR(10)&amp;"Atenciosamente,"&amp;CHAR(10)&amp;"Qualidade - RPTG","")</f>
        <v/>
      </c>
      <c r="D6">
        <f>STAs!F6</f>
        <v/>
      </c>
      <c r="E6">
        <f>STAs!C6</f>
        <v/>
      </c>
      <c r="F6">
        <f>SUMIFS(tblBase[QTD],tblBase[Codigo_STA],D6,tblBase[Grupo_Status],"Pendente")+SUMIFS(tblBase[QTD],tblBase[Codigo_STA],D6,tblBase[Grupo_Status],"Em andamento")</f>
        <v/>
      </c>
      <c r="G6" s="10">
        <f>SUMIFS(tblBase[Valor_Total],tblBase[Codigo_STA],D6,tblBase[Grupo_Status],"Pendente")+SUMIFS(tblBase[Valor_Total],tblBase[Codigo_STA],D6,tblBase[Grupo_Status],"Em andamento")</f>
        <v/>
      </c>
      <c r="H6">
        <f>IFERROR(_xlfn.MAXIFS(tblBase[Dias_Em_Aberto],tblBase[Codigo_STA],D6),0)</f>
        <v/>
      </c>
      <c r="N6">
        <f>STAs!D6</f>
        <v/>
      </c>
      <c r="O6">
        <f>IFERROR(INDEX(Parametros!$P$12:$P$15,MATCH(N6,Parametros!$O$12:$O$15,0)),"")</f>
        <v/>
      </c>
    </row>
    <row r="7">
      <c r="A7">
        <f>IF(F7&gt;0,STAs!G7,"")</f>
        <v/>
      </c>
      <c r="B7">
        <f>IF(F7&gt;0,"Devolução RPTG - "&amp;N7&amp;" - "&amp;F7&amp;" peça(s) pendente(s) - STA "&amp;D7,"")</f>
        <v/>
      </c>
      <c r="C7">
        <f>IF(F7&gt;0,"Prezado(a) parceiro(a) "&amp;E7&amp;","&amp;CHAR(10)&amp;CHAR(10)&amp;"Consta em nosso controle de devolução RPTG "&amp;F7&amp;" peça(s) pendente(s) de devolução, no valor de "&amp;"R$ "&amp;FIXED(G7,2)&amp;", a mais antiga há "&amp;H7&amp;" dias."&amp;CHAR(10)&amp;CHAR(10)&amp;"Solicitamos o envio das peças ou a justificativa em até 5 dias úteis."&amp;CHAR(10)&amp;CHAR(10)&amp;"Atenciosamente,"&amp;CHAR(10)&amp;"Qualidade - RPTG","")</f>
        <v/>
      </c>
      <c r="D7">
        <f>STAs!F7</f>
        <v/>
      </c>
      <c r="E7">
        <f>STAs!C7</f>
        <v/>
      </c>
      <c r="F7">
        <f>SUMIFS(tblBase[QTD],tblBase[Codigo_STA],D7,tblBase[Grupo_Status],"Pendente")+SUMIFS(tblBase[QTD],tblBase[Codigo_STA],D7,tblBase[Grupo_Status],"Em andamento")</f>
        <v/>
      </c>
      <c r="G7" s="10">
        <f>SUMIFS(tblBase[Valor_Total],tblBase[Codigo_STA],D7,tblBase[Grupo_Status],"Pendente")+SUMIFS(tblBase[Valor_Total],tblBase[Codigo_STA],D7,tblBase[Grupo_Status],"Em andamento")</f>
        <v/>
      </c>
      <c r="H7">
        <f>IFERROR(_xlfn.MAXIFS(tblBase[Dias_Em_Aberto],tblBase[Codigo_STA],D7),0)</f>
        <v/>
      </c>
      <c r="N7">
        <f>STAs!D7</f>
        <v/>
      </c>
      <c r="O7">
        <f>IFERROR(INDEX(Parametros!$P$12:$P$15,MATCH(N7,Parametros!$O$12:$O$15,0)),"")</f>
        <v/>
      </c>
    </row>
    <row r="8">
      <c r="A8">
        <f>IF(F8&gt;0,STAs!G8,"")</f>
        <v/>
      </c>
      <c r="B8">
        <f>IF(F8&gt;0,"Devolução RPTG - "&amp;N8&amp;" - "&amp;F8&amp;" peça(s) pendente(s) - STA "&amp;D8,"")</f>
        <v/>
      </c>
      <c r="C8">
        <f>IF(F8&gt;0,"Prezado(a) parceiro(a) "&amp;E8&amp;","&amp;CHAR(10)&amp;CHAR(10)&amp;"Consta em nosso controle de devolução RPTG "&amp;F8&amp;" peça(s) pendente(s) de devolução, no valor de "&amp;"R$ "&amp;FIXED(G8,2)&amp;", a mais antiga há "&amp;H8&amp;" dias."&amp;CHAR(10)&amp;CHAR(10)&amp;"Solicitamos o envio das peças ou a justificativa em até 5 dias úteis."&amp;CHAR(10)&amp;CHAR(10)&amp;"Atenciosamente,"&amp;CHAR(10)&amp;"Qualidade - RPTG","")</f>
        <v/>
      </c>
      <c r="D8">
        <f>STAs!F8</f>
        <v/>
      </c>
      <c r="E8">
        <f>STAs!C8</f>
        <v/>
      </c>
      <c r="F8">
        <f>SUMIFS(tblBase[QTD],tblBase[Codigo_STA],D8,tblBase[Grupo_Status],"Pendente")+SUMIFS(tblBase[QTD],tblBase[Codigo_STA],D8,tblBase[Grupo_Status],"Em andamento")</f>
        <v/>
      </c>
      <c r="G8" s="10">
        <f>SUMIFS(tblBase[Valor_Total],tblBase[Codigo_STA],D8,tblBase[Grupo_Status],"Pendente")+SUMIFS(tblBase[Valor_Total],tblBase[Codigo_STA],D8,tblBase[Grupo_Status],"Em andamento")</f>
        <v/>
      </c>
      <c r="H8">
        <f>IFERROR(_xlfn.MAXIFS(tblBase[Dias_Em_Aberto],tblBase[Codigo_STA],D8),0)</f>
        <v/>
      </c>
      <c r="N8">
        <f>STAs!D8</f>
        <v/>
      </c>
      <c r="O8">
        <f>IFERROR(INDEX(Parametros!$P$12:$P$15,MATCH(N8,Parametros!$O$12:$O$15,0)),"")</f>
        <v/>
      </c>
    </row>
    <row r="9">
      <c r="A9">
        <f>IF(F9&gt;0,STAs!G9,"")</f>
        <v/>
      </c>
      <c r="B9">
        <f>IF(F9&gt;0,"Devolução RPTG - "&amp;N9&amp;" - "&amp;F9&amp;" peça(s) pendente(s) - STA "&amp;D9,"")</f>
        <v/>
      </c>
      <c r="C9">
        <f>IF(F9&gt;0,"Prezado(a) parceiro(a) "&amp;E9&amp;","&amp;CHAR(10)&amp;CHAR(10)&amp;"Consta em nosso controle de devolução RPTG "&amp;F9&amp;" peça(s) pendente(s) de devolução, no valor de "&amp;"R$ "&amp;FIXED(G9,2)&amp;", a mais antiga há "&amp;H9&amp;" dias."&amp;CHAR(10)&amp;CHAR(10)&amp;"Solicitamos o envio das peças ou a justificativa em até 5 dias úteis."&amp;CHAR(10)&amp;CHAR(10)&amp;"Atenciosamente,"&amp;CHAR(10)&amp;"Qualidade - RPTG","")</f>
        <v/>
      </c>
      <c r="D9">
        <f>STAs!F9</f>
        <v/>
      </c>
      <c r="E9">
        <f>STAs!C9</f>
        <v/>
      </c>
      <c r="F9">
        <f>SUMIFS(tblBase[QTD],tblBase[Codigo_STA],D9,tblBase[Grupo_Status],"Pendente")+SUMIFS(tblBase[QTD],tblBase[Codigo_STA],D9,tblBase[Grupo_Status],"Em andamento")</f>
        <v/>
      </c>
      <c r="G9" s="10">
        <f>SUMIFS(tblBase[Valor_Total],tblBase[Codigo_STA],D9,tblBase[Grupo_Status],"Pendente")+SUMIFS(tblBase[Valor_Total],tblBase[Codigo_STA],D9,tblBase[Grupo_Status],"Em andamento")</f>
        <v/>
      </c>
      <c r="H9">
        <f>IFERROR(_xlfn.MAXIFS(tblBase[Dias_Em_Aberto],tblBase[Codigo_STA],D9),0)</f>
        <v/>
      </c>
      <c r="N9">
        <f>STAs!D9</f>
        <v/>
      </c>
      <c r="O9">
        <f>IFERROR(INDEX(Parametros!$P$12:$P$15,MATCH(N9,Parametros!$O$12:$O$15,0)),"")</f>
        <v/>
      </c>
    </row>
    <row r="10">
      <c r="A10">
        <f>IF(F10&gt;0,STAs!G10,"")</f>
        <v/>
      </c>
      <c r="B10">
        <f>IF(F10&gt;0,"Devolução RPTG - "&amp;N10&amp;" - "&amp;F10&amp;" peça(s) pendente(s) - STA "&amp;D10,"")</f>
        <v/>
      </c>
      <c r="C10">
        <f>IF(F10&gt;0,"Prezado(a) parceiro(a) "&amp;E10&amp;","&amp;CHAR(10)&amp;CHAR(10)&amp;"Consta em nosso controle de devolução RPTG "&amp;F10&amp;" peça(s) pendente(s) de devolução, no valor de "&amp;"R$ "&amp;FIXED(G10,2)&amp;", a mais antiga há "&amp;H10&amp;" dias."&amp;CHAR(10)&amp;CHAR(10)&amp;"Solicitamos o envio das peças ou a justificativa em até 5 dias úteis."&amp;CHAR(10)&amp;CHAR(10)&amp;"Atenciosamente,"&amp;CHAR(10)&amp;"Qualidade - RPTG","")</f>
        <v/>
      </c>
      <c r="D10">
        <f>STAs!F10</f>
        <v/>
      </c>
      <c r="E10">
        <f>STAs!C10</f>
        <v/>
      </c>
      <c r="F10">
        <f>SUMIFS(tblBase[QTD],tblBase[Codigo_STA],D10,tblBase[Grupo_Status],"Pendente")+SUMIFS(tblBase[QTD],tblBase[Codigo_STA],D10,tblBase[Grupo_Status],"Em andamento")</f>
        <v/>
      </c>
      <c r="G10" s="10">
        <f>SUMIFS(tblBase[Valor_Total],tblBase[Codigo_STA],D10,tblBase[Grupo_Status],"Pendente")+SUMIFS(tblBase[Valor_Total],tblBase[Codigo_STA],D10,tblBase[Grupo_Status],"Em andamento")</f>
        <v/>
      </c>
      <c r="H10">
        <f>IFERROR(_xlfn.MAXIFS(tblBase[Dias_Em_Aberto],tblBase[Codigo_STA],D10),0)</f>
        <v/>
      </c>
      <c r="N10">
        <f>STAs!D10</f>
        <v/>
      </c>
      <c r="O10">
        <f>IFERROR(INDEX(Parametros!$P$12:$P$15,MATCH(N10,Parametros!$O$12:$O$15,0)),"")</f>
        <v/>
      </c>
    </row>
    <row r="11">
      <c r="A11">
        <f>IF(F11&gt;0,STAs!G11,"")</f>
        <v/>
      </c>
      <c r="B11">
        <f>IF(F11&gt;0,"Devolução RPTG - "&amp;N11&amp;" - "&amp;F11&amp;" peça(s) pendente(s) - STA "&amp;D11,"")</f>
        <v/>
      </c>
      <c r="C11">
        <f>IF(F11&gt;0,"Prezado(a) parceiro(a) "&amp;E11&amp;","&amp;CHAR(10)&amp;CHAR(10)&amp;"Consta em nosso controle de devolução RPTG "&amp;F11&amp;" peça(s) pendente(s) de devolução, no valor de "&amp;"R$ "&amp;FIXED(G11,2)&amp;", a mais antiga há "&amp;H11&amp;" dias."&amp;CHAR(10)&amp;CHAR(10)&amp;"Solicitamos o envio das peças ou a justificativa em até 5 dias úteis."&amp;CHAR(10)&amp;CHAR(10)&amp;"Atenciosamente,"&amp;CHAR(10)&amp;"Qualidade - RPTG","")</f>
        <v/>
      </c>
      <c r="D11">
        <f>STAs!F11</f>
        <v/>
      </c>
      <c r="E11">
        <f>STAs!C11</f>
        <v/>
      </c>
      <c r="F11">
        <f>SUMIFS(tblBase[QTD],tblBase[Codigo_STA],D11,tblBase[Grupo_Status],"Pendente")+SUMIFS(tblBase[QTD],tblBase[Codigo_STA],D11,tblBase[Grupo_Status],"Em andamento")</f>
        <v/>
      </c>
      <c r="G11" s="10">
        <f>SUMIFS(tblBase[Valor_Total],tblBase[Codigo_STA],D11,tblBase[Grupo_Status],"Pendente")+SUMIFS(tblBase[Valor_Total],tblBase[Codigo_STA],D11,tblBase[Grupo_Status],"Em andamento")</f>
        <v/>
      </c>
      <c r="H11">
        <f>IFERROR(_xlfn.MAXIFS(tblBase[Dias_Em_Aberto],tblBase[Codigo_STA],D11),0)</f>
        <v/>
      </c>
      <c r="N11">
        <f>STAs!D11</f>
        <v/>
      </c>
      <c r="O11">
        <f>IFERROR(INDEX(Parametros!$P$12:$P$15,MATCH(N11,Parametros!$O$12:$O$15,0)),"")</f>
        <v/>
      </c>
    </row>
    <row r="12">
      <c r="A12">
        <f>IF(F12&gt;0,STAs!G12,"")</f>
        <v/>
      </c>
      <c r="B12">
        <f>IF(F12&gt;0,"Devolução RPTG - "&amp;N12&amp;" - "&amp;F12&amp;" peça(s) pendente(s) - STA "&amp;D12,"")</f>
        <v/>
      </c>
      <c r="C12">
        <f>IF(F12&gt;0,"Prezado(a) parceiro(a) "&amp;E12&amp;","&amp;CHAR(10)&amp;CHAR(10)&amp;"Consta em nosso controle de devolução RPTG "&amp;F12&amp;" peça(s) pendente(s) de devolução, no valor de "&amp;"R$ "&amp;FIXED(G12,2)&amp;", a mais antiga há "&amp;H12&amp;" dias."&amp;CHAR(10)&amp;CHAR(10)&amp;"Solicitamos o envio das peças ou a justificativa em até 5 dias úteis."&amp;CHAR(10)&amp;CHAR(10)&amp;"Atenciosamente,"&amp;CHAR(10)&amp;"Qualidade - RPTG","")</f>
        <v/>
      </c>
      <c r="D12">
        <f>STAs!F12</f>
        <v/>
      </c>
      <c r="E12">
        <f>STAs!C12</f>
        <v/>
      </c>
      <c r="F12">
        <f>SUMIFS(tblBase[QTD],tblBase[Codigo_STA],D12,tblBase[Grupo_Status],"Pendente")+SUMIFS(tblBase[QTD],tblBase[Codigo_STA],D12,tblBase[Grupo_Status],"Em andamento")</f>
        <v/>
      </c>
      <c r="G12" s="10">
        <f>SUMIFS(tblBase[Valor_Total],tblBase[Codigo_STA],D12,tblBase[Grupo_Status],"Pendente")+SUMIFS(tblBase[Valor_Total],tblBase[Codigo_STA],D12,tblBase[Grupo_Status],"Em andamento")</f>
        <v/>
      </c>
      <c r="H12">
        <f>IFERROR(_xlfn.MAXIFS(tblBase[Dias_Em_Aberto],tblBase[Codigo_STA],D12),0)</f>
        <v/>
      </c>
      <c r="N12">
        <f>STAs!D12</f>
        <v/>
      </c>
      <c r="O12">
        <f>IFERROR(INDEX(Parametros!$P$12:$P$15,MATCH(N12,Parametros!$O$12:$O$15,0)),"")</f>
        <v/>
      </c>
    </row>
    <row r="13">
      <c r="A13">
        <f>IF(F13&gt;0,STAs!G13,"")</f>
        <v/>
      </c>
      <c r="B13">
        <f>IF(F13&gt;0,"Devolução RPTG - "&amp;N13&amp;" - "&amp;F13&amp;" peça(s) pendente(s) - STA "&amp;D13,"")</f>
        <v/>
      </c>
      <c r="C13">
        <f>IF(F13&gt;0,"Prezado(a) parceiro(a) "&amp;E13&amp;","&amp;CHAR(10)&amp;CHAR(10)&amp;"Consta em nosso controle de devolução RPTG "&amp;F13&amp;" peça(s) pendente(s) de devolução, no valor de "&amp;"R$ "&amp;FIXED(G13,2)&amp;", a mais antiga há "&amp;H13&amp;" dias."&amp;CHAR(10)&amp;CHAR(10)&amp;"Solicitamos o envio das peças ou a justificativa em até 5 dias úteis."&amp;CHAR(10)&amp;CHAR(10)&amp;"Atenciosamente,"&amp;CHAR(10)&amp;"Qualidade - RPTG","")</f>
        <v/>
      </c>
      <c r="D13">
        <f>STAs!F13</f>
        <v/>
      </c>
      <c r="E13">
        <f>STAs!C13</f>
        <v/>
      </c>
      <c r="F13">
        <f>SUMIFS(tblBase[QTD],tblBase[Codigo_STA],D13,tblBase[Grupo_Status],"Pendente")+SUMIFS(tblBase[QTD],tblBase[Codigo_STA],D13,tblBase[Grupo_Status],"Em andamento")</f>
        <v/>
      </c>
      <c r="G13" s="10">
        <f>SUMIFS(tblBase[Valor_Total],tblBase[Codigo_STA],D13,tblBase[Grupo_Status],"Pendente")+SUMIFS(tblBase[Valor_Total],tblBase[Codigo_STA],D13,tblBase[Grupo_Status],"Em andamento")</f>
        <v/>
      </c>
      <c r="H13">
        <f>IFERROR(_xlfn.MAXIFS(tblBase[Dias_Em_Aberto],tblBase[Codigo_STA],D13),0)</f>
        <v/>
      </c>
      <c r="N13">
        <f>STAs!D13</f>
        <v/>
      </c>
      <c r="O13">
        <f>IFERROR(INDEX(Parametros!$P$12:$P$15,MATCH(N13,Parametros!$O$12:$O$15,0)),"")</f>
        <v/>
      </c>
    </row>
    <row r="14">
      <c r="A14">
        <f>IF(F14&gt;0,STAs!G14,"")</f>
        <v/>
      </c>
      <c r="B14">
        <f>IF(F14&gt;0,"Devolução RPTG - "&amp;N14&amp;" - "&amp;F14&amp;" peça(s) pendente(s) - STA "&amp;D14,"")</f>
        <v/>
      </c>
      <c r="C14">
        <f>IF(F14&gt;0,"Prezado(a) parceiro(a) "&amp;E14&amp;","&amp;CHAR(10)&amp;CHAR(10)&amp;"Consta em nosso controle de devolução RPTG "&amp;F14&amp;" peça(s) pendente(s) de devolução, no valor de "&amp;"R$ "&amp;FIXED(G14,2)&amp;", a mais antiga há "&amp;H14&amp;" dias."&amp;CHAR(10)&amp;CHAR(10)&amp;"Solicitamos o envio das peças ou a justificativa em até 5 dias úteis."&amp;CHAR(10)&amp;CHAR(10)&amp;"Atenciosamente,"&amp;CHAR(10)&amp;"Qualidade - RPTG","")</f>
        <v/>
      </c>
      <c r="D14">
        <f>STAs!F14</f>
        <v/>
      </c>
      <c r="E14">
        <f>STAs!C14</f>
        <v/>
      </c>
      <c r="F14">
        <f>SUMIFS(tblBase[QTD],tblBase[Codigo_STA],D14,tblBase[Grupo_Status],"Pendente")+SUMIFS(tblBase[QTD],tblBase[Codigo_STA],D14,tblBase[Grupo_Status],"Em andamento")</f>
        <v/>
      </c>
      <c r="G14" s="10">
        <f>SUMIFS(tblBase[Valor_Total],tblBase[Codigo_STA],D14,tblBase[Grupo_Status],"Pendente")+SUMIFS(tblBase[Valor_Total],tblBase[Codigo_STA],D14,tblBase[Grupo_Status],"Em andamento")</f>
        <v/>
      </c>
      <c r="H14">
        <f>IFERROR(_xlfn.MAXIFS(tblBase[Dias_Em_Aberto],tblBase[Codigo_STA],D14),0)</f>
        <v/>
      </c>
      <c r="N14">
        <f>STAs!D14</f>
        <v/>
      </c>
      <c r="O14">
        <f>IFERROR(INDEX(Parametros!$P$12:$P$15,MATCH(N14,Parametros!$O$12:$O$15,0)),"")</f>
        <v/>
      </c>
    </row>
    <row r="15">
      <c r="A15">
        <f>IF(F15&gt;0,STAs!G15,"")</f>
        <v/>
      </c>
      <c r="B15">
        <f>IF(F15&gt;0,"Devolução RPTG - "&amp;N15&amp;" - "&amp;F15&amp;" peça(s) pendente(s) - STA "&amp;D15,"")</f>
        <v/>
      </c>
      <c r="C15">
        <f>IF(F15&gt;0,"Prezado(a) parceiro(a) "&amp;E15&amp;","&amp;CHAR(10)&amp;CHAR(10)&amp;"Consta em nosso controle de devolução RPTG "&amp;F15&amp;" peça(s) pendente(s) de devolução, no valor de "&amp;"R$ "&amp;FIXED(G15,2)&amp;", a mais antiga há "&amp;H15&amp;" dias."&amp;CHAR(10)&amp;CHAR(10)&amp;"Solicitamos o envio das peças ou a justificativa em até 5 dias úteis."&amp;CHAR(10)&amp;CHAR(10)&amp;"Atenciosamente,"&amp;CHAR(10)&amp;"Qualidade - RPTG","")</f>
        <v/>
      </c>
      <c r="D15">
        <f>STAs!F15</f>
        <v/>
      </c>
      <c r="E15">
        <f>STAs!C15</f>
        <v/>
      </c>
      <c r="F15">
        <f>SUMIFS(tblBase[QTD],tblBase[Codigo_STA],D15,tblBase[Grupo_Status],"Pendente")+SUMIFS(tblBase[QTD],tblBase[Codigo_STA],D15,tblBase[Grupo_Status],"Em andamento")</f>
        <v/>
      </c>
      <c r="G15" s="10">
        <f>SUMIFS(tblBase[Valor_Total],tblBase[Codigo_STA],D15,tblBase[Grupo_Status],"Pendente")+SUMIFS(tblBase[Valor_Total],tblBase[Codigo_STA],D15,tblBase[Grupo_Status],"Em andamento")</f>
        <v/>
      </c>
      <c r="H15">
        <f>IFERROR(_xlfn.MAXIFS(tblBase[Dias_Em_Aberto],tblBase[Codigo_STA],D15),0)</f>
        <v/>
      </c>
      <c r="N15">
        <f>STAs!D15</f>
        <v/>
      </c>
      <c r="O15">
        <f>IFERROR(INDEX(Parametros!$P$12:$P$15,MATCH(N15,Parametros!$O$12:$O$15,0)),"")</f>
        <v/>
      </c>
    </row>
    <row r="16">
      <c r="A16">
        <f>IF(F16&gt;0,STAs!G16,"")</f>
        <v/>
      </c>
      <c r="B16">
        <f>IF(F16&gt;0,"Devolução RPTG - "&amp;N16&amp;" - "&amp;F16&amp;" peça(s) pendente(s) - STA "&amp;D16,"")</f>
        <v/>
      </c>
      <c r="C16">
        <f>IF(F16&gt;0,"Prezado(a) parceiro(a) "&amp;E16&amp;","&amp;CHAR(10)&amp;CHAR(10)&amp;"Consta em nosso controle de devolução RPTG "&amp;F16&amp;" peça(s) pendente(s) de devolução, no valor de "&amp;"R$ "&amp;FIXED(G16,2)&amp;", a mais antiga há "&amp;H16&amp;" dias."&amp;CHAR(10)&amp;CHAR(10)&amp;"Solicitamos o envio das peças ou a justificativa em até 5 dias úteis."&amp;CHAR(10)&amp;CHAR(10)&amp;"Atenciosamente,"&amp;CHAR(10)&amp;"Qualidade - RPTG","")</f>
        <v/>
      </c>
      <c r="D16">
        <f>STAs!F16</f>
        <v/>
      </c>
      <c r="E16">
        <f>STAs!C16</f>
        <v/>
      </c>
      <c r="F16">
        <f>SUMIFS(tblBase[QTD],tblBase[Codigo_STA],D16,tblBase[Grupo_Status],"Pendente")+SUMIFS(tblBase[QTD],tblBase[Codigo_STA],D16,tblBase[Grupo_Status],"Em andamento")</f>
        <v/>
      </c>
      <c r="G16" s="10">
        <f>SUMIFS(tblBase[Valor_Total],tblBase[Codigo_STA],D16,tblBase[Grupo_Status],"Pendente")+SUMIFS(tblBase[Valor_Total],tblBase[Codigo_STA],D16,tblBase[Grupo_Status],"Em andamento")</f>
        <v/>
      </c>
      <c r="H16">
        <f>IFERROR(_xlfn.MAXIFS(tblBase[Dias_Em_Aberto],tblBase[Codigo_STA],D16),0)</f>
        <v/>
      </c>
      <c r="N16">
        <f>STAs!D16</f>
        <v/>
      </c>
      <c r="O16">
        <f>IFERROR(INDEX(Parametros!$P$12:$P$15,MATCH(N16,Parametros!$O$12:$O$15,0)),"")</f>
        <v/>
      </c>
    </row>
    <row r="17">
      <c r="A17">
        <f>IF(F17&gt;0,STAs!G17,"")</f>
        <v/>
      </c>
      <c r="B17">
        <f>IF(F17&gt;0,"Devolução RPTG - "&amp;N17&amp;" - "&amp;F17&amp;" peça(s) pendente(s) - STA "&amp;D17,"")</f>
        <v/>
      </c>
      <c r="C17">
        <f>IF(F17&gt;0,"Prezado(a) parceiro(a) "&amp;E17&amp;","&amp;CHAR(10)&amp;CHAR(10)&amp;"Consta em nosso controle de devolução RPTG "&amp;F17&amp;" peça(s) pendente(s) de devolução, no valor de "&amp;"R$ "&amp;FIXED(G17,2)&amp;", a mais antiga há "&amp;H17&amp;" dias."&amp;CHAR(10)&amp;CHAR(10)&amp;"Solicitamos o envio das peças ou a justificativa em até 5 dias úteis."&amp;CHAR(10)&amp;CHAR(10)&amp;"Atenciosamente,"&amp;CHAR(10)&amp;"Qualidade - RPTG","")</f>
        <v/>
      </c>
      <c r="D17">
        <f>STAs!F17</f>
        <v/>
      </c>
      <c r="E17">
        <f>STAs!C17</f>
        <v/>
      </c>
      <c r="F17">
        <f>SUMIFS(tblBase[QTD],tblBase[Codigo_STA],D17,tblBase[Grupo_Status],"Pendente")+SUMIFS(tblBase[QTD],tblBase[Codigo_STA],D17,tblBase[Grupo_Status],"Em andamento")</f>
        <v/>
      </c>
      <c r="G17" s="10">
        <f>SUMIFS(tblBase[Valor_Total],tblBase[Codigo_STA],D17,tblBase[Grupo_Status],"Pendente")+SUMIFS(tblBase[Valor_Total],tblBase[Codigo_STA],D17,tblBase[Grupo_Status],"Em andamento")</f>
        <v/>
      </c>
      <c r="H17">
        <f>IFERROR(_xlfn.MAXIFS(tblBase[Dias_Em_Aberto],tblBase[Codigo_STA],D17),0)</f>
        <v/>
      </c>
      <c r="N17">
        <f>STAs!D17</f>
        <v/>
      </c>
      <c r="O17">
        <f>IFERROR(INDEX(Parametros!$P$12:$P$15,MATCH(N17,Parametros!$O$12:$O$15,0)),"")</f>
        <v/>
      </c>
    </row>
    <row r="18">
      <c r="A18">
        <f>IF(F18&gt;0,STAs!G18,"")</f>
        <v/>
      </c>
      <c r="B18">
        <f>IF(F18&gt;0,"Devolução RPTG - "&amp;N18&amp;" - "&amp;F18&amp;" peça(s) pendente(s) - STA "&amp;D18,"")</f>
        <v/>
      </c>
      <c r="C18">
        <f>IF(F18&gt;0,"Prezado(a) parceiro(a) "&amp;E18&amp;","&amp;CHAR(10)&amp;CHAR(10)&amp;"Consta em nosso controle de devolução RPTG "&amp;F18&amp;" peça(s) pendente(s) de devolução, no valor de "&amp;"R$ "&amp;FIXED(G18,2)&amp;", a mais antiga há "&amp;H18&amp;" dias."&amp;CHAR(10)&amp;CHAR(10)&amp;"Solicitamos o envio das peças ou a justificativa em até 5 dias úteis."&amp;CHAR(10)&amp;CHAR(10)&amp;"Atenciosamente,"&amp;CHAR(10)&amp;"Qualidade - RPTG","")</f>
        <v/>
      </c>
      <c r="D18">
        <f>STAs!F18</f>
        <v/>
      </c>
      <c r="E18">
        <f>STAs!C18</f>
        <v/>
      </c>
      <c r="F18">
        <f>SUMIFS(tblBase[QTD],tblBase[Codigo_STA],D18,tblBase[Grupo_Status],"Pendente")+SUMIFS(tblBase[QTD],tblBase[Codigo_STA],D18,tblBase[Grupo_Status],"Em andamento")</f>
        <v/>
      </c>
      <c r="G18" s="10">
        <f>SUMIFS(tblBase[Valor_Total],tblBase[Codigo_STA],D18,tblBase[Grupo_Status],"Pendente")+SUMIFS(tblBase[Valor_Total],tblBase[Codigo_STA],D18,tblBase[Grupo_Status],"Em andamento")</f>
        <v/>
      </c>
      <c r="H18">
        <f>IFERROR(_xlfn.MAXIFS(tblBase[Dias_Em_Aberto],tblBase[Codigo_STA],D18),0)</f>
        <v/>
      </c>
      <c r="N18">
        <f>STAs!D18</f>
        <v/>
      </c>
      <c r="O18">
        <f>IFERROR(INDEX(Parametros!$P$12:$P$15,MATCH(N18,Parametros!$O$12:$O$15,0)),"")</f>
        <v/>
      </c>
    </row>
    <row r="19">
      <c r="A19">
        <f>IF(F19&gt;0,STAs!G19,"")</f>
        <v/>
      </c>
      <c r="B19">
        <f>IF(F19&gt;0,"Devolução RPTG - "&amp;N19&amp;" - "&amp;F19&amp;" peça(s) pendente(s) - STA "&amp;D19,"")</f>
        <v/>
      </c>
      <c r="C19">
        <f>IF(F19&gt;0,"Prezado(a) parceiro(a) "&amp;E19&amp;","&amp;CHAR(10)&amp;CHAR(10)&amp;"Consta em nosso controle de devolução RPTG "&amp;F19&amp;" peça(s) pendente(s) de devolução, no valor de "&amp;"R$ "&amp;FIXED(G19,2)&amp;", a mais antiga há "&amp;H19&amp;" dias."&amp;CHAR(10)&amp;CHAR(10)&amp;"Solicitamos o envio das peças ou a justificativa em até 5 dias úteis."&amp;CHAR(10)&amp;CHAR(10)&amp;"Atenciosamente,"&amp;CHAR(10)&amp;"Qualidade - RPTG","")</f>
        <v/>
      </c>
      <c r="D19">
        <f>STAs!F19</f>
        <v/>
      </c>
      <c r="E19">
        <f>STAs!C19</f>
        <v/>
      </c>
      <c r="F19">
        <f>SUMIFS(tblBase[QTD],tblBase[Codigo_STA],D19,tblBase[Grupo_Status],"Pendente")+SUMIFS(tblBase[QTD],tblBase[Codigo_STA],D19,tblBase[Grupo_Status],"Em andamento")</f>
        <v/>
      </c>
      <c r="G19" s="10">
        <f>SUMIFS(tblBase[Valor_Total],tblBase[Codigo_STA],D19,tblBase[Grupo_Status],"Pendente")+SUMIFS(tblBase[Valor_Total],tblBase[Codigo_STA],D19,tblBase[Grupo_Status],"Em andamento")</f>
        <v/>
      </c>
      <c r="H19">
        <f>IFERROR(_xlfn.MAXIFS(tblBase[Dias_Em_Aberto],tblBase[Codigo_STA],D19),0)</f>
        <v/>
      </c>
      <c r="N19">
        <f>STAs!D19</f>
        <v/>
      </c>
      <c r="O19">
        <f>IFERROR(INDEX(Parametros!$P$12:$P$15,MATCH(N19,Parametros!$O$12:$O$15,0)),"")</f>
        <v/>
      </c>
    </row>
    <row r="20">
      <c r="A20">
        <f>IF(F20&gt;0,STAs!G20,"")</f>
        <v/>
      </c>
      <c r="B20">
        <f>IF(F20&gt;0,"Devolução RPTG - "&amp;N20&amp;" - "&amp;F20&amp;" peça(s) pendente(s) - STA "&amp;D20,"")</f>
        <v/>
      </c>
      <c r="C20">
        <f>IF(F20&gt;0,"Prezado(a) parceiro(a) "&amp;E20&amp;","&amp;CHAR(10)&amp;CHAR(10)&amp;"Consta em nosso controle de devolução RPTG "&amp;F20&amp;" peça(s) pendente(s) de devolução, no valor de "&amp;"R$ "&amp;FIXED(G20,2)&amp;", a mais antiga há "&amp;H20&amp;" dias."&amp;CHAR(10)&amp;CHAR(10)&amp;"Solicitamos o envio das peças ou a justificativa em até 5 dias úteis."&amp;CHAR(10)&amp;CHAR(10)&amp;"Atenciosamente,"&amp;CHAR(10)&amp;"Qualidade - RPTG","")</f>
        <v/>
      </c>
      <c r="D20">
        <f>STAs!F20</f>
        <v/>
      </c>
      <c r="E20">
        <f>STAs!C20</f>
        <v/>
      </c>
      <c r="F20">
        <f>SUMIFS(tblBase[QTD],tblBase[Codigo_STA],D20,tblBase[Grupo_Status],"Pendente")+SUMIFS(tblBase[QTD],tblBase[Codigo_STA],D20,tblBase[Grupo_Status],"Em andamento")</f>
        <v/>
      </c>
      <c r="G20" s="10">
        <f>SUMIFS(tblBase[Valor_Total],tblBase[Codigo_STA],D20,tblBase[Grupo_Status],"Pendente")+SUMIFS(tblBase[Valor_Total],tblBase[Codigo_STA],D20,tblBase[Grupo_Status],"Em andamento")</f>
        <v/>
      </c>
      <c r="H20">
        <f>IFERROR(_xlfn.MAXIFS(tblBase[Dias_Em_Aberto],tblBase[Codigo_STA],D20),0)</f>
        <v/>
      </c>
      <c r="N20">
        <f>STAs!D20</f>
        <v/>
      </c>
      <c r="O20">
        <f>IFERROR(INDEX(Parametros!$P$12:$P$15,MATCH(N20,Parametros!$O$12:$O$15,0)),"")</f>
        <v/>
      </c>
    </row>
    <row r="21">
      <c r="A21">
        <f>IF(F21&gt;0,STAs!G21,"")</f>
        <v/>
      </c>
      <c r="B21">
        <f>IF(F21&gt;0,"Devolução RPTG - "&amp;N21&amp;" - "&amp;F21&amp;" peça(s) pendente(s) - STA "&amp;D21,"")</f>
        <v/>
      </c>
      <c r="C21">
        <f>IF(F21&gt;0,"Prezado(a) parceiro(a) "&amp;E21&amp;","&amp;CHAR(10)&amp;CHAR(10)&amp;"Consta em nosso controle de devolução RPTG "&amp;F21&amp;" peça(s) pendente(s) de devolução, no valor de "&amp;"R$ "&amp;FIXED(G21,2)&amp;", a mais antiga há "&amp;H21&amp;" dias."&amp;CHAR(10)&amp;CHAR(10)&amp;"Solicitamos o envio das peças ou a justificativa em até 5 dias úteis."&amp;CHAR(10)&amp;CHAR(10)&amp;"Atenciosamente,"&amp;CHAR(10)&amp;"Qualidade - RPTG","")</f>
        <v/>
      </c>
      <c r="D21">
        <f>STAs!F21</f>
        <v/>
      </c>
      <c r="E21">
        <f>STAs!C21</f>
        <v/>
      </c>
      <c r="F21">
        <f>SUMIFS(tblBase[QTD],tblBase[Codigo_STA],D21,tblBase[Grupo_Status],"Pendente")+SUMIFS(tblBase[QTD],tblBase[Codigo_STA],D21,tblBase[Grupo_Status],"Em andamento")</f>
        <v/>
      </c>
      <c r="G21" s="10">
        <f>SUMIFS(tblBase[Valor_Total],tblBase[Codigo_STA],D21,tblBase[Grupo_Status],"Pendente")+SUMIFS(tblBase[Valor_Total],tblBase[Codigo_STA],D21,tblBase[Grupo_Status],"Em andamento")</f>
        <v/>
      </c>
      <c r="H21">
        <f>IFERROR(_xlfn.MAXIFS(tblBase[Dias_Em_Aberto],tblBase[Codigo_STA],D21),0)</f>
        <v/>
      </c>
      <c r="N21">
        <f>STAs!D21</f>
        <v/>
      </c>
      <c r="O21">
        <f>IFERROR(INDEX(Parametros!$P$12:$P$15,MATCH(N21,Parametros!$O$12:$O$15,0)),"")</f>
        <v/>
      </c>
    </row>
    <row r="22">
      <c r="A22">
        <f>IF(F22&gt;0,STAs!G22,"")</f>
        <v/>
      </c>
      <c r="B22">
        <f>IF(F22&gt;0,"Devolução RPTG - "&amp;N22&amp;" - "&amp;F22&amp;" peça(s) pendente(s) - STA "&amp;D22,"")</f>
        <v/>
      </c>
      <c r="C22">
        <f>IF(F22&gt;0,"Prezado(a) parceiro(a) "&amp;E22&amp;","&amp;CHAR(10)&amp;CHAR(10)&amp;"Consta em nosso controle de devolução RPTG "&amp;F22&amp;" peça(s) pendente(s) de devolução, no valor de "&amp;"R$ "&amp;FIXED(G22,2)&amp;", a mais antiga há "&amp;H22&amp;" dias."&amp;CHAR(10)&amp;CHAR(10)&amp;"Solicitamos o envio das peças ou a justificativa em até 5 dias úteis."&amp;CHAR(10)&amp;CHAR(10)&amp;"Atenciosamente,"&amp;CHAR(10)&amp;"Qualidade - RPTG","")</f>
        <v/>
      </c>
      <c r="D22">
        <f>STAs!F22</f>
        <v/>
      </c>
      <c r="E22">
        <f>STAs!C22</f>
        <v/>
      </c>
      <c r="F22">
        <f>SUMIFS(tblBase[QTD],tblBase[Codigo_STA],D22,tblBase[Grupo_Status],"Pendente")+SUMIFS(tblBase[QTD],tblBase[Codigo_STA],D22,tblBase[Grupo_Status],"Em andamento")</f>
        <v/>
      </c>
      <c r="G22" s="10">
        <f>SUMIFS(tblBase[Valor_Total],tblBase[Codigo_STA],D22,tblBase[Grupo_Status],"Pendente")+SUMIFS(tblBase[Valor_Total],tblBase[Codigo_STA],D22,tblBase[Grupo_Status],"Em andamento")</f>
        <v/>
      </c>
      <c r="H22">
        <f>IFERROR(_xlfn.MAXIFS(tblBase[Dias_Em_Aberto],tblBase[Codigo_STA],D22),0)</f>
        <v/>
      </c>
      <c r="N22">
        <f>STAs!D22</f>
        <v/>
      </c>
      <c r="O22">
        <f>IFERROR(INDEX(Parametros!$P$12:$P$15,MATCH(N22,Parametros!$O$12:$O$15,0)),"")</f>
        <v/>
      </c>
    </row>
    <row r="23">
      <c r="A23">
        <f>IF(F23&gt;0,STAs!G23,"")</f>
        <v/>
      </c>
      <c r="B23">
        <f>IF(F23&gt;0,"Devolução RPTG - "&amp;N23&amp;" - "&amp;F23&amp;" peça(s) pendente(s) - STA "&amp;D23,"")</f>
        <v/>
      </c>
      <c r="C23">
        <f>IF(F23&gt;0,"Prezado(a) parceiro(a) "&amp;E23&amp;","&amp;CHAR(10)&amp;CHAR(10)&amp;"Consta em nosso controle de devolução RPTG "&amp;F23&amp;" peça(s) pendente(s) de devolução, no valor de "&amp;"R$ "&amp;FIXED(G23,2)&amp;", a mais antiga há "&amp;H23&amp;" dias."&amp;CHAR(10)&amp;CHAR(10)&amp;"Solicitamos o envio das peças ou a justificativa em até 5 dias úteis."&amp;CHAR(10)&amp;CHAR(10)&amp;"Atenciosamente,"&amp;CHAR(10)&amp;"Qualidade - RPTG","")</f>
        <v/>
      </c>
      <c r="D23">
        <f>STAs!F23</f>
        <v/>
      </c>
      <c r="E23">
        <f>STAs!C23</f>
        <v/>
      </c>
      <c r="F23">
        <f>SUMIFS(tblBase[QTD],tblBase[Codigo_STA],D23,tblBase[Grupo_Status],"Pendente")+SUMIFS(tblBase[QTD],tblBase[Codigo_STA],D23,tblBase[Grupo_Status],"Em andamento")</f>
        <v/>
      </c>
      <c r="G23" s="10">
        <f>SUMIFS(tblBase[Valor_Total],tblBase[Codigo_STA],D23,tblBase[Grupo_Status],"Pendente")+SUMIFS(tblBase[Valor_Total],tblBase[Codigo_STA],D23,tblBase[Grupo_Status],"Em andamento")</f>
        <v/>
      </c>
      <c r="H23">
        <f>IFERROR(_xlfn.MAXIFS(tblBase[Dias_Em_Aberto],tblBase[Codigo_STA],D23),0)</f>
        <v/>
      </c>
      <c r="N23">
        <f>STAs!D23</f>
        <v/>
      </c>
      <c r="O23">
        <f>IFERROR(INDEX(Parametros!$P$12:$P$15,MATCH(N23,Parametros!$O$12:$O$15,0)),"")</f>
        <v/>
      </c>
    </row>
    <row r="24">
      <c r="A24">
        <f>IF(F24&gt;0,STAs!G24,"")</f>
        <v/>
      </c>
      <c r="B24">
        <f>IF(F24&gt;0,"Devolução RPTG - "&amp;N24&amp;" - "&amp;F24&amp;" peça(s) pendente(s) - STA "&amp;D24,"")</f>
        <v/>
      </c>
      <c r="C24">
        <f>IF(F24&gt;0,"Prezado(a) parceiro(a) "&amp;E24&amp;","&amp;CHAR(10)&amp;CHAR(10)&amp;"Consta em nosso controle de devolução RPTG "&amp;F24&amp;" peça(s) pendente(s) de devolução, no valor de "&amp;"R$ "&amp;FIXED(G24,2)&amp;", a mais antiga há "&amp;H24&amp;" dias."&amp;CHAR(10)&amp;CHAR(10)&amp;"Solicitamos o envio das peças ou a justificativa em até 5 dias úteis."&amp;CHAR(10)&amp;CHAR(10)&amp;"Atenciosamente,"&amp;CHAR(10)&amp;"Qualidade - RPTG","")</f>
        <v/>
      </c>
      <c r="D24">
        <f>STAs!F24</f>
        <v/>
      </c>
      <c r="E24">
        <f>STAs!C24</f>
        <v/>
      </c>
      <c r="F24">
        <f>SUMIFS(tblBase[QTD],tblBase[Codigo_STA],D24,tblBase[Grupo_Status],"Pendente")+SUMIFS(tblBase[QTD],tblBase[Codigo_STA],D24,tblBase[Grupo_Status],"Em andamento")</f>
        <v/>
      </c>
      <c r="G24" s="10">
        <f>SUMIFS(tblBase[Valor_Total],tblBase[Codigo_STA],D24,tblBase[Grupo_Status],"Pendente")+SUMIFS(tblBase[Valor_Total],tblBase[Codigo_STA],D24,tblBase[Grupo_Status],"Em andamento")</f>
        <v/>
      </c>
      <c r="H24">
        <f>IFERROR(_xlfn.MAXIFS(tblBase[Dias_Em_Aberto],tblBase[Codigo_STA],D24),0)</f>
        <v/>
      </c>
      <c r="N24">
        <f>STAs!D24</f>
        <v/>
      </c>
      <c r="O24">
        <f>IFERROR(INDEX(Parametros!$P$12:$P$15,MATCH(N24,Parametros!$O$12:$O$15,0)),"")</f>
        <v/>
      </c>
    </row>
    <row r="25">
      <c r="A25">
        <f>IF(F25&gt;0,STAs!G25,"")</f>
        <v/>
      </c>
      <c r="B25">
        <f>IF(F25&gt;0,"Devolução RPTG - "&amp;N25&amp;" - "&amp;F25&amp;" peça(s) pendente(s) - STA "&amp;D25,"")</f>
        <v/>
      </c>
      <c r="C25">
        <f>IF(F25&gt;0,"Prezado(a) parceiro(a) "&amp;E25&amp;","&amp;CHAR(10)&amp;CHAR(10)&amp;"Consta em nosso controle de devolução RPTG "&amp;F25&amp;" peça(s) pendente(s) de devolução, no valor de "&amp;"R$ "&amp;FIXED(G25,2)&amp;", a mais antiga há "&amp;H25&amp;" dias."&amp;CHAR(10)&amp;CHAR(10)&amp;"Solicitamos o envio das peças ou a justificativa em até 5 dias úteis."&amp;CHAR(10)&amp;CHAR(10)&amp;"Atenciosamente,"&amp;CHAR(10)&amp;"Qualidade - RPTG","")</f>
        <v/>
      </c>
      <c r="D25">
        <f>STAs!F25</f>
        <v/>
      </c>
      <c r="E25">
        <f>STAs!C25</f>
        <v/>
      </c>
      <c r="F25">
        <f>SUMIFS(tblBase[QTD],tblBase[Codigo_STA],D25,tblBase[Grupo_Status],"Pendente")+SUMIFS(tblBase[QTD],tblBase[Codigo_STA],D25,tblBase[Grupo_Status],"Em andamento")</f>
        <v/>
      </c>
      <c r="G25" s="10">
        <f>SUMIFS(tblBase[Valor_Total],tblBase[Codigo_STA],D25,tblBase[Grupo_Status],"Pendente")+SUMIFS(tblBase[Valor_Total],tblBase[Codigo_STA],D25,tblBase[Grupo_Status],"Em andamento")</f>
        <v/>
      </c>
      <c r="H25">
        <f>IFERROR(_xlfn.MAXIFS(tblBase[Dias_Em_Aberto],tblBase[Codigo_STA],D25),0)</f>
        <v/>
      </c>
      <c r="N25">
        <f>STAs!D25</f>
        <v/>
      </c>
      <c r="O25">
        <f>IFERROR(INDEX(Parametros!$P$12:$P$15,MATCH(N25,Parametros!$O$12:$O$15,0)),"")</f>
        <v/>
      </c>
    </row>
    <row r="26">
      <c r="A26">
        <f>IF(F26&gt;0,STAs!G26,"")</f>
        <v/>
      </c>
      <c r="B26">
        <f>IF(F26&gt;0,"Devolução RPTG - "&amp;N26&amp;" - "&amp;F26&amp;" peça(s) pendente(s) - STA "&amp;D26,"")</f>
        <v/>
      </c>
      <c r="C26">
        <f>IF(F26&gt;0,"Prezado(a) parceiro(a) "&amp;E26&amp;","&amp;CHAR(10)&amp;CHAR(10)&amp;"Consta em nosso controle de devolução RPTG "&amp;F26&amp;" peça(s) pendente(s) de devolução, no valor de "&amp;"R$ "&amp;FIXED(G26,2)&amp;", a mais antiga há "&amp;H26&amp;" dias."&amp;CHAR(10)&amp;CHAR(10)&amp;"Solicitamos o envio das peças ou a justificativa em até 5 dias úteis."&amp;CHAR(10)&amp;CHAR(10)&amp;"Atenciosamente,"&amp;CHAR(10)&amp;"Qualidade - RPTG","")</f>
        <v/>
      </c>
      <c r="D26">
        <f>STAs!F26</f>
        <v/>
      </c>
      <c r="E26">
        <f>STAs!C26</f>
        <v/>
      </c>
      <c r="F26">
        <f>SUMIFS(tblBase[QTD],tblBase[Codigo_STA],D26,tblBase[Grupo_Status],"Pendente")+SUMIFS(tblBase[QTD],tblBase[Codigo_STA],D26,tblBase[Grupo_Status],"Em andamento")</f>
        <v/>
      </c>
      <c r="G26" s="10">
        <f>SUMIFS(tblBase[Valor_Total],tblBase[Codigo_STA],D26,tblBase[Grupo_Status],"Pendente")+SUMIFS(tblBase[Valor_Total],tblBase[Codigo_STA],D26,tblBase[Grupo_Status],"Em andamento")</f>
        <v/>
      </c>
      <c r="H26">
        <f>IFERROR(_xlfn.MAXIFS(tblBase[Dias_Em_Aberto],tblBase[Codigo_STA],D26),0)</f>
        <v/>
      </c>
      <c r="N26">
        <f>STAs!D26</f>
        <v/>
      </c>
      <c r="O26">
        <f>IFERROR(INDEX(Parametros!$P$12:$P$15,MATCH(N26,Parametros!$O$12:$O$15,0)),"")</f>
        <v/>
      </c>
    </row>
    <row r="27">
      <c r="A27">
        <f>IF(F27&gt;0,STAs!G27,"")</f>
        <v/>
      </c>
      <c r="B27">
        <f>IF(F27&gt;0,"Devolução RPTG - "&amp;N27&amp;" - "&amp;F27&amp;" peça(s) pendente(s) - STA "&amp;D27,"")</f>
        <v/>
      </c>
      <c r="C27">
        <f>IF(F27&gt;0,"Prezado(a) parceiro(a) "&amp;E27&amp;","&amp;CHAR(10)&amp;CHAR(10)&amp;"Consta em nosso controle de devolução RPTG "&amp;F27&amp;" peça(s) pendente(s) de devolução, no valor de "&amp;"R$ "&amp;FIXED(G27,2)&amp;", a mais antiga há "&amp;H27&amp;" dias."&amp;CHAR(10)&amp;CHAR(10)&amp;"Solicitamos o envio das peças ou a justificativa em até 5 dias úteis."&amp;CHAR(10)&amp;CHAR(10)&amp;"Atenciosamente,"&amp;CHAR(10)&amp;"Qualidade - RPTG","")</f>
        <v/>
      </c>
      <c r="D27">
        <f>STAs!F27</f>
        <v/>
      </c>
      <c r="E27">
        <f>STAs!C27</f>
        <v/>
      </c>
      <c r="F27">
        <f>SUMIFS(tblBase[QTD],tblBase[Codigo_STA],D27,tblBase[Grupo_Status],"Pendente")+SUMIFS(tblBase[QTD],tblBase[Codigo_STA],D27,tblBase[Grupo_Status],"Em andamento")</f>
        <v/>
      </c>
      <c r="G27" s="10">
        <f>SUMIFS(tblBase[Valor_Total],tblBase[Codigo_STA],D27,tblBase[Grupo_Status],"Pendente")+SUMIFS(tblBase[Valor_Total],tblBase[Codigo_STA],D27,tblBase[Grupo_Status],"Em andamento")</f>
        <v/>
      </c>
      <c r="H27">
        <f>IFERROR(_xlfn.MAXIFS(tblBase[Dias_Em_Aberto],tblBase[Codigo_STA],D27),0)</f>
        <v/>
      </c>
      <c r="N27">
        <f>STAs!D27</f>
        <v/>
      </c>
      <c r="O27">
        <f>IFERROR(INDEX(Parametros!$P$12:$P$15,MATCH(N27,Parametros!$O$12:$O$15,0)),"")</f>
        <v/>
      </c>
    </row>
    <row r="28">
      <c r="A28">
        <f>IF(F28&gt;0,STAs!G28,"")</f>
        <v/>
      </c>
      <c r="B28">
        <f>IF(F28&gt;0,"Devolução RPTG - "&amp;N28&amp;" - "&amp;F28&amp;" peça(s) pendente(s) - STA "&amp;D28,"")</f>
        <v/>
      </c>
      <c r="C28">
        <f>IF(F28&gt;0,"Prezado(a) parceiro(a) "&amp;E28&amp;","&amp;CHAR(10)&amp;CHAR(10)&amp;"Consta em nosso controle de devolução RPTG "&amp;F28&amp;" peça(s) pendente(s) de devolução, no valor de "&amp;"R$ "&amp;FIXED(G28,2)&amp;", a mais antiga há "&amp;H28&amp;" dias."&amp;CHAR(10)&amp;CHAR(10)&amp;"Solicitamos o envio das peças ou a justificativa em até 5 dias úteis."&amp;CHAR(10)&amp;CHAR(10)&amp;"Atenciosamente,"&amp;CHAR(10)&amp;"Qualidade - RPTG","")</f>
        <v/>
      </c>
      <c r="D28">
        <f>STAs!F28</f>
        <v/>
      </c>
      <c r="E28">
        <f>STAs!C28</f>
        <v/>
      </c>
      <c r="F28">
        <f>SUMIFS(tblBase[QTD],tblBase[Codigo_STA],D28,tblBase[Grupo_Status],"Pendente")+SUMIFS(tblBase[QTD],tblBase[Codigo_STA],D28,tblBase[Grupo_Status],"Em andamento")</f>
        <v/>
      </c>
      <c r="G28" s="10">
        <f>SUMIFS(tblBase[Valor_Total],tblBase[Codigo_STA],D28,tblBase[Grupo_Status],"Pendente")+SUMIFS(tblBase[Valor_Total],tblBase[Codigo_STA],D28,tblBase[Grupo_Status],"Em andamento")</f>
        <v/>
      </c>
      <c r="H28">
        <f>IFERROR(_xlfn.MAXIFS(tblBase[Dias_Em_Aberto],tblBase[Codigo_STA],D28),0)</f>
        <v/>
      </c>
      <c r="N28">
        <f>STAs!D28</f>
        <v/>
      </c>
      <c r="O28">
        <f>IFERROR(INDEX(Parametros!$P$12:$P$15,MATCH(N28,Parametros!$O$12:$O$15,0)),"")</f>
        <v/>
      </c>
    </row>
    <row r="29">
      <c r="A29">
        <f>IF(F29&gt;0,STAs!G29,"")</f>
        <v/>
      </c>
      <c r="B29">
        <f>IF(F29&gt;0,"Devolução RPTG - "&amp;N29&amp;" - "&amp;F29&amp;" peça(s) pendente(s) - STA "&amp;D29,"")</f>
        <v/>
      </c>
      <c r="C29">
        <f>IF(F29&gt;0,"Prezado(a) parceiro(a) "&amp;E29&amp;","&amp;CHAR(10)&amp;CHAR(10)&amp;"Consta em nosso controle de devolução RPTG "&amp;F29&amp;" peça(s) pendente(s) de devolução, no valor de "&amp;"R$ "&amp;FIXED(G29,2)&amp;", a mais antiga há "&amp;H29&amp;" dias."&amp;CHAR(10)&amp;CHAR(10)&amp;"Solicitamos o envio das peças ou a justificativa em até 5 dias úteis."&amp;CHAR(10)&amp;CHAR(10)&amp;"Atenciosamente,"&amp;CHAR(10)&amp;"Qualidade - RPTG","")</f>
        <v/>
      </c>
      <c r="D29">
        <f>STAs!F29</f>
        <v/>
      </c>
      <c r="E29">
        <f>STAs!C29</f>
        <v/>
      </c>
      <c r="F29">
        <f>SUMIFS(tblBase[QTD],tblBase[Codigo_STA],D29,tblBase[Grupo_Status],"Pendente")+SUMIFS(tblBase[QTD],tblBase[Codigo_STA],D29,tblBase[Grupo_Status],"Em andamento")</f>
        <v/>
      </c>
      <c r="G29" s="10">
        <f>SUMIFS(tblBase[Valor_Total],tblBase[Codigo_STA],D29,tblBase[Grupo_Status],"Pendente")+SUMIFS(tblBase[Valor_Total],tblBase[Codigo_STA],D29,tblBase[Grupo_Status],"Em andamento")</f>
        <v/>
      </c>
      <c r="H29">
        <f>IFERROR(_xlfn.MAXIFS(tblBase[Dias_Em_Aberto],tblBase[Codigo_STA],D29),0)</f>
        <v/>
      </c>
      <c r="N29">
        <f>STAs!D29</f>
        <v/>
      </c>
      <c r="O29">
        <f>IFERROR(INDEX(Parametros!$P$12:$P$15,MATCH(N29,Parametros!$O$12:$O$15,0)),"")</f>
        <v/>
      </c>
    </row>
    <row r="30">
      <c r="A30">
        <f>IF(F30&gt;0,STAs!G30,"")</f>
        <v/>
      </c>
      <c r="B30">
        <f>IF(F30&gt;0,"Devolução RPTG - "&amp;N30&amp;" - "&amp;F30&amp;" peça(s) pendente(s) - STA "&amp;D30,"")</f>
        <v/>
      </c>
      <c r="C30">
        <f>IF(F30&gt;0,"Prezado(a) parceiro(a) "&amp;E30&amp;","&amp;CHAR(10)&amp;CHAR(10)&amp;"Consta em nosso controle de devolução RPTG "&amp;F30&amp;" peça(s) pendente(s) de devolução, no valor de "&amp;"R$ "&amp;FIXED(G30,2)&amp;", a mais antiga há "&amp;H30&amp;" dias."&amp;CHAR(10)&amp;CHAR(10)&amp;"Solicitamos o envio das peças ou a justificativa em até 5 dias úteis."&amp;CHAR(10)&amp;CHAR(10)&amp;"Atenciosamente,"&amp;CHAR(10)&amp;"Qualidade - RPTG","")</f>
        <v/>
      </c>
      <c r="D30">
        <f>STAs!F30</f>
        <v/>
      </c>
      <c r="E30">
        <f>STAs!C30</f>
        <v/>
      </c>
      <c r="F30">
        <f>SUMIFS(tblBase[QTD],tblBase[Codigo_STA],D30,tblBase[Grupo_Status],"Pendente")+SUMIFS(tblBase[QTD],tblBase[Codigo_STA],D30,tblBase[Grupo_Status],"Em andamento")</f>
        <v/>
      </c>
      <c r="G30" s="10">
        <f>SUMIFS(tblBase[Valor_Total],tblBase[Codigo_STA],D30,tblBase[Grupo_Status],"Pendente")+SUMIFS(tblBase[Valor_Total],tblBase[Codigo_STA],D30,tblBase[Grupo_Status],"Em andamento")</f>
        <v/>
      </c>
      <c r="H30">
        <f>IFERROR(_xlfn.MAXIFS(tblBase[Dias_Em_Aberto],tblBase[Codigo_STA],D30),0)</f>
        <v/>
      </c>
      <c r="N30">
        <f>STAs!D30</f>
        <v/>
      </c>
      <c r="O30">
        <f>IFERROR(INDEX(Parametros!$P$12:$P$15,MATCH(N30,Parametros!$O$12:$O$15,0)),"")</f>
        <v/>
      </c>
    </row>
    <row r="31">
      <c r="A31">
        <f>IF(F31&gt;0,STAs!G31,"")</f>
        <v/>
      </c>
      <c r="B31">
        <f>IF(F31&gt;0,"Devolução RPTG - "&amp;N31&amp;" - "&amp;F31&amp;" peça(s) pendente(s) - STA "&amp;D31,"")</f>
        <v/>
      </c>
      <c r="C31">
        <f>IF(F31&gt;0,"Prezado(a) parceiro(a) "&amp;E31&amp;","&amp;CHAR(10)&amp;CHAR(10)&amp;"Consta em nosso controle de devolução RPTG "&amp;F31&amp;" peça(s) pendente(s) de devolução, no valor de "&amp;"R$ "&amp;FIXED(G31,2)&amp;", a mais antiga há "&amp;H31&amp;" dias."&amp;CHAR(10)&amp;CHAR(10)&amp;"Solicitamos o envio das peças ou a justificativa em até 5 dias úteis."&amp;CHAR(10)&amp;CHAR(10)&amp;"Atenciosamente,"&amp;CHAR(10)&amp;"Qualidade - RPTG","")</f>
        <v/>
      </c>
      <c r="D31">
        <f>STAs!F31</f>
        <v/>
      </c>
      <c r="E31">
        <f>STAs!C31</f>
        <v/>
      </c>
      <c r="F31">
        <f>SUMIFS(tblBase[QTD],tblBase[Codigo_STA],D31,tblBase[Grupo_Status],"Pendente")+SUMIFS(tblBase[QTD],tblBase[Codigo_STA],D31,tblBase[Grupo_Status],"Em andamento")</f>
        <v/>
      </c>
      <c r="G31" s="10">
        <f>SUMIFS(tblBase[Valor_Total],tblBase[Codigo_STA],D31,tblBase[Grupo_Status],"Pendente")+SUMIFS(tblBase[Valor_Total],tblBase[Codigo_STA],D31,tblBase[Grupo_Status],"Em andamento")</f>
        <v/>
      </c>
      <c r="H31">
        <f>IFERROR(_xlfn.MAXIFS(tblBase[Dias_Em_Aberto],tblBase[Codigo_STA],D31),0)</f>
        <v/>
      </c>
      <c r="N31">
        <f>STAs!D31</f>
        <v/>
      </c>
      <c r="O31">
        <f>IFERROR(INDEX(Parametros!$P$12:$P$15,MATCH(N31,Parametros!$O$12:$O$15,0)),"")</f>
        <v/>
      </c>
    </row>
    <row r="32">
      <c r="A32">
        <f>IF(F32&gt;0,STAs!G32,"")</f>
        <v/>
      </c>
      <c r="B32">
        <f>IF(F32&gt;0,"Devolução RPTG - "&amp;N32&amp;" - "&amp;F32&amp;" peça(s) pendente(s) - STA "&amp;D32,"")</f>
        <v/>
      </c>
      <c r="C32">
        <f>IF(F32&gt;0,"Prezado(a) parceiro(a) "&amp;E32&amp;","&amp;CHAR(10)&amp;CHAR(10)&amp;"Consta em nosso controle de devolução RPTG "&amp;F32&amp;" peça(s) pendente(s) de devolução, no valor de "&amp;"R$ "&amp;FIXED(G32,2)&amp;", a mais antiga há "&amp;H32&amp;" dias."&amp;CHAR(10)&amp;CHAR(10)&amp;"Solicitamos o envio das peças ou a justificativa em até 5 dias úteis."&amp;CHAR(10)&amp;CHAR(10)&amp;"Atenciosamente,"&amp;CHAR(10)&amp;"Qualidade - RPTG","")</f>
        <v/>
      </c>
      <c r="D32">
        <f>STAs!F32</f>
        <v/>
      </c>
      <c r="E32">
        <f>STAs!C32</f>
        <v/>
      </c>
      <c r="F32">
        <f>SUMIFS(tblBase[QTD],tblBase[Codigo_STA],D32,tblBase[Grupo_Status],"Pendente")+SUMIFS(tblBase[QTD],tblBase[Codigo_STA],D32,tblBase[Grupo_Status],"Em andamento")</f>
        <v/>
      </c>
      <c r="G32" s="10">
        <f>SUMIFS(tblBase[Valor_Total],tblBase[Codigo_STA],D32,tblBase[Grupo_Status],"Pendente")+SUMIFS(tblBase[Valor_Total],tblBase[Codigo_STA],D32,tblBase[Grupo_Status],"Em andamento")</f>
        <v/>
      </c>
      <c r="H32">
        <f>IFERROR(_xlfn.MAXIFS(tblBase[Dias_Em_Aberto],tblBase[Codigo_STA],D32),0)</f>
        <v/>
      </c>
      <c r="N32">
        <f>STAs!D32</f>
        <v/>
      </c>
      <c r="O32">
        <f>IFERROR(INDEX(Parametros!$P$12:$P$15,MATCH(N32,Parametros!$O$12:$O$15,0)),"")</f>
        <v/>
      </c>
    </row>
    <row r="33">
      <c r="A33">
        <f>IF(F33&gt;0,STAs!G33,"")</f>
        <v/>
      </c>
      <c r="B33">
        <f>IF(F33&gt;0,"Devolução RPTG - "&amp;N33&amp;" - "&amp;F33&amp;" peça(s) pendente(s) - STA "&amp;D33,"")</f>
        <v/>
      </c>
      <c r="C33">
        <f>IF(F33&gt;0,"Prezado(a) parceiro(a) "&amp;E33&amp;","&amp;CHAR(10)&amp;CHAR(10)&amp;"Consta em nosso controle de devolução RPTG "&amp;F33&amp;" peça(s) pendente(s) de devolução, no valor de "&amp;"R$ "&amp;FIXED(G33,2)&amp;", a mais antiga há "&amp;H33&amp;" dias."&amp;CHAR(10)&amp;CHAR(10)&amp;"Solicitamos o envio das peças ou a justificativa em até 5 dias úteis."&amp;CHAR(10)&amp;CHAR(10)&amp;"Atenciosamente,"&amp;CHAR(10)&amp;"Qualidade - RPTG","")</f>
        <v/>
      </c>
      <c r="D33">
        <f>STAs!F33</f>
        <v/>
      </c>
      <c r="E33">
        <f>STAs!C33</f>
        <v/>
      </c>
      <c r="F33">
        <f>SUMIFS(tblBase[QTD],tblBase[Codigo_STA],D33,tblBase[Grupo_Status],"Pendente")+SUMIFS(tblBase[QTD],tblBase[Codigo_STA],D33,tblBase[Grupo_Status],"Em andamento")</f>
        <v/>
      </c>
      <c r="G33" s="10">
        <f>SUMIFS(tblBase[Valor_Total],tblBase[Codigo_STA],D33,tblBase[Grupo_Status],"Pendente")+SUMIFS(tblBase[Valor_Total],tblBase[Codigo_STA],D33,tblBase[Grupo_Status],"Em andamento")</f>
        <v/>
      </c>
      <c r="H33">
        <f>IFERROR(_xlfn.MAXIFS(tblBase[Dias_Em_Aberto],tblBase[Codigo_STA],D33),0)</f>
        <v/>
      </c>
      <c r="N33">
        <f>STAs!D33</f>
        <v/>
      </c>
      <c r="O33">
        <f>IFERROR(INDEX(Parametros!$P$12:$P$15,MATCH(N33,Parametros!$O$12:$O$15,0)),"")</f>
        <v/>
      </c>
    </row>
    <row r="34">
      <c r="A34">
        <f>IF(F34&gt;0,STAs!G34,"")</f>
        <v/>
      </c>
      <c r="B34">
        <f>IF(F34&gt;0,"Devolução RPTG - "&amp;N34&amp;" - "&amp;F34&amp;" peça(s) pendente(s) - STA "&amp;D34,"")</f>
        <v/>
      </c>
      <c r="C34">
        <f>IF(F34&gt;0,"Prezado(a) parceiro(a) "&amp;E34&amp;","&amp;CHAR(10)&amp;CHAR(10)&amp;"Consta em nosso controle de devolução RPTG "&amp;F34&amp;" peça(s) pendente(s) de devolução, no valor de "&amp;"R$ "&amp;FIXED(G34,2)&amp;", a mais antiga há "&amp;H34&amp;" dias."&amp;CHAR(10)&amp;CHAR(10)&amp;"Solicitamos o envio das peças ou a justificativa em até 5 dias úteis."&amp;CHAR(10)&amp;CHAR(10)&amp;"Atenciosamente,"&amp;CHAR(10)&amp;"Qualidade - RPTG","")</f>
        <v/>
      </c>
      <c r="D34">
        <f>STAs!F34</f>
        <v/>
      </c>
      <c r="E34">
        <f>STAs!C34</f>
        <v/>
      </c>
      <c r="F34">
        <f>SUMIFS(tblBase[QTD],tblBase[Codigo_STA],D34,tblBase[Grupo_Status],"Pendente")+SUMIFS(tblBase[QTD],tblBase[Codigo_STA],D34,tblBase[Grupo_Status],"Em andamento")</f>
        <v/>
      </c>
      <c r="G34" s="10">
        <f>SUMIFS(tblBase[Valor_Total],tblBase[Codigo_STA],D34,tblBase[Grupo_Status],"Pendente")+SUMIFS(tblBase[Valor_Total],tblBase[Codigo_STA],D34,tblBase[Grupo_Status],"Em andamento")</f>
        <v/>
      </c>
      <c r="H34">
        <f>IFERROR(_xlfn.MAXIFS(tblBase[Dias_Em_Aberto],tblBase[Codigo_STA],D34),0)</f>
        <v/>
      </c>
      <c r="N34">
        <f>STAs!D34</f>
        <v/>
      </c>
      <c r="O34">
        <f>IFERROR(INDEX(Parametros!$P$12:$P$15,MATCH(N34,Parametros!$O$12:$O$15,0)),"")</f>
        <v/>
      </c>
    </row>
    <row r="35">
      <c r="A35">
        <f>IF(F35&gt;0,STAs!G35,"")</f>
        <v/>
      </c>
      <c r="B35">
        <f>IF(F35&gt;0,"Devolução RPTG - "&amp;N35&amp;" - "&amp;F35&amp;" peça(s) pendente(s) - STA "&amp;D35,"")</f>
        <v/>
      </c>
      <c r="C35">
        <f>IF(F35&gt;0,"Prezado(a) parceiro(a) "&amp;E35&amp;","&amp;CHAR(10)&amp;CHAR(10)&amp;"Consta em nosso controle de devolução RPTG "&amp;F35&amp;" peça(s) pendente(s) de devolução, no valor de "&amp;"R$ "&amp;FIXED(G35,2)&amp;", a mais antiga há "&amp;H35&amp;" dias."&amp;CHAR(10)&amp;CHAR(10)&amp;"Solicitamos o envio das peças ou a justificativa em até 5 dias úteis."&amp;CHAR(10)&amp;CHAR(10)&amp;"Atenciosamente,"&amp;CHAR(10)&amp;"Qualidade - RPTG","")</f>
        <v/>
      </c>
      <c r="D35">
        <f>STAs!F35</f>
        <v/>
      </c>
      <c r="E35">
        <f>STAs!C35</f>
        <v/>
      </c>
      <c r="F35">
        <f>SUMIFS(tblBase[QTD],tblBase[Codigo_STA],D35,tblBase[Grupo_Status],"Pendente")+SUMIFS(tblBase[QTD],tblBase[Codigo_STA],D35,tblBase[Grupo_Status],"Em andamento")</f>
        <v/>
      </c>
      <c r="G35" s="10">
        <f>SUMIFS(tblBase[Valor_Total],tblBase[Codigo_STA],D35,tblBase[Grupo_Status],"Pendente")+SUMIFS(tblBase[Valor_Total],tblBase[Codigo_STA],D35,tblBase[Grupo_Status],"Em andamento")</f>
        <v/>
      </c>
      <c r="H35">
        <f>IFERROR(_xlfn.MAXIFS(tblBase[Dias_Em_Aberto],tblBase[Codigo_STA],D35),0)</f>
        <v/>
      </c>
      <c r="N35">
        <f>STAs!D35</f>
        <v/>
      </c>
      <c r="O35">
        <f>IFERROR(INDEX(Parametros!$P$12:$P$15,MATCH(N35,Parametros!$O$12:$O$15,0)),"")</f>
        <v/>
      </c>
    </row>
    <row r="36">
      <c r="A36">
        <f>IF(F36&gt;0,STAs!G36,"")</f>
        <v/>
      </c>
      <c r="B36">
        <f>IF(F36&gt;0,"Devolução RPTG - "&amp;N36&amp;" - "&amp;F36&amp;" peça(s) pendente(s) - STA "&amp;D36,"")</f>
        <v/>
      </c>
      <c r="C36">
        <f>IF(F36&gt;0,"Prezado(a) parceiro(a) "&amp;E36&amp;","&amp;CHAR(10)&amp;CHAR(10)&amp;"Consta em nosso controle de devolução RPTG "&amp;F36&amp;" peça(s) pendente(s) de devolução, no valor de "&amp;"R$ "&amp;FIXED(G36,2)&amp;", a mais antiga há "&amp;H36&amp;" dias."&amp;CHAR(10)&amp;CHAR(10)&amp;"Solicitamos o envio das peças ou a justificativa em até 5 dias úteis."&amp;CHAR(10)&amp;CHAR(10)&amp;"Atenciosamente,"&amp;CHAR(10)&amp;"Qualidade - RPTG","")</f>
        <v/>
      </c>
      <c r="D36">
        <f>STAs!F36</f>
        <v/>
      </c>
      <c r="E36">
        <f>STAs!C36</f>
        <v/>
      </c>
      <c r="F36">
        <f>SUMIFS(tblBase[QTD],tblBase[Codigo_STA],D36,tblBase[Grupo_Status],"Pendente")+SUMIFS(tblBase[QTD],tblBase[Codigo_STA],D36,tblBase[Grupo_Status],"Em andamento")</f>
        <v/>
      </c>
      <c r="G36" s="10">
        <f>SUMIFS(tblBase[Valor_Total],tblBase[Codigo_STA],D36,tblBase[Grupo_Status],"Pendente")+SUMIFS(tblBase[Valor_Total],tblBase[Codigo_STA],D36,tblBase[Grupo_Status],"Em andamento")</f>
        <v/>
      </c>
      <c r="H36">
        <f>IFERROR(_xlfn.MAXIFS(tblBase[Dias_Em_Aberto],tblBase[Codigo_STA],D36),0)</f>
        <v/>
      </c>
      <c r="N36">
        <f>STAs!D36</f>
        <v/>
      </c>
      <c r="O36">
        <f>IFERROR(INDEX(Parametros!$P$12:$P$15,MATCH(N36,Parametros!$O$12:$O$15,0)),"")</f>
        <v/>
      </c>
    </row>
    <row r="37">
      <c r="A37">
        <f>IF(F37&gt;0,STAs!G37,"")</f>
        <v/>
      </c>
      <c r="B37">
        <f>IF(F37&gt;0,"Devolução RPTG - "&amp;N37&amp;" - "&amp;F37&amp;" peça(s) pendente(s) - STA "&amp;D37,"")</f>
        <v/>
      </c>
      <c r="C37">
        <f>IF(F37&gt;0,"Prezado(a) parceiro(a) "&amp;E37&amp;","&amp;CHAR(10)&amp;CHAR(10)&amp;"Consta em nosso controle de devolução RPTG "&amp;F37&amp;" peça(s) pendente(s) de devolução, no valor de "&amp;"R$ "&amp;FIXED(G37,2)&amp;", a mais antiga há "&amp;H37&amp;" dias."&amp;CHAR(10)&amp;CHAR(10)&amp;"Solicitamos o envio das peças ou a justificativa em até 5 dias úteis."&amp;CHAR(10)&amp;CHAR(10)&amp;"Atenciosamente,"&amp;CHAR(10)&amp;"Qualidade - RPTG","")</f>
        <v/>
      </c>
      <c r="D37">
        <f>STAs!F37</f>
        <v/>
      </c>
      <c r="E37">
        <f>STAs!C37</f>
        <v/>
      </c>
      <c r="F37">
        <f>SUMIFS(tblBase[QTD],tblBase[Codigo_STA],D37,tblBase[Grupo_Status],"Pendente")+SUMIFS(tblBase[QTD],tblBase[Codigo_STA],D37,tblBase[Grupo_Status],"Em andamento")</f>
        <v/>
      </c>
      <c r="G37" s="10">
        <f>SUMIFS(tblBase[Valor_Total],tblBase[Codigo_STA],D37,tblBase[Grupo_Status],"Pendente")+SUMIFS(tblBase[Valor_Total],tblBase[Codigo_STA],D37,tblBase[Grupo_Status],"Em andamento")</f>
        <v/>
      </c>
      <c r="H37">
        <f>IFERROR(_xlfn.MAXIFS(tblBase[Dias_Em_Aberto],tblBase[Codigo_STA],D37),0)</f>
        <v/>
      </c>
      <c r="N37">
        <f>STAs!D37</f>
        <v/>
      </c>
      <c r="O37">
        <f>IFERROR(INDEX(Parametros!$P$12:$P$15,MATCH(N37,Parametros!$O$12:$O$15,0)),"")</f>
        <v/>
      </c>
    </row>
    <row r="38">
      <c r="A38">
        <f>IF(F38&gt;0,STAs!G38,"")</f>
        <v/>
      </c>
      <c r="B38">
        <f>IF(F38&gt;0,"Devolução RPTG - "&amp;N38&amp;" - "&amp;F38&amp;" peça(s) pendente(s) - STA "&amp;D38,"")</f>
        <v/>
      </c>
      <c r="C38">
        <f>IF(F38&gt;0,"Prezado(a) parceiro(a) "&amp;E38&amp;","&amp;CHAR(10)&amp;CHAR(10)&amp;"Consta em nosso controle de devolução RPTG "&amp;F38&amp;" peça(s) pendente(s) de devolução, no valor de "&amp;"R$ "&amp;FIXED(G38,2)&amp;", a mais antiga há "&amp;H38&amp;" dias."&amp;CHAR(10)&amp;CHAR(10)&amp;"Solicitamos o envio das peças ou a justificativa em até 5 dias úteis."&amp;CHAR(10)&amp;CHAR(10)&amp;"Atenciosamente,"&amp;CHAR(10)&amp;"Qualidade - RPTG","")</f>
        <v/>
      </c>
      <c r="D38">
        <f>STAs!F38</f>
        <v/>
      </c>
      <c r="E38">
        <f>STAs!C38</f>
        <v/>
      </c>
      <c r="F38">
        <f>SUMIFS(tblBase[QTD],tblBase[Codigo_STA],D38,tblBase[Grupo_Status],"Pendente")+SUMIFS(tblBase[QTD],tblBase[Codigo_STA],D38,tblBase[Grupo_Status],"Em andamento")</f>
        <v/>
      </c>
      <c r="G38" s="10">
        <f>SUMIFS(tblBase[Valor_Total],tblBase[Codigo_STA],D38,tblBase[Grupo_Status],"Pendente")+SUMIFS(tblBase[Valor_Total],tblBase[Codigo_STA],D38,tblBase[Grupo_Status],"Em andamento")</f>
        <v/>
      </c>
      <c r="H38">
        <f>IFERROR(_xlfn.MAXIFS(tblBase[Dias_Em_Aberto],tblBase[Codigo_STA],D38),0)</f>
        <v/>
      </c>
      <c r="N38">
        <f>STAs!D38</f>
        <v/>
      </c>
      <c r="O38">
        <f>IFERROR(INDEX(Parametros!$P$12:$P$15,MATCH(N38,Parametros!$O$12:$O$15,0)),"")</f>
        <v/>
      </c>
    </row>
    <row r="39">
      <c r="A39">
        <f>IF(F39&gt;0,STAs!G39,"")</f>
        <v/>
      </c>
      <c r="B39">
        <f>IF(F39&gt;0,"Devolução RPTG - "&amp;N39&amp;" - "&amp;F39&amp;" peça(s) pendente(s) - STA "&amp;D39,"")</f>
        <v/>
      </c>
      <c r="C39">
        <f>IF(F39&gt;0,"Prezado(a) parceiro(a) "&amp;E39&amp;","&amp;CHAR(10)&amp;CHAR(10)&amp;"Consta em nosso controle de devolução RPTG "&amp;F39&amp;" peça(s) pendente(s) de devolução, no valor de "&amp;"R$ "&amp;FIXED(G39,2)&amp;", a mais antiga há "&amp;H39&amp;" dias."&amp;CHAR(10)&amp;CHAR(10)&amp;"Solicitamos o envio das peças ou a justificativa em até 5 dias úteis."&amp;CHAR(10)&amp;CHAR(10)&amp;"Atenciosamente,"&amp;CHAR(10)&amp;"Qualidade - RPTG","")</f>
        <v/>
      </c>
      <c r="D39">
        <f>STAs!F39</f>
        <v/>
      </c>
      <c r="E39">
        <f>STAs!C39</f>
        <v/>
      </c>
      <c r="F39">
        <f>SUMIFS(tblBase[QTD],tblBase[Codigo_STA],D39,tblBase[Grupo_Status],"Pendente")+SUMIFS(tblBase[QTD],tblBase[Codigo_STA],D39,tblBase[Grupo_Status],"Em andamento")</f>
        <v/>
      </c>
      <c r="G39" s="10">
        <f>SUMIFS(tblBase[Valor_Total],tblBase[Codigo_STA],D39,tblBase[Grupo_Status],"Pendente")+SUMIFS(tblBase[Valor_Total],tblBase[Codigo_STA],D39,tblBase[Grupo_Status],"Em andamento")</f>
        <v/>
      </c>
      <c r="H39">
        <f>IFERROR(_xlfn.MAXIFS(tblBase[Dias_Em_Aberto],tblBase[Codigo_STA],D39),0)</f>
        <v/>
      </c>
      <c r="N39">
        <f>STAs!D39</f>
        <v/>
      </c>
      <c r="O39">
        <f>IFERROR(INDEX(Parametros!$P$12:$P$15,MATCH(N39,Parametros!$O$12:$O$15,0)),"")</f>
        <v/>
      </c>
    </row>
    <row r="40">
      <c r="A40">
        <f>IF(F40&gt;0,STAs!G40,"")</f>
        <v/>
      </c>
      <c r="B40">
        <f>IF(F40&gt;0,"Devolução RPTG - "&amp;N40&amp;" - "&amp;F40&amp;" peça(s) pendente(s) - STA "&amp;D40,"")</f>
        <v/>
      </c>
      <c r="C40">
        <f>IF(F40&gt;0,"Prezado(a) parceiro(a) "&amp;E40&amp;","&amp;CHAR(10)&amp;CHAR(10)&amp;"Consta em nosso controle de devolução RPTG "&amp;F40&amp;" peça(s) pendente(s) de devolução, no valor de "&amp;"R$ "&amp;FIXED(G40,2)&amp;", a mais antiga há "&amp;H40&amp;" dias."&amp;CHAR(10)&amp;CHAR(10)&amp;"Solicitamos o envio das peças ou a justificativa em até 5 dias úteis."&amp;CHAR(10)&amp;CHAR(10)&amp;"Atenciosamente,"&amp;CHAR(10)&amp;"Qualidade - RPTG","")</f>
        <v/>
      </c>
      <c r="D40">
        <f>STAs!F40</f>
        <v/>
      </c>
      <c r="E40">
        <f>STAs!C40</f>
        <v/>
      </c>
      <c r="F40">
        <f>SUMIFS(tblBase[QTD],tblBase[Codigo_STA],D40,tblBase[Grupo_Status],"Pendente")+SUMIFS(tblBase[QTD],tblBase[Codigo_STA],D40,tblBase[Grupo_Status],"Em andamento")</f>
        <v/>
      </c>
      <c r="G40" s="10">
        <f>SUMIFS(tblBase[Valor_Total],tblBase[Codigo_STA],D40,tblBase[Grupo_Status],"Pendente")+SUMIFS(tblBase[Valor_Total],tblBase[Codigo_STA],D40,tblBase[Grupo_Status],"Em andamento")</f>
        <v/>
      </c>
      <c r="H40">
        <f>IFERROR(_xlfn.MAXIFS(tblBase[Dias_Em_Aberto],tblBase[Codigo_STA],D40),0)</f>
        <v/>
      </c>
      <c r="N40">
        <f>STAs!D40</f>
        <v/>
      </c>
      <c r="O40">
        <f>IFERROR(INDEX(Parametros!$P$12:$P$15,MATCH(N40,Parametros!$O$12:$O$15,0)),"")</f>
        <v/>
      </c>
    </row>
    <row r="41">
      <c r="A41">
        <f>IF(F41&gt;0,STAs!G41,"")</f>
        <v/>
      </c>
      <c r="B41">
        <f>IF(F41&gt;0,"Devolução RPTG - "&amp;N41&amp;" - "&amp;F41&amp;" peça(s) pendente(s) - STA "&amp;D41,"")</f>
        <v/>
      </c>
      <c r="C41">
        <f>IF(F41&gt;0,"Prezado(a) parceiro(a) "&amp;E41&amp;","&amp;CHAR(10)&amp;CHAR(10)&amp;"Consta em nosso controle de devolução RPTG "&amp;F41&amp;" peça(s) pendente(s) de devolução, no valor de "&amp;"R$ "&amp;FIXED(G41,2)&amp;", a mais antiga há "&amp;H41&amp;" dias."&amp;CHAR(10)&amp;CHAR(10)&amp;"Solicitamos o envio das peças ou a justificativa em até 5 dias úteis."&amp;CHAR(10)&amp;CHAR(10)&amp;"Atenciosamente,"&amp;CHAR(10)&amp;"Qualidade - RPTG","")</f>
        <v/>
      </c>
      <c r="D41">
        <f>STAs!F41</f>
        <v/>
      </c>
      <c r="E41">
        <f>STAs!C41</f>
        <v/>
      </c>
      <c r="F41">
        <f>SUMIFS(tblBase[QTD],tblBase[Codigo_STA],D41,tblBase[Grupo_Status],"Pendente")+SUMIFS(tblBase[QTD],tblBase[Codigo_STA],D41,tblBase[Grupo_Status],"Em andamento")</f>
        <v/>
      </c>
      <c r="G41" s="10">
        <f>SUMIFS(tblBase[Valor_Total],tblBase[Codigo_STA],D41,tblBase[Grupo_Status],"Pendente")+SUMIFS(tblBase[Valor_Total],tblBase[Codigo_STA],D41,tblBase[Grupo_Status],"Em andamento")</f>
        <v/>
      </c>
      <c r="H41">
        <f>IFERROR(_xlfn.MAXIFS(tblBase[Dias_Em_Aberto],tblBase[Codigo_STA],D41),0)</f>
        <v/>
      </c>
      <c r="N41">
        <f>STAs!D41</f>
        <v/>
      </c>
      <c r="O41">
        <f>IFERROR(INDEX(Parametros!$P$12:$P$15,MATCH(N41,Parametros!$O$12:$O$15,0)),"")</f>
        <v/>
      </c>
    </row>
    <row r="42">
      <c r="A42">
        <f>IF(F42&gt;0,STAs!G42,"")</f>
        <v/>
      </c>
      <c r="B42">
        <f>IF(F42&gt;0,"Devolução RPTG - "&amp;N42&amp;" - "&amp;F42&amp;" peça(s) pendente(s) - STA "&amp;D42,"")</f>
        <v/>
      </c>
      <c r="C42">
        <f>IF(F42&gt;0,"Prezado(a) parceiro(a) "&amp;E42&amp;","&amp;CHAR(10)&amp;CHAR(10)&amp;"Consta em nosso controle de devolução RPTG "&amp;F42&amp;" peça(s) pendente(s) de devolução, no valor de "&amp;"R$ "&amp;FIXED(G42,2)&amp;", a mais antiga há "&amp;H42&amp;" dias."&amp;CHAR(10)&amp;CHAR(10)&amp;"Solicitamos o envio das peças ou a justificativa em até 5 dias úteis."&amp;CHAR(10)&amp;CHAR(10)&amp;"Atenciosamente,"&amp;CHAR(10)&amp;"Qualidade - RPTG","")</f>
        <v/>
      </c>
      <c r="D42">
        <f>STAs!F42</f>
        <v/>
      </c>
      <c r="E42">
        <f>STAs!C42</f>
        <v/>
      </c>
      <c r="F42">
        <f>SUMIFS(tblBase[QTD],tblBase[Codigo_STA],D42,tblBase[Grupo_Status],"Pendente")+SUMIFS(tblBase[QTD],tblBase[Codigo_STA],D42,tblBase[Grupo_Status],"Em andamento")</f>
        <v/>
      </c>
      <c r="G42" s="10">
        <f>SUMIFS(tblBase[Valor_Total],tblBase[Codigo_STA],D42,tblBase[Grupo_Status],"Pendente")+SUMIFS(tblBase[Valor_Total],tblBase[Codigo_STA],D42,tblBase[Grupo_Status],"Em andamento")</f>
        <v/>
      </c>
      <c r="H42">
        <f>IFERROR(_xlfn.MAXIFS(tblBase[Dias_Em_Aberto],tblBase[Codigo_STA],D42),0)</f>
        <v/>
      </c>
      <c r="N42">
        <f>STAs!D42</f>
        <v/>
      </c>
      <c r="O42">
        <f>IFERROR(INDEX(Parametros!$P$12:$P$15,MATCH(N42,Parametros!$O$12:$O$15,0)),"")</f>
        <v/>
      </c>
    </row>
    <row r="43">
      <c r="A43">
        <f>IF(F43&gt;0,STAs!G43,"")</f>
        <v/>
      </c>
      <c r="B43">
        <f>IF(F43&gt;0,"Devolução RPTG - "&amp;N43&amp;" - "&amp;F43&amp;" peça(s) pendente(s) - STA "&amp;D43,"")</f>
        <v/>
      </c>
      <c r="C43">
        <f>IF(F43&gt;0,"Prezado(a) parceiro(a) "&amp;E43&amp;","&amp;CHAR(10)&amp;CHAR(10)&amp;"Consta em nosso controle de devolução RPTG "&amp;F43&amp;" peça(s) pendente(s) de devolução, no valor de "&amp;"R$ "&amp;FIXED(G43,2)&amp;", a mais antiga há "&amp;H43&amp;" dias."&amp;CHAR(10)&amp;CHAR(10)&amp;"Solicitamos o envio das peças ou a justificativa em até 5 dias úteis."&amp;CHAR(10)&amp;CHAR(10)&amp;"Atenciosamente,"&amp;CHAR(10)&amp;"Qualidade - RPTG","")</f>
        <v/>
      </c>
      <c r="D43">
        <f>STAs!F43</f>
        <v/>
      </c>
      <c r="E43">
        <f>STAs!C43</f>
        <v/>
      </c>
      <c r="F43">
        <f>SUMIFS(tblBase[QTD],tblBase[Codigo_STA],D43,tblBase[Grupo_Status],"Pendente")+SUMIFS(tblBase[QTD],tblBase[Codigo_STA],D43,tblBase[Grupo_Status],"Em andamento")</f>
        <v/>
      </c>
      <c r="G43" s="10">
        <f>SUMIFS(tblBase[Valor_Total],tblBase[Codigo_STA],D43,tblBase[Grupo_Status],"Pendente")+SUMIFS(tblBase[Valor_Total],tblBase[Codigo_STA],D43,tblBase[Grupo_Status],"Em andamento")</f>
        <v/>
      </c>
      <c r="H43">
        <f>IFERROR(_xlfn.MAXIFS(tblBase[Dias_Em_Aberto],tblBase[Codigo_STA],D43),0)</f>
        <v/>
      </c>
      <c r="N43">
        <f>STAs!D43</f>
        <v/>
      </c>
      <c r="O43">
        <f>IFERROR(INDEX(Parametros!$P$12:$P$15,MATCH(N43,Parametros!$O$12:$O$15,0)),"")</f>
        <v/>
      </c>
    </row>
    <row r="44">
      <c r="A44">
        <f>IF(F44&gt;0,STAs!G44,"")</f>
        <v/>
      </c>
      <c r="B44">
        <f>IF(F44&gt;0,"Devolução RPTG - "&amp;N44&amp;" - "&amp;F44&amp;" peça(s) pendente(s) - STA "&amp;D44,"")</f>
        <v/>
      </c>
      <c r="C44">
        <f>IF(F44&gt;0,"Prezado(a) parceiro(a) "&amp;E44&amp;","&amp;CHAR(10)&amp;CHAR(10)&amp;"Consta em nosso controle de devolução RPTG "&amp;F44&amp;" peça(s) pendente(s) de devolução, no valor de "&amp;"R$ "&amp;FIXED(G44,2)&amp;", a mais antiga há "&amp;H44&amp;" dias."&amp;CHAR(10)&amp;CHAR(10)&amp;"Solicitamos o envio das peças ou a justificativa em até 5 dias úteis."&amp;CHAR(10)&amp;CHAR(10)&amp;"Atenciosamente,"&amp;CHAR(10)&amp;"Qualidade - RPTG","")</f>
        <v/>
      </c>
      <c r="D44">
        <f>STAs!F44</f>
        <v/>
      </c>
      <c r="E44">
        <f>STAs!C44</f>
        <v/>
      </c>
      <c r="F44">
        <f>SUMIFS(tblBase[QTD],tblBase[Codigo_STA],D44,tblBase[Grupo_Status],"Pendente")+SUMIFS(tblBase[QTD],tblBase[Codigo_STA],D44,tblBase[Grupo_Status],"Em andamento")</f>
        <v/>
      </c>
      <c r="G44" s="10">
        <f>SUMIFS(tblBase[Valor_Total],tblBase[Codigo_STA],D44,tblBase[Grupo_Status],"Pendente")+SUMIFS(tblBase[Valor_Total],tblBase[Codigo_STA],D44,tblBase[Grupo_Status],"Em andamento")</f>
        <v/>
      </c>
      <c r="H44">
        <f>IFERROR(_xlfn.MAXIFS(tblBase[Dias_Em_Aberto],tblBase[Codigo_STA],D44),0)</f>
        <v/>
      </c>
      <c r="N44">
        <f>STAs!D44</f>
        <v/>
      </c>
      <c r="O44">
        <f>IFERROR(INDEX(Parametros!$P$12:$P$15,MATCH(N44,Parametros!$O$12:$O$15,0)),"")</f>
        <v/>
      </c>
    </row>
    <row r="45">
      <c r="A45">
        <f>IF(F45&gt;0,STAs!G45,"")</f>
        <v/>
      </c>
      <c r="B45">
        <f>IF(F45&gt;0,"Devolução RPTG - "&amp;N45&amp;" - "&amp;F45&amp;" peça(s) pendente(s) - STA "&amp;D45,"")</f>
        <v/>
      </c>
      <c r="C45">
        <f>IF(F45&gt;0,"Prezado(a) parceiro(a) "&amp;E45&amp;","&amp;CHAR(10)&amp;CHAR(10)&amp;"Consta em nosso controle de devolução RPTG "&amp;F45&amp;" peça(s) pendente(s) de devolução, no valor de "&amp;"R$ "&amp;FIXED(G45,2)&amp;", a mais antiga há "&amp;H45&amp;" dias."&amp;CHAR(10)&amp;CHAR(10)&amp;"Solicitamos o envio das peças ou a justificativa em até 5 dias úteis."&amp;CHAR(10)&amp;CHAR(10)&amp;"Atenciosamente,"&amp;CHAR(10)&amp;"Qualidade - RPTG","")</f>
        <v/>
      </c>
      <c r="D45">
        <f>STAs!F45</f>
        <v/>
      </c>
      <c r="E45">
        <f>STAs!C45</f>
        <v/>
      </c>
      <c r="F45">
        <f>SUMIFS(tblBase[QTD],tblBase[Codigo_STA],D45,tblBase[Grupo_Status],"Pendente")+SUMIFS(tblBase[QTD],tblBase[Codigo_STA],D45,tblBase[Grupo_Status],"Em andamento")</f>
        <v/>
      </c>
      <c r="G45" s="10">
        <f>SUMIFS(tblBase[Valor_Total],tblBase[Codigo_STA],D45,tblBase[Grupo_Status],"Pendente")+SUMIFS(tblBase[Valor_Total],tblBase[Codigo_STA],D45,tblBase[Grupo_Status],"Em andamento")</f>
        <v/>
      </c>
      <c r="H45">
        <f>IFERROR(_xlfn.MAXIFS(tblBase[Dias_Em_Aberto],tblBase[Codigo_STA],D45),0)</f>
        <v/>
      </c>
      <c r="N45">
        <f>STAs!D45</f>
        <v/>
      </c>
      <c r="O45">
        <f>IFERROR(INDEX(Parametros!$P$12:$P$15,MATCH(N45,Parametros!$O$12:$O$15,0)),"")</f>
        <v/>
      </c>
    </row>
    <row r="46">
      <c r="A46">
        <f>IF(F46&gt;0,STAs!G46,"")</f>
        <v/>
      </c>
      <c r="B46">
        <f>IF(F46&gt;0,"Devolução RPTG - "&amp;N46&amp;" - "&amp;F46&amp;" peça(s) pendente(s) - STA "&amp;D46,"")</f>
        <v/>
      </c>
      <c r="C46">
        <f>IF(F46&gt;0,"Prezado(a) parceiro(a) "&amp;E46&amp;","&amp;CHAR(10)&amp;CHAR(10)&amp;"Consta em nosso controle de devolução RPTG "&amp;F46&amp;" peça(s) pendente(s) de devolução, no valor de "&amp;"R$ "&amp;FIXED(G46,2)&amp;", a mais antiga há "&amp;H46&amp;" dias."&amp;CHAR(10)&amp;CHAR(10)&amp;"Solicitamos o envio das peças ou a justificativa em até 5 dias úteis."&amp;CHAR(10)&amp;CHAR(10)&amp;"Atenciosamente,"&amp;CHAR(10)&amp;"Qualidade - RPTG","")</f>
        <v/>
      </c>
      <c r="D46">
        <f>STAs!F46</f>
        <v/>
      </c>
      <c r="E46">
        <f>STAs!C46</f>
        <v/>
      </c>
      <c r="F46">
        <f>SUMIFS(tblBase[QTD],tblBase[Codigo_STA],D46,tblBase[Grupo_Status],"Pendente")+SUMIFS(tblBase[QTD],tblBase[Codigo_STA],D46,tblBase[Grupo_Status],"Em andamento")</f>
        <v/>
      </c>
      <c r="G46" s="10">
        <f>SUMIFS(tblBase[Valor_Total],tblBase[Codigo_STA],D46,tblBase[Grupo_Status],"Pendente")+SUMIFS(tblBase[Valor_Total],tblBase[Codigo_STA],D46,tblBase[Grupo_Status],"Em andamento")</f>
        <v/>
      </c>
      <c r="H46">
        <f>IFERROR(_xlfn.MAXIFS(tblBase[Dias_Em_Aberto],tblBase[Codigo_STA],D46),0)</f>
        <v/>
      </c>
      <c r="N46">
        <f>STAs!D46</f>
        <v/>
      </c>
      <c r="O46">
        <f>IFERROR(INDEX(Parametros!$P$12:$P$15,MATCH(N46,Parametros!$O$12:$O$15,0)),"")</f>
        <v/>
      </c>
    </row>
    <row r="47">
      <c r="A47">
        <f>IF(F47&gt;0,STAs!G47,"")</f>
        <v/>
      </c>
      <c r="B47">
        <f>IF(F47&gt;0,"Devolução RPTG - "&amp;N47&amp;" - "&amp;F47&amp;" peça(s) pendente(s) - STA "&amp;D47,"")</f>
        <v/>
      </c>
      <c r="C47">
        <f>IF(F47&gt;0,"Prezado(a) parceiro(a) "&amp;E47&amp;","&amp;CHAR(10)&amp;CHAR(10)&amp;"Consta em nosso controle de devolução RPTG "&amp;F47&amp;" peça(s) pendente(s) de devolução, no valor de "&amp;"R$ "&amp;FIXED(G47,2)&amp;", a mais antiga há "&amp;H47&amp;" dias."&amp;CHAR(10)&amp;CHAR(10)&amp;"Solicitamos o envio das peças ou a justificativa em até 5 dias úteis."&amp;CHAR(10)&amp;CHAR(10)&amp;"Atenciosamente,"&amp;CHAR(10)&amp;"Qualidade - RPTG","")</f>
        <v/>
      </c>
      <c r="D47">
        <f>STAs!F47</f>
        <v/>
      </c>
      <c r="E47">
        <f>STAs!C47</f>
        <v/>
      </c>
      <c r="F47">
        <f>SUMIFS(tblBase[QTD],tblBase[Codigo_STA],D47,tblBase[Grupo_Status],"Pendente")+SUMIFS(tblBase[QTD],tblBase[Codigo_STA],D47,tblBase[Grupo_Status],"Em andamento")</f>
        <v/>
      </c>
      <c r="G47" s="10">
        <f>SUMIFS(tblBase[Valor_Total],tblBase[Codigo_STA],D47,tblBase[Grupo_Status],"Pendente")+SUMIFS(tblBase[Valor_Total],tblBase[Codigo_STA],D47,tblBase[Grupo_Status],"Em andamento")</f>
        <v/>
      </c>
      <c r="H47">
        <f>IFERROR(_xlfn.MAXIFS(tblBase[Dias_Em_Aberto],tblBase[Codigo_STA],D47),0)</f>
        <v/>
      </c>
      <c r="N47">
        <f>STAs!D47</f>
        <v/>
      </c>
      <c r="O47">
        <f>IFERROR(INDEX(Parametros!$P$12:$P$15,MATCH(N47,Parametros!$O$12:$O$15,0)),"")</f>
        <v/>
      </c>
    </row>
    <row r="48">
      <c r="A48">
        <f>IF(F48&gt;0,STAs!G48,"")</f>
        <v/>
      </c>
      <c r="B48">
        <f>IF(F48&gt;0,"Devolução RPTG - "&amp;N48&amp;" - "&amp;F48&amp;" peça(s) pendente(s) - STA "&amp;D48,"")</f>
        <v/>
      </c>
      <c r="C48">
        <f>IF(F48&gt;0,"Prezado(a) parceiro(a) "&amp;E48&amp;","&amp;CHAR(10)&amp;CHAR(10)&amp;"Consta em nosso controle de devolução RPTG "&amp;F48&amp;" peça(s) pendente(s) de devolução, no valor de "&amp;"R$ "&amp;FIXED(G48,2)&amp;", a mais antiga há "&amp;H48&amp;" dias."&amp;CHAR(10)&amp;CHAR(10)&amp;"Solicitamos o envio das peças ou a justificativa em até 5 dias úteis."&amp;CHAR(10)&amp;CHAR(10)&amp;"Atenciosamente,"&amp;CHAR(10)&amp;"Qualidade - RPTG","")</f>
        <v/>
      </c>
      <c r="D48">
        <f>STAs!F48</f>
        <v/>
      </c>
      <c r="E48">
        <f>STAs!C48</f>
        <v/>
      </c>
      <c r="F48">
        <f>SUMIFS(tblBase[QTD],tblBase[Codigo_STA],D48,tblBase[Grupo_Status],"Pendente")+SUMIFS(tblBase[QTD],tblBase[Codigo_STA],D48,tblBase[Grupo_Status],"Em andamento")</f>
        <v/>
      </c>
      <c r="G48" s="10">
        <f>SUMIFS(tblBase[Valor_Total],tblBase[Codigo_STA],D48,tblBase[Grupo_Status],"Pendente")+SUMIFS(tblBase[Valor_Total],tblBase[Codigo_STA],D48,tblBase[Grupo_Status],"Em andamento")</f>
        <v/>
      </c>
      <c r="H48">
        <f>IFERROR(_xlfn.MAXIFS(tblBase[Dias_Em_Aberto],tblBase[Codigo_STA],D48),0)</f>
        <v/>
      </c>
      <c r="N48">
        <f>STAs!D48</f>
        <v/>
      </c>
      <c r="O48">
        <f>IFERROR(INDEX(Parametros!$P$12:$P$15,MATCH(N48,Parametros!$O$12:$O$15,0)),"")</f>
        <v/>
      </c>
    </row>
    <row r="49">
      <c r="A49">
        <f>IF(F49&gt;0,STAs!G49,"")</f>
        <v/>
      </c>
      <c r="B49">
        <f>IF(F49&gt;0,"Devolução RPTG - "&amp;N49&amp;" - "&amp;F49&amp;" peça(s) pendente(s) - STA "&amp;D49,"")</f>
        <v/>
      </c>
      <c r="C49">
        <f>IF(F49&gt;0,"Prezado(a) parceiro(a) "&amp;E49&amp;","&amp;CHAR(10)&amp;CHAR(10)&amp;"Consta em nosso controle de devolução RPTG "&amp;F49&amp;" peça(s) pendente(s) de devolução, no valor de "&amp;"R$ "&amp;FIXED(G49,2)&amp;", a mais antiga há "&amp;H49&amp;" dias."&amp;CHAR(10)&amp;CHAR(10)&amp;"Solicitamos o envio das peças ou a justificativa em até 5 dias úteis."&amp;CHAR(10)&amp;CHAR(10)&amp;"Atenciosamente,"&amp;CHAR(10)&amp;"Qualidade - RPTG","")</f>
        <v/>
      </c>
      <c r="D49">
        <f>STAs!F49</f>
        <v/>
      </c>
      <c r="E49">
        <f>STAs!C49</f>
        <v/>
      </c>
      <c r="F49">
        <f>SUMIFS(tblBase[QTD],tblBase[Codigo_STA],D49,tblBase[Grupo_Status],"Pendente")+SUMIFS(tblBase[QTD],tblBase[Codigo_STA],D49,tblBase[Grupo_Status],"Em andamento")</f>
        <v/>
      </c>
      <c r="G49" s="10">
        <f>SUMIFS(tblBase[Valor_Total],tblBase[Codigo_STA],D49,tblBase[Grupo_Status],"Pendente")+SUMIFS(tblBase[Valor_Total],tblBase[Codigo_STA],D49,tblBase[Grupo_Status],"Em andamento")</f>
        <v/>
      </c>
      <c r="H49">
        <f>IFERROR(_xlfn.MAXIFS(tblBase[Dias_Em_Aberto],tblBase[Codigo_STA],D49),0)</f>
        <v/>
      </c>
      <c r="N49">
        <f>STAs!D49</f>
        <v/>
      </c>
      <c r="O49">
        <f>IFERROR(INDEX(Parametros!$P$12:$P$15,MATCH(N49,Parametros!$O$12:$O$15,0)),"")</f>
        <v/>
      </c>
    </row>
    <row r="50">
      <c r="A50">
        <f>IF(F50&gt;0,STAs!G50,"")</f>
        <v/>
      </c>
      <c r="B50">
        <f>IF(F50&gt;0,"Devolução RPTG - "&amp;N50&amp;" - "&amp;F50&amp;" peça(s) pendente(s) - STA "&amp;D50,"")</f>
        <v/>
      </c>
      <c r="C50">
        <f>IF(F50&gt;0,"Prezado(a) parceiro(a) "&amp;E50&amp;","&amp;CHAR(10)&amp;CHAR(10)&amp;"Consta em nosso controle de devolução RPTG "&amp;F50&amp;" peça(s) pendente(s) de devolução, no valor de "&amp;"R$ "&amp;FIXED(G50,2)&amp;", a mais antiga há "&amp;H50&amp;" dias."&amp;CHAR(10)&amp;CHAR(10)&amp;"Solicitamos o envio das peças ou a justificativa em até 5 dias úteis."&amp;CHAR(10)&amp;CHAR(10)&amp;"Atenciosamente,"&amp;CHAR(10)&amp;"Qualidade - RPTG","")</f>
        <v/>
      </c>
      <c r="D50">
        <f>STAs!F50</f>
        <v/>
      </c>
      <c r="E50">
        <f>STAs!C50</f>
        <v/>
      </c>
      <c r="F50">
        <f>SUMIFS(tblBase[QTD],tblBase[Codigo_STA],D50,tblBase[Grupo_Status],"Pendente")+SUMIFS(tblBase[QTD],tblBase[Codigo_STA],D50,tblBase[Grupo_Status],"Em andamento")</f>
        <v/>
      </c>
      <c r="G50" s="10">
        <f>SUMIFS(tblBase[Valor_Total],tblBase[Codigo_STA],D50,tblBase[Grupo_Status],"Pendente")+SUMIFS(tblBase[Valor_Total],tblBase[Codigo_STA],D50,tblBase[Grupo_Status],"Em andamento")</f>
        <v/>
      </c>
      <c r="H50">
        <f>IFERROR(_xlfn.MAXIFS(tblBase[Dias_Em_Aberto],tblBase[Codigo_STA],D50),0)</f>
        <v/>
      </c>
      <c r="N50">
        <f>STAs!D50</f>
        <v/>
      </c>
      <c r="O50">
        <f>IFERROR(INDEX(Parametros!$P$12:$P$15,MATCH(N50,Parametros!$O$12:$O$15,0)),"")</f>
        <v/>
      </c>
    </row>
    <row r="51">
      <c r="A51">
        <f>IF(F51&gt;0,STAs!G51,"")</f>
        <v/>
      </c>
      <c r="B51">
        <f>IF(F51&gt;0,"Devolução RPTG - "&amp;N51&amp;" - "&amp;F51&amp;" peça(s) pendente(s) - STA "&amp;D51,"")</f>
        <v/>
      </c>
      <c r="C51">
        <f>IF(F51&gt;0,"Prezado(a) parceiro(a) "&amp;E51&amp;","&amp;CHAR(10)&amp;CHAR(10)&amp;"Consta em nosso controle de devolução RPTG "&amp;F51&amp;" peça(s) pendente(s) de devolução, no valor de "&amp;"R$ "&amp;FIXED(G51,2)&amp;", a mais antiga há "&amp;H51&amp;" dias."&amp;CHAR(10)&amp;CHAR(10)&amp;"Solicitamos o envio das peças ou a justificativa em até 5 dias úteis."&amp;CHAR(10)&amp;CHAR(10)&amp;"Atenciosamente,"&amp;CHAR(10)&amp;"Qualidade - RPTG","")</f>
        <v/>
      </c>
      <c r="D51">
        <f>STAs!F51</f>
        <v/>
      </c>
      <c r="E51">
        <f>STAs!C51</f>
        <v/>
      </c>
      <c r="F51">
        <f>SUMIFS(tblBase[QTD],tblBase[Codigo_STA],D51,tblBase[Grupo_Status],"Pendente")+SUMIFS(tblBase[QTD],tblBase[Codigo_STA],D51,tblBase[Grupo_Status],"Em andamento")</f>
        <v/>
      </c>
      <c r="G51" s="10">
        <f>SUMIFS(tblBase[Valor_Total],tblBase[Codigo_STA],D51,tblBase[Grupo_Status],"Pendente")+SUMIFS(tblBase[Valor_Total],tblBase[Codigo_STA],D51,tblBase[Grupo_Status],"Em andamento")</f>
        <v/>
      </c>
      <c r="H51">
        <f>IFERROR(_xlfn.MAXIFS(tblBase[Dias_Em_Aberto],tblBase[Codigo_STA],D51),0)</f>
        <v/>
      </c>
      <c r="N51">
        <f>STAs!D51</f>
        <v/>
      </c>
      <c r="O51">
        <f>IFERROR(INDEX(Parametros!$P$12:$P$15,MATCH(N51,Parametros!$O$12:$O$15,0)),"")</f>
        <v/>
      </c>
    </row>
    <row r="52">
      <c r="A52">
        <f>IF(F52&gt;0,STAs!G52,"")</f>
        <v/>
      </c>
      <c r="B52">
        <f>IF(F52&gt;0,"Devolução RPTG - "&amp;N52&amp;" - "&amp;F52&amp;" peça(s) pendente(s) - STA "&amp;D52,"")</f>
        <v/>
      </c>
      <c r="C52">
        <f>IF(F52&gt;0,"Prezado(a) parceiro(a) "&amp;E52&amp;","&amp;CHAR(10)&amp;CHAR(10)&amp;"Consta em nosso controle de devolução RPTG "&amp;F52&amp;" peça(s) pendente(s) de devolução, no valor de "&amp;"R$ "&amp;FIXED(G52,2)&amp;", a mais antiga há "&amp;H52&amp;" dias."&amp;CHAR(10)&amp;CHAR(10)&amp;"Solicitamos o envio das peças ou a justificativa em até 5 dias úteis."&amp;CHAR(10)&amp;CHAR(10)&amp;"Atenciosamente,"&amp;CHAR(10)&amp;"Qualidade - RPTG","")</f>
        <v/>
      </c>
      <c r="D52">
        <f>STAs!F52</f>
        <v/>
      </c>
      <c r="E52">
        <f>STAs!C52</f>
        <v/>
      </c>
      <c r="F52">
        <f>SUMIFS(tblBase[QTD],tblBase[Codigo_STA],D52,tblBase[Grupo_Status],"Pendente")+SUMIFS(tblBase[QTD],tblBase[Codigo_STA],D52,tblBase[Grupo_Status],"Em andamento")</f>
        <v/>
      </c>
      <c r="G52" s="10">
        <f>SUMIFS(tblBase[Valor_Total],tblBase[Codigo_STA],D52,tblBase[Grupo_Status],"Pendente")+SUMIFS(tblBase[Valor_Total],tblBase[Codigo_STA],D52,tblBase[Grupo_Status],"Em andamento")</f>
        <v/>
      </c>
      <c r="H52">
        <f>IFERROR(_xlfn.MAXIFS(tblBase[Dias_Em_Aberto],tblBase[Codigo_STA],D52),0)</f>
        <v/>
      </c>
      <c r="N52">
        <f>STAs!D52</f>
        <v/>
      </c>
      <c r="O52">
        <f>IFERROR(INDEX(Parametros!$P$12:$P$15,MATCH(N52,Parametros!$O$12:$O$15,0)),"")</f>
        <v/>
      </c>
    </row>
    <row r="53">
      <c r="A53">
        <f>IF(F53&gt;0,STAs!G53,"")</f>
        <v/>
      </c>
      <c r="B53">
        <f>IF(F53&gt;0,"Devolução RPTG - "&amp;N53&amp;" - "&amp;F53&amp;" peça(s) pendente(s) - STA "&amp;D53,"")</f>
        <v/>
      </c>
      <c r="C53">
        <f>IF(F53&gt;0,"Prezado(a) parceiro(a) "&amp;E53&amp;","&amp;CHAR(10)&amp;CHAR(10)&amp;"Consta em nosso controle de devolução RPTG "&amp;F53&amp;" peça(s) pendente(s) de devolução, no valor de "&amp;"R$ "&amp;FIXED(G53,2)&amp;", a mais antiga há "&amp;H53&amp;" dias."&amp;CHAR(10)&amp;CHAR(10)&amp;"Solicitamos o envio das peças ou a justificativa em até 5 dias úteis."&amp;CHAR(10)&amp;CHAR(10)&amp;"Atenciosamente,"&amp;CHAR(10)&amp;"Qualidade - RPTG","")</f>
        <v/>
      </c>
      <c r="D53">
        <f>STAs!F53</f>
        <v/>
      </c>
      <c r="E53">
        <f>STAs!C53</f>
        <v/>
      </c>
      <c r="F53">
        <f>SUMIFS(tblBase[QTD],tblBase[Codigo_STA],D53,tblBase[Grupo_Status],"Pendente")+SUMIFS(tblBase[QTD],tblBase[Codigo_STA],D53,tblBase[Grupo_Status],"Em andamento")</f>
        <v/>
      </c>
      <c r="G53" s="10">
        <f>SUMIFS(tblBase[Valor_Total],tblBase[Codigo_STA],D53,tblBase[Grupo_Status],"Pendente")+SUMIFS(tblBase[Valor_Total],tblBase[Codigo_STA],D53,tblBase[Grupo_Status],"Em andamento")</f>
        <v/>
      </c>
      <c r="H53">
        <f>IFERROR(_xlfn.MAXIFS(tblBase[Dias_Em_Aberto],tblBase[Codigo_STA],D53),0)</f>
        <v/>
      </c>
      <c r="N53">
        <f>STAs!D53</f>
        <v/>
      </c>
      <c r="O53">
        <f>IFERROR(INDEX(Parametros!$P$12:$P$15,MATCH(N53,Parametros!$O$12:$O$15,0)),"")</f>
        <v/>
      </c>
    </row>
    <row r="54">
      <c r="A54">
        <f>IF(F54&gt;0,STAs!G54,"")</f>
        <v/>
      </c>
      <c r="B54">
        <f>IF(F54&gt;0,"Devolução RPTG - "&amp;N54&amp;" - "&amp;F54&amp;" peça(s) pendente(s) - STA "&amp;D54,"")</f>
        <v/>
      </c>
      <c r="C54">
        <f>IF(F54&gt;0,"Prezado(a) parceiro(a) "&amp;E54&amp;","&amp;CHAR(10)&amp;CHAR(10)&amp;"Consta em nosso controle de devolução RPTG "&amp;F54&amp;" peça(s) pendente(s) de devolução, no valor de "&amp;"R$ "&amp;FIXED(G54,2)&amp;", a mais antiga há "&amp;H54&amp;" dias."&amp;CHAR(10)&amp;CHAR(10)&amp;"Solicitamos o envio das peças ou a justificativa em até 5 dias úteis."&amp;CHAR(10)&amp;CHAR(10)&amp;"Atenciosamente,"&amp;CHAR(10)&amp;"Qualidade - RPTG","")</f>
        <v/>
      </c>
      <c r="D54">
        <f>STAs!F54</f>
        <v/>
      </c>
      <c r="E54">
        <f>STAs!C54</f>
        <v/>
      </c>
      <c r="F54">
        <f>SUMIFS(tblBase[QTD],tblBase[Codigo_STA],D54,tblBase[Grupo_Status],"Pendente")+SUMIFS(tblBase[QTD],tblBase[Codigo_STA],D54,tblBase[Grupo_Status],"Em andamento")</f>
        <v/>
      </c>
      <c r="G54" s="10">
        <f>SUMIFS(tblBase[Valor_Total],tblBase[Codigo_STA],D54,tblBase[Grupo_Status],"Pendente")+SUMIFS(tblBase[Valor_Total],tblBase[Codigo_STA],D54,tblBase[Grupo_Status],"Em andamento")</f>
        <v/>
      </c>
      <c r="H54">
        <f>IFERROR(_xlfn.MAXIFS(tblBase[Dias_Em_Aberto],tblBase[Codigo_STA],D54),0)</f>
        <v/>
      </c>
      <c r="N54">
        <f>STAs!D54</f>
        <v/>
      </c>
      <c r="O54">
        <f>IFERROR(INDEX(Parametros!$P$12:$P$15,MATCH(N54,Parametros!$O$12:$O$15,0)),"")</f>
        <v/>
      </c>
    </row>
    <row r="55">
      <c r="A55">
        <f>IF(F55&gt;0,STAs!G55,"")</f>
        <v/>
      </c>
      <c r="B55">
        <f>IF(F55&gt;0,"Devolução RPTG - "&amp;N55&amp;" - "&amp;F55&amp;" peça(s) pendente(s) - STA "&amp;D55,"")</f>
        <v/>
      </c>
      <c r="C55">
        <f>IF(F55&gt;0,"Prezado(a) parceiro(a) "&amp;E55&amp;","&amp;CHAR(10)&amp;CHAR(10)&amp;"Consta em nosso controle de devolução RPTG "&amp;F55&amp;" peça(s) pendente(s) de devolução, no valor de "&amp;"R$ "&amp;FIXED(G55,2)&amp;", a mais antiga há "&amp;H55&amp;" dias."&amp;CHAR(10)&amp;CHAR(10)&amp;"Solicitamos o envio das peças ou a justificativa em até 5 dias úteis."&amp;CHAR(10)&amp;CHAR(10)&amp;"Atenciosamente,"&amp;CHAR(10)&amp;"Qualidade - RPTG","")</f>
        <v/>
      </c>
      <c r="D55">
        <f>STAs!F55</f>
        <v/>
      </c>
      <c r="E55">
        <f>STAs!C55</f>
        <v/>
      </c>
      <c r="F55">
        <f>SUMIFS(tblBase[QTD],tblBase[Codigo_STA],D55,tblBase[Grupo_Status],"Pendente")+SUMIFS(tblBase[QTD],tblBase[Codigo_STA],D55,tblBase[Grupo_Status],"Em andamento")</f>
        <v/>
      </c>
      <c r="G55" s="10">
        <f>SUMIFS(tblBase[Valor_Total],tblBase[Codigo_STA],D55,tblBase[Grupo_Status],"Pendente")+SUMIFS(tblBase[Valor_Total],tblBase[Codigo_STA],D55,tblBase[Grupo_Status],"Em andamento")</f>
        <v/>
      </c>
      <c r="H55">
        <f>IFERROR(_xlfn.MAXIFS(tblBase[Dias_Em_Aberto],tblBase[Codigo_STA],D55),0)</f>
        <v/>
      </c>
      <c r="N55">
        <f>STAs!D55</f>
        <v/>
      </c>
      <c r="O55">
        <f>IFERROR(INDEX(Parametros!$P$12:$P$15,MATCH(N55,Parametros!$O$12:$O$15,0)),"")</f>
        <v/>
      </c>
    </row>
    <row r="56">
      <c r="A56">
        <f>IF(F56&gt;0,STAs!G56,"")</f>
        <v/>
      </c>
      <c r="B56">
        <f>IF(F56&gt;0,"Devolução RPTG - "&amp;N56&amp;" - "&amp;F56&amp;" peça(s) pendente(s) - STA "&amp;D56,"")</f>
        <v/>
      </c>
      <c r="C56">
        <f>IF(F56&gt;0,"Prezado(a) parceiro(a) "&amp;E56&amp;","&amp;CHAR(10)&amp;CHAR(10)&amp;"Consta em nosso controle de devolução RPTG "&amp;F56&amp;" peça(s) pendente(s) de devolução, no valor de "&amp;"R$ "&amp;FIXED(G56,2)&amp;", a mais antiga há "&amp;H56&amp;" dias."&amp;CHAR(10)&amp;CHAR(10)&amp;"Solicitamos o envio das peças ou a justificativa em até 5 dias úteis."&amp;CHAR(10)&amp;CHAR(10)&amp;"Atenciosamente,"&amp;CHAR(10)&amp;"Qualidade - RPTG","")</f>
        <v/>
      </c>
      <c r="D56">
        <f>STAs!F56</f>
        <v/>
      </c>
      <c r="E56">
        <f>STAs!C56</f>
        <v/>
      </c>
      <c r="F56">
        <f>SUMIFS(tblBase[QTD],tblBase[Codigo_STA],D56,tblBase[Grupo_Status],"Pendente")+SUMIFS(tblBase[QTD],tblBase[Codigo_STA],D56,tblBase[Grupo_Status],"Em andamento")</f>
        <v/>
      </c>
      <c r="G56" s="10">
        <f>SUMIFS(tblBase[Valor_Total],tblBase[Codigo_STA],D56,tblBase[Grupo_Status],"Pendente")+SUMIFS(tblBase[Valor_Total],tblBase[Codigo_STA],D56,tblBase[Grupo_Status],"Em andamento")</f>
        <v/>
      </c>
      <c r="H56">
        <f>IFERROR(_xlfn.MAXIFS(tblBase[Dias_Em_Aberto],tblBase[Codigo_STA],D56),0)</f>
        <v/>
      </c>
      <c r="N56">
        <f>STAs!D56</f>
        <v/>
      </c>
      <c r="O56">
        <f>IFERROR(INDEX(Parametros!$P$12:$P$15,MATCH(N56,Parametros!$O$12:$O$15,0)),"")</f>
        <v/>
      </c>
    </row>
    <row r="57">
      <c r="A57">
        <f>IF(F57&gt;0,STAs!G57,"")</f>
        <v/>
      </c>
      <c r="B57">
        <f>IF(F57&gt;0,"Devolução RPTG - "&amp;N57&amp;" - "&amp;F57&amp;" peça(s) pendente(s) - STA "&amp;D57,"")</f>
        <v/>
      </c>
      <c r="C57">
        <f>IF(F57&gt;0,"Prezado(a) parceiro(a) "&amp;E57&amp;","&amp;CHAR(10)&amp;CHAR(10)&amp;"Consta em nosso controle de devolução RPTG "&amp;F57&amp;" peça(s) pendente(s) de devolução, no valor de "&amp;"R$ "&amp;FIXED(G57,2)&amp;", a mais antiga há "&amp;H57&amp;" dias."&amp;CHAR(10)&amp;CHAR(10)&amp;"Solicitamos o envio das peças ou a justificativa em até 5 dias úteis."&amp;CHAR(10)&amp;CHAR(10)&amp;"Atenciosamente,"&amp;CHAR(10)&amp;"Qualidade - RPTG","")</f>
        <v/>
      </c>
      <c r="D57">
        <f>STAs!F57</f>
        <v/>
      </c>
      <c r="E57">
        <f>STAs!C57</f>
        <v/>
      </c>
      <c r="F57">
        <f>SUMIFS(tblBase[QTD],tblBase[Codigo_STA],D57,tblBase[Grupo_Status],"Pendente")+SUMIFS(tblBase[QTD],tblBase[Codigo_STA],D57,tblBase[Grupo_Status],"Em andamento")</f>
        <v/>
      </c>
      <c r="G57" s="10">
        <f>SUMIFS(tblBase[Valor_Total],tblBase[Codigo_STA],D57,tblBase[Grupo_Status],"Pendente")+SUMIFS(tblBase[Valor_Total],tblBase[Codigo_STA],D57,tblBase[Grupo_Status],"Em andamento")</f>
        <v/>
      </c>
      <c r="H57">
        <f>IFERROR(_xlfn.MAXIFS(tblBase[Dias_Em_Aberto],tblBase[Codigo_STA],D57),0)</f>
        <v/>
      </c>
      <c r="N57">
        <f>STAs!D57</f>
        <v/>
      </c>
      <c r="O57">
        <f>IFERROR(INDEX(Parametros!$P$12:$P$15,MATCH(N57,Parametros!$O$12:$O$15,0)),"")</f>
        <v/>
      </c>
    </row>
    <row r="58">
      <c r="A58">
        <f>IF(F58&gt;0,STAs!G58,"")</f>
        <v/>
      </c>
      <c r="B58">
        <f>IF(F58&gt;0,"Devolução RPTG - "&amp;N58&amp;" - "&amp;F58&amp;" peça(s) pendente(s) - STA "&amp;D58,"")</f>
        <v/>
      </c>
      <c r="C58">
        <f>IF(F58&gt;0,"Prezado(a) parceiro(a) "&amp;E58&amp;","&amp;CHAR(10)&amp;CHAR(10)&amp;"Consta em nosso controle de devolução RPTG "&amp;F58&amp;" peça(s) pendente(s) de devolução, no valor de "&amp;"R$ "&amp;FIXED(G58,2)&amp;", a mais antiga há "&amp;H58&amp;" dias."&amp;CHAR(10)&amp;CHAR(10)&amp;"Solicitamos o envio das peças ou a justificativa em até 5 dias úteis."&amp;CHAR(10)&amp;CHAR(10)&amp;"Atenciosamente,"&amp;CHAR(10)&amp;"Qualidade - RPTG","")</f>
        <v/>
      </c>
      <c r="D58">
        <f>STAs!F58</f>
        <v/>
      </c>
      <c r="E58">
        <f>STAs!C58</f>
        <v/>
      </c>
      <c r="F58">
        <f>SUMIFS(tblBase[QTD],tblBase[Codigo_STA],D58,tblBase[Grupo_Status],"Pendente")+SUMIFS(tblBase[QTD],tblBase[Codigo_STA],D58,tblBase[Grupo_Status],"Em andamento")</f>
        <v/>
      </c>
      <c r="G58" s="10">
        <f>SUMIFS(tblBase[Valor_Total],tblBase[Codigo_STA],D58,tblBase[Grupo_Status],"Pendente")+SUMIFS(tblBase[Valor_Total],tblBase[Codigo_STA],D58,tblBase[Grupo_Status],"Em andamento")</f>
        <v/>
      </c>
      <c r="H58">
        <f>IFERROR(_xlfn.MAXIFS(tblBase[Dias_Em_Aberto],tblBase[Codigo_STA],D58),0)</f>
        <v/>
      </c>
      <c r="N58">
        <f>STAs!D58</f>
        <v/>
      </c>
      <c r="O58">
        <f>IFERROR(INDEX(Parametros!$P$12:$P$15,MATCH(N58,Parametros!$O$12:$O$15,0)),"")</f>
        <v/>
      </c>
    </row>
    <row r="59">
      <c r="A59">
        <f>IF(F59&gt;0,STAs!G59,"")</f>
        <v/>
      </c>
      <c r="B59">
        <f>IF(F59&gt;0,"Devolução RPTG - "&amp;N59&amp;" - "&amp;F59&amp;" peça(s) pendente(s) - STA "&amp;D59,"")</f>
        <v/>
      </c>
      <c r="C59">
        <f>IF(F59&gt;0,"Prezado(a) parceiro(a) "&amp;E59&amp;","&amp;CHAR(10)&amp;CHAR(10)&amp;"Consta em nosso controle de devolução RPTG "&amp;F59&amp;" peça(s) pendente(s) de devolução, no valor de "&amp;"R$ "&amp;FIXED(G59,2)&amp;", a mais antiga há "&amp;H59&amp;" dias."&amp;CHAR(10)&amp;CHAR(10)&amp;"Solicitamos o envio das peças ou a justificativa em até 5 dias úteis."&amp;CHAR(10)&amp;CHAR(10)&amp;"Atenciosamente,"&amp;CHAR(10)&amp;"Qualidade - RPTG","")</f>
        <v/>
      </c>
      <c r="D59">
        <f>STAs!F59</f>
        <v/>
      </c>
      <c r="E59">
        <f>STAs!C59</f>
        <v/>
      </c>
      <c r="F59">
        <f>SUMIFS(tblBase[QTD],tblBase[Codigo_STA],D59,tblBase[Grupo_Status],"Pendente")+SUMIFS(tblBase[QTD],tblBase[Codigo_STA],D59,tblBase[Grupo_Status],"Em andamento")</f>
        <v/>
      </c>
      <c r="G59" s="10">
        <f>SUMIFS(tblBase[Valor_Total],tblBase[Codigo_STA],D59,tblBase[Grupo_Status],"Pendente")+SUMIFS(tblBase[Valor_Total],tblBase[Codigo_STA],D59,tblBase[Grupo_Status],"Em andamento")</f>
        <v/>
      </c>
      <c r="H59">
        <f>IFERROR(_xlfn.MAXIFS(tblBase[Dias_Em_Aberto],tblBase[Codigo_STA],D59),0)</f>
        <v/>
      </c>
      <c r="N59">
        <f>STAs!D59</f>
        <v/>
      </c>
      <c r="O59">
        <f>IFERROR(INDEX(Parametros!$P$12:$P$15,MATCH(N59,Parametros!$O$12:$O$15,0)),"")</f>
        <v/>
      </c>
    </row>
    <row r="60">
      <c r="A60">
        <f>IF(F60&gt;0,STAs!G60,"")</f>
        <v/>
      </c>
      <c r="B60">
        <f>IF(F60&gt;0,"Devolução RPTG - "&amp;N60&amp;" - "&amp;F60&amp;" peça(s) pendente(s) - STA "&amp;D60,"")</f>
        <v/>
      </c>
      <c r="C60">
        <f>IF(F60&gt;0,"Prezado(a) parceiro(a) "&amp;E60&amp;","&amp;CHAR(10)&amp;CHAR(10)&amp;"Consta em nosso controle de devolução RPTG "&amp;F60&amp;" peça(s) pendente(s) de devolução, no valor de "&amp;"R$ "&amp;FIXED(G60,2)&amp;", a mais antiga há "&amp;H60&amp;" dias."&amp;CHAR(10)&amp;CHAR(10)&amp;"Solicitamos o envio das peças ou a justificativa em até 5 dias úteis."&amp;CHAR(10)&amp;CHAR(10)&amp;"Atenciosamente,"&amp;CHAR(10)&amp;"Qualidade - RPTG","")</f>
        <v/>
      </c>
      <c r="D60">
        <f>STAs!F60</f>
        <v/>
      </c>
      <c r="E60">
        <f>STAs!C60</f>
        <v/>
      </c>
      <c r="F60">
        <f>SUMIFS(tblBase[QTD],tblBase[Codigo_STA],D60,tblBase[Grupo_Status],"Pendente")+SUMIFS(tblBase[QTD],tblBase[Codigo_STA],D60,tblBase[Grupo_Status],"Em andamento")</f>
        <v/>
      </c>
      <c r="G60" s="10">
        <f>SUMIFS(tblBase[Valor_Total],tblBase[Codigo_STA],D60,tblBase[Grupo_Status],"Pendente")+SUMIFS(tblBase[Valor_Total],tblBase[Codigo_STA],D60,tblBase[Grupo_Status],"Em andamento")</f>
        <v/>
      </c>
      <c r="H60">
        <f>IFERROR(_xlfn.MAXIFS(tblBase[Dias_Em_Aberto],tblBase[Codigo_STA],D60),0)</f>
        <v/>
      </c>
      <c r="N60">
        <f>STAs!D60</f>
        <v/>
      </c>
      <c r="O60">
        <f>IFERROR(INDEX(Parametros!$P$12:$P$15,MATCH(N60,Parametros!$O$12:$O$15,0)),"")</f>
        <v/>
      </c>
    </row>
    <row r="61">
      <c r="A61">
        <f>IF(F61&gt;0,STAs!G61,"")</f>
        <v/>
      </c>
      <c r="B61">
        <f>IF(F61&gt;0,"Devolução RPTG - "&amp;N61&amp;" - "&amp;F61&amp;" peça(s) pendente(s) - STA "&amp;D61,"")</f>
        <v/>
      </c>
      <c r="C61">
        <f>IF(F61&gt;0,"Prezado(a) parceiro(a) "&amp;E61&amp;","&amp;CHAR(10)&amp;CHAR(10)&amp;"Consta em nosso controle de devolução RPTG "&amp;F61&amp;" peça(s) pendente(s) de devolução, no valor de "&amp;"R$ "&amp;FIXED(G61,2)&amp;", a mais antiga há "&amp;H61&amp;" dias."&amp;CHAR(10)&amp;CHAR(10)&amp;"Solicitamos o envio das peças ou a justificativa em até 5 dias úteis."&amp;CHAR(10)&amp;CHAR(10)&amp;"Atenciosamente,"&amp;CHAR(10)&amp;"Qualidade - RPTG","")</f>
        <v/>
      </c>
      <c r="D61">
        <f>STAs!F61</f>
        <v/>
      </c>
      <c r="E61">
        <f>STAs!C61</f>
        <v/>
      </c>
      <c r="F61">
        <f>SUMIFS(tblBase[QTD],tblBase[Codigo_STA],D61,tblBase[Grupo_Status],"Pendente")+SUMIFS(tblBase[QTD],tblBase[Codigo_STA],D61,tblBase[Grupo_Status],"Em andamento")</f>
        <v/>
      </c>
      <c r="G61" s="10">
        <f>SUMIFS(tblBase[Valor_Total],tblBase[Codigo_STA],D61,tblBase[Grupo_Status],"Pendente")+SUMIFS(tblBase[Valor_Total],tblBase[Codigo_STA],D61,tblBase[Grupo_Status],"Em andamento")</f>
        <v/>
      </c>
      <c r="H61">
        <f>IFERROR(_xlfn.MAXIFS(tblBase[Dias_Em_Aberto],tblBase[Codigo_STA],D61),0)</f>
        <v/>
      </c>
      <c r="N61">
        <f>STAs!D61</f>
        <v/>
      </c>
      <c r="O61">
        <f>IFERROR(INDEX(Parametros!$P$12:$P$15,MATCH(N61,Parametros!$O$12:$O$15,0)),"")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2026-09-13T17:13:01Z</dcterms:created>
  <dcterms:modified xsi:type="dcterms:W3CDTF">2026-09-13T17:13:01Z</dcterms:modified>
</cp:coreProperties>
</file>